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youngwook\Downloads\datas\"/>
    </mc:Choice>
  </mc:AlternateContent>
  <xr:revisionPtr revIDLastSave="0" documentId="13_ncr:1_{80659D65-5E2E-4C25-BA5C-20B900E42E5D}" xr6:coauthVersionLast="36" xr6:coauthVersionMax="45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컬럼_old" sheetId="15" state="hidden" r:id="rId1"/>
    <sheet name="컬럼" sheetId="12" r:id="rId2"/>
    <sheet name="작성지침" sheetId="5" r:id="rId3"/>
    <sheet name="표준용어사전" sheetId="13" r:id="rId4"/>
  </sheets>
  <definedNames>
    <definedName name="_xlnm._FilterDatabase" localSheetId="1" hidden="1">컬럼!$A$1:$W$1463</definedName>
    <definedName name="_xlnm._FilterDatabase" localSheetId="0" hidden="1">컬럼_old!$A$1:$W$1499</definedName>
    <definedName name="_xlnm._FilterDatabase" localSheetId="3" hidden="1">표준용어사전!$A$1:$D$476</definedName>
    <definedName name="_xlnm.Print_Area" localSheetId="3">표준용어사전!$A$1:$D$464</definedName>
    <definedName name="_xlnm.Print_Titles" localSheetId="3">표준용어사전!$1:$1</definedName>
  </definedNames>
  <calcPr calcId="191029"/>
</workbook>
</file>

<file path=xl/calcChain.xml><?xml version="1.0" encoding="utf-8"?>
<calcChain xmlns="http://schemas.openxmlformats.org/spreadsheetml/2006/main">
  <c r="I1455" i="12" l="1"/>
  <c r="I1445" i="12"/>
  <c r="I1463" i="12"/>
  <c r="I1462" i="12"/>
  <c r="I1461" i="12"/>
  <c r="I1460" i="12"/>
  <c r="I1459" i="12"/>
  <c r="I1458" i="12"/>
  <c r="I1457" i="12"/>
  <c r="I1456" i="12"/>
  <c r="I1454" i="12"/>
  <c r="I1453" i="12"/>
  <c r="I1452" i="12"/>
  <c r="I1451" i="12"/>
  <c r="I1450" i="12"/>
  <c r="I1449" i="12"/>
  <c r="I1448" i="12"/>
  <c r="I1447" i="12"/>
  <c r="I1446" i="12"/>
  <c r="I3" i="12" l="1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1" i="12"/>
  <c r="I1232" i="12"/>
  <c r="I1233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6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1305" i="12"/>
  <c r="I1306" i="12"/>
  <c r="I1307" i="12"/>
  <c r="I1308" i="12"/>
  <c r="I1309" i="12"/>
  <c r="I1310" i="12"/>
  <c r="I1311" i="12"/>
  <c r="I1312" i="12"/>
  <c r="I1313" i="12"/>
  <c r="I1314" i="12"/>
  <c r="I1315" i="12"/>
  <c r="I1316" i="12"/>
  <c r="I1317" i="12"/>
  <c r="I1318" i="12"/>
  <c r="I1319" i="12"/>
  <c r="I1320" i="12"/>
  <c r="I1321" i="12"/>
  <c r="I1322" i="12"/>
  <c r="I1323" i="12"/>
  <c r="I1324" i="12"/>
  <c r="I1325" i="12"/>
  <c r="I1326" i="12"/>
  <c r="I1327" i="12"/>
  <c r="I1328" i="12"/>
  <c r="I1329" i="12"/>
  <c r="I1330" i="12"/>
  <c r="I1331" i="12"/>
  <c r="I1332" i="12"/>
  <c r="I1333" i="12"/>
  <c r="I1334" i="12"/>
  <c r="I1335" i="12"/>
  <c r="I1336" i="12"/>
  <c r="I1337" i="12"/>
  <c r="I1338" i="12"/>
  <c r="I1339" i="12"/>
  <c r="I1340" i="12"/>
  <c r="I1341" i="12"/>
  <c r="I1342" i="12"/>
  <c r="I1343" i="12"/>
  <c r="I1344" i="12"/>
  <c r="I1345" i="12"/>
  <c r="I1346" i="12"/>
  <c r="I1347" i="12"/>
  <c r="I1348" i="12"/>
  <c r="I1349" i="12"/>
  <c r="I1350" i="12"/>
  <c r="I1351" i="12"/>
  <c r="I1352" i="12"/>
  <c r="I1353" i="12"/>
  <c r="I1354" i="12"/>
  <c r="I1355" i="12"/>
  <c r="I1356" i="12"/>
  <c r="I1357" i="12"/>
  <c r="I1358" i="12"/>
  <c r="I1359" i="12"/>
  <c r="I1360" i="12"/>
  <c r="I1361" i="12"/>
  <c r="I1362" i="12"/>
  <c r="I1363" i="12"/>
  <c r="I1364" i="12"/>
  <c r="I1365" i="12"/>
  <c r="I1366" i="12"/>
  <c r="I1367" i="12"/>
  <c r="I1368" i="12"/>
  <c r="I1369" i="12"/>
  <c r="I1370" i="12"/>
  <c r="I1371" i="12"/>
  <c r="I1372" i="12"/>
  <c r="I1373" i="12"/>
  <c r="I1374" i="12"/>
  <c r="I1375" i="12"/>
  <c r="I1376" i="12"/>
  <c r="I1377" i="12"/>
  <c r="I1378" i="12"/>
  <c r="I1379" i="12"/>
  <c r="I1380" i="12"/>
  <c r="I1381" i="12"/>
  <c r="I1382" i="12"/>
  <c r="I1383" i="12"/>
  <c r="I1384" i="12"/>
  <c r="I1385" i="12"/>
  <c r="I1386" i="12"/>
  <c r="I1387" i="12"/>
  <c r="I1388" i="12"/>
  <c r="I1389" i="12"/>
  <c r="I1390" i="12"/>
  <c r="I1391" i="12"/>
  <c r="I1392" i="12"/>
  <c r="I1393" i="12"/>
  <c r="I1394" i="12"/>
  <c r="I1395" i="12"/>
  <c r="I1396" i="12"/>
  <c r="I1397" i="12"/>
  <c r="I1398" i="12"/>
  <c r="I1399" i="12"/>
  <c r="I1400" i="12"/>
  <c r="I1401" i="12"/>
  <c r="I1402" i="12"/>
  <c r="I1403" i="12"/>
  <c r="I1404" i="12"/>
  <c r="I1405" i="12"/>
  <c r="I1406" i="12"/>
  <c r="I1407" i="12"/>
  <c r="I1408" i="12"/>
  <c r="I1409" i="12"/>
  <c r="I1410" i="12"/>
  <c r="I1411" i="12"/>
  <c r="I1412" i="12"/>
  <c r="I1413" i="12"/>
  <c r="I1414" i="12"/>
  <c r="I1415" i="12"/>
  <c r="I1416" i="12"/>
  <c r="I1417" i="12"/>
  <c r="I1418" i="12"/>
  <c r="I1419" i="12"/>
  <c r="I1420" i="12"/>
  <c r="I1421" i="12"/>
  <c r="I1422" i="12"/>
  <c r="I1423" i="12"/>
  <c r="I1424" i="12"/>
  <c r="I1425" i="12"/>
  <c r="I1426" i="12"/>
  <c r="I1427" i="12"/>
  <c r="I1428" i="12"/>
  <c r="I1429" i="12"/>
  <c r="I1430" i="12"/>
  <c r="I1431" i="12"/>
  <c r="I1432" i="12"/>
  <c r="I1433" i="12"/>
  <c r="I1434" i="12"/>
  <c r="I1435" i="12"/>
  <c r="I1436" i="12"/>
  <c r="I1437" i="12"/>
  <c r="I1438" i="12"/>
  <c r="I1439" i="12"/>
  <c r="I1440" i="12"/>
  <c r="I1441" i="12"/>
  <c r="I1442" i="12"/>
  <c r="I1443" i="12"/>
  <c r="I1444" i="12"/>
  <c r="I2" i="12"/>
  <c r="I1499" i="15" l="1"/>
  <c r="I1498" i="15"/>
  <c r="I1497" i="15"/>
  <c r="I1496" i="15"/>
  <c r="I1495" i="15"/>
  <c r="I1494" i="15"/>
  <c r="I1493" i="15"/>
  <c r="I1492" i="15"/>
  <c r="I1491" i="15"/>
  <c r="I1490" i="15"/>
  <c r="I1489" i="15"/>
  <c r="I1488" i="15"/>
  <c r="I1487" i="15"/>
  <c r="I1486" i="15"/>
  <c r="I1485" i="15"/>
  <c r="I1484" i="15"/>
  <c r="I1483" i="15"/>
  <c r="I1482" i="15"/>
  <c r="I1481" i="15"/>
  <c r="I1480" i="15"/>
  <c r="I1479" i="15"/>
  <c r="I1478" i="15"/>
  <c r="I1477" i="15"/>
  <c r="I1476" i="15"/>
  <c r="I1475" i="15"/>
  <c r="I1474" i="15"/>
  <c r="I1473" i="15"/>
  <c r="I1472" i="15"/>
  <c r="I1471" i="15"/>
  <c r="I1470" i="15"/>
  <c r="I1469" i="15"/>
  <c r="I1468" i="15"/>
  <c r="I1467" i="15"/>
  <c r="I1466" i="15"/>
  <c r="I1465" i="15"/>
  <c r="I1464" i="15"/>
  <c r="I1463" i="15"/>
  <c r="I1462" i="15"/>
  <c r="I1461" i="15"/>
  <c r="I1460" i="15"/>
  <c r="I1459" i="15"/>
  <c r="I1458" i="15"/>
  <c r="I1457" i="15"/>
  <c r="I1456" i="15"/>
  <c r="I1455" i="15"/>
  <c r="I1454" i="15"/>
  <c r="I1453" i="15"/>
  <c r="I1452" i="15"/>
  <c r="I1451" i="15"/>
  <c r="I1450" i="15"/>
  <c r="I1449" i="15"/>
  <c r="I1448" i="15"/>
  <c r="I1447" i="15"/>
  <c r="I1446" i="15"/>
  <c r="I1445" i="15"/>
  <c r="I1444" i="15"/>
  <c r="I1443" i="15"/>
  <c r="I1442" i="15"/>
  <c r="I1441" i="15"/>
  <c r="I1440" i="15"/>
  <c r="I1439" i="15"/>
  <c r="I1438" i="15"/>
  <c r="I1437" i="15"/>
  <c r="I1436" i="15"/>
  <c r="I1435" i="15"/>
  <c r="I1434" i="15"/>
  <c r="I1433" i="15"/>
  <c r="I1432" i="15"/>
  <c r="I1431" i="15"/>
  <c r="I1430" i="15"/>
  <c r="I1429" i="15"/>
  <c r="I1428" i="15"/>
  <c r="I1427" i="15"/>
  <c r="I1426" i="15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I1362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I1314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I1272" i="15"/>
  <c r="I1271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I1188" i="15"/>
  <c r="I1187" i="15"/>
  <c r="I1186" i="15"/>
  <c r="I1185" i="15"/>
  <c r="I1184" i="15"/>
  <c r="I1183" i="15"/>
  <c r="I1182" i="15"/>
  <c r="I1181" i="15"/>
  <c r="I1180" i="15"/>
  <c r="I1179" i="15"/>
  <c r="I1178" i="15"/>
  <c r="I1177" i="15"/>
  <c r="I1176" i="15"/>
  <c r="I1175" i="15"/>
  <c r="I1174" i="15"/>
  <c r="I1173" i="15"/>
  <c r="I1172" i="15"/>
  <c r="I1171" i="15"/>
  <c r="I1170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I1152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I1040" i="15"/>
  <c r="I1039" i="15"/>
  <c r="I1038" i="15"/>
  <c r="I1037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I1023" i="15"/>
  <c r="I1022" i="15"/>
  <c r="I1021" i="15"/>
  <c r="I1020" i="15"/>
  <c r="I1019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9" i="15"/>
  <c r="I968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I943" i="15"/>
  <c r="I942" i="15"/>
  <c r="I941" i="15"/>
  <c r="I940" i="15"/>
  <c r="I939" i="15"/>
  <c r="I938" i="15"/>
  <c r="I937" i="15"/>
  <c r="I936" i="15"/>
  <c r="I935" i="15"/>
  <c r="I934" i="15"/>
  <c r="I933" i="15"/>
  <c r="I932" i="15"/>
  <c r="I931" i="15"/>
  <c r="I930" i="15"/>
  <c r="I929" i="15"/>
  <c r="I928" i="15"/>
  <c r="I927" i="15"/>
  <c r="I926" i="15"/>
  <c r="I925" i="15"/>
  <c r="I924" i="15"/>
  <c r="I923" i="15"/>
  <c r="M922" i="15"/>
  <c r="I922" i="15"/>
  <c r="I921" i="15"/>
  <c r="I920" i="15"/>
  <c r="I919" i="15"/>
  <c r="I918" i="15"/>
  <c r="I917" i="15"/>
  <c r="I916" i="15"/>
  <c r="I915" i="15"/>
  <c r="I914" i="15"/>
  <c r="M913" i="15"/>
  <c r="I913" i="15"/>
  <c r="I912" i="15"/>
  <c r="I911" i="15"/>
  <c r="I910" i="15"/>
  <c r="I909" i="15"/>
  <c r="I908" i="15"/>
  <c r="I907" i="15"/>
  <c r="I906" i="15"/>
  <c r="I905" i="15"/>
  <c r="I904" i="15"/>
  <c r="I903" i="15"/>
  <c r="I902" i="15"/>
  <c r="I901" i="15"/>
  <c r="I900" i="15"/>
  <c r="I899" i="15"/>
  <c r="I898" i="15"/>
  <c r="I897" i="15"/>
  <c r="I896" i="15"/>
  <c r="I895" i="15"/>
  <c r="I894" i="15"/>
  <c r="I893" i="15"/>
  <c r="I892" i="15"/>
  <c r="I891" i="15"/>
  <c r="I890" i="15"/>
  <c r="I889" i="15"/>
  <c r="I888" i="15"/>
  <c r="I887" i="15"/>
  <c r="I886" i="15"/>
  <c r="I885" i="15"/>
  <c r="I884" i="15"/>
  <c r="I883" i="15"/>
  <c r="I882" i="15"/>
  <c r="I881" i="15"/>
  <c r="I880" i="15"/>
  <c r="I879" i="15"/>
  <c r="I878" i="15"/>
  <c r="I877" i="15"/>
  <c r="I876" i="15"/>
  <c r="I875" i="15"/>
  <c r="I874" i="15"/>
  <c r="I873" i="15"/>
  <c r="I872" i="15"/>
  <c r="I871" i="15"/>
  <c r="I870" i="15"/>
  <c r="I869" i="15"/>
  <c r="I868" i="15"/>
  <c r="I867" i="15"/>
  <c r="I866" i="15"/>
  <c r="I865" i="15"/>
  <c r="I864" i="15"/>
  <c r="I863" i="15"/>
  <c r="I862" i="15"/>
  <c r="I861" i="15"/>
  <c r="I860" i="15"/>
  <c r="I859" i="15"/>
  <c r="I858" i="15"/>
  <c r="I857" i="15"/>
  <c r="I856" i="15"/>
  <c r="I855" i="15"/>
  <c r="I854" i="15"/>
  <c r="I853" i="15"/>
  <c r="I852" i="15"/>
  <c r="I851" i="15"/>
  <c r="I850" i="15"/>
  <c r="I849" i="15"/>
  <c r="I848" i="15"/>
  <c r="I847" i="15"/>
  <c r="I846" i="15"/>
  <c r="I845" i="15"/>
  <c r="I844" i="15"/>
  <c r="I843" i="15"/>
  <c r="I842" i="15"/>
  <c r="I841" i="15"/>
  <c r="I840" i="15"/>
  <c r="I839" i="15"/>
  <c r="I838" i="15"/>
  <c r="I837" i="15"/>
  <c r="I836" i="15"/>
  <c r="I835" i="15"/>
  <c r="I834" i="15"/>
  <c r="I833" i="15"/>
  <c r="I832" i="15"/>
  <c r="I831" i="15"/>
  <c r="I830" i="15"/>
  <c r="I829" i="15"/>
  <c r="I828" i="15"/>
  <c r="I827" i="15"/>
  <c r="I826" i="15"/>
  <c r="I825" i="15"/>
  <c r="I824" i="15"/>
  <c r="I823" i="15"/>
  <c r="I822" i="15"/>
  <c r="I821" i="15"/>
  <c r="I820" i="15"/>
  <c r="I819" i="15"/>
  <c r="I818" i="15"/>
  <c r="I817" i="15"/>
  <c r="I816" i="15"/>
  <c r="I815" i="15"/>
  <c r="I814" i="15"/>
  <c r="I813" i="15"/>
  <c r="I812" i="15"/>
  <c r="I811" i="15"/>
  <c r="I810" i="15"/>
  <c r="I809" i="15"/>
  <c r="I808" i="15"/>
  <c r="I807" i="15"/>
  <c r="I806" i="15"/>
  <c r="I805" i="15"/>
  <c r="I804" i="15"/>
  <c r="I803" i="15"/>
  <c r="I802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715" i="15"/>
  <c r="I714" i="15"/>
  <c r="I713" i="15"/>
  <c r="I712" i="15"/>
  <c r="I711" i="15"/>
  <c r="I710" i="15"/>
  <c r="I709" i="15"/>
  <c r="I708" i="15"/>
  <c r="I707" i="15"/>
  <c r="I706" i="15"/>
  <c r="I705" i="15"/>
  <c r="I704" i="15"/>
  <c r="I703" i="15"/>
  <c r="I702" i="15"/>
  <c r="I701" i="15"/>
  <c r="I700" i="15"/>
  <c r="I699" i="15"/>
  <c r="I698" i="15"/>
  <c r="I697" i="15"/>
  <c r="I688" i="15"/>
  <c r="I687" i="15"/>
  <c r="I686" i="15"/>
  <c r="I685" i="15"/>
  <c r="I684" i="15"/>
  <c r="I683" i="15"/>
  <c r="I682" i="15"/>
  <c r="I681" i="15"/>
  <c r="I680" i="15"/>
  <c r="I679" i="15"/>
  <c r="I678" i="15"/>
  <c r="I677" i="15"/>
  <c r="I676" i="15"/>
  <c r="I675" i="15"/>
  <c r="I674" i="15"/>
  <c r="I673" i="15"/>
  <c r="I672" i="15"/>
  <c r="I671" i="15"/>
  <c r="I670" i="15"/>
  <c r="I669" i="15"/>
  <c r="I668" i="15"/>
  <c r="I667" i="15"/>
  <c r="I666" i="15"/>
  <c r="I665" i="15"/>
  <c r="I664" i="15"/>
  <c r="I663" i="15"/>
  <c r="I662" i="15"/>
  <c r="I661" i="15"/>
  <c r="I660" i="15"/>
  <c r="I659" i="15"/>
  <c r="I658" i="15"/>
  <c r="I657" i="15"/>
  <c r="I656" i="15"/>
  <c r="I655" i="15"/>
  <c r="I654" i="15"/>
  <c r="I653" i="15"/>
  <c r="I652" i="15"/>
  <c r="I651" i="15"/>
  <c r="I650" i="15"/>
  <c r="I649" i="15"/>
  <c r="I648" i="15"/>
  <c r="I647" i="15"/>
  <c r="I646" i="15"/>
  <c r="I645" i="15"/>
  <c r="I644" i="15"/>
  <c r="I643" i="15"/>
  <c r="I642" i="15"/>
  <c r="I641" i="15"/>
  <c r="I640" i="15"/>
  <c r="I639" i="15"/>
  <c r="I638" i="15"/>
  <c r="I637" i="15"/>
  <c r="I636" i="15"/>
  <c r="I635" i="15"/>
  <c r="I634" i="15"/>
  <c r="I631" i="15"/>
  <c r="I630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64" i="15"/>
  <c r="I563" i="15"/>
  <c r="I562" i="15"/>
  <c r="I561" i="15"/>
  <c r="I560" i="15"/>
  <c r="I559" i="15"/>
  <c r="I558" i="15"/>
  <c r="I557" i="15"/>
  <c r="I556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478" i="15"/>
  <c r="I477" i="15"/>
  <c r="I476" i="15"/>
  <c r="I475" i="15"/>
  <c r="I474" i="15"/>
  <c r="I473" i="15"/>
  <c r="I472" i="15"/>
  <c r="I471" i="15"/>
  <c r="I470" i="15"/>
  <c r="I469" i="15"/>
  <c r="I468" i="15"/>
  <c r="I467" i="15"/>
  <c r="I466" i="15"/>
  <c r="I465" i="15"/>
  <c r="I464" i="15"/>
  <c r="I463" i="15"/>
  <c r="I462" i="15"/>
  <c r="I461" i="15"/>
  <c r="I460" i="15"/>
  <c r="I459" i="15"/>
  <c r="I458" i="15"/>
  <c r="I457" i="15"/>
  <c r="I456" i="15"/>
  <c r="I455" i="15"/>
  <c r="I454" i="15"/>
  <c r="I453" i="15"/>
  <c r="I452" i="15"/>
  <c r="I451" i="15"/>
  <c r="I450" i="15"/>
  <c r="I449" i="15"/>
  <c r="I448" i="15"/>
  <c r="I447" i="15"/>
  <c r="I446" i="15"/>
  <c r="I445" i="15"/>
  <c r="I444" i="15"/>
  <c r="I443" i="15"/>
  <c r="I442" i="15"/>
  <c r="I441" i="15"/>
  <c r="I440" i="15"/>
  <c r="I439" i="15"/>
  <c r="I438" i="15"/>
  <c r="I437" i="15"/>
  <c r="I436" i="15"/>
  <c r="I435" i="15"/>
  <c r="I434" i="15"/>
  <c r="I433" i="15"/>
  <c r="I432" i="15"/>
  <c r="I431" i="15"/>
  <c r="I430" i="15"/>
  <c r="I429" i="15"/>
  <c r="I428" i="15"/>
  <c r="I427" i="15"/>
  <c r="I426" i="15"/>
  <c r="I425" i="15"/>
  <c r="I424" i="15"/>
  <c r="I423" i="15"/>
  <c r="I422" i="15"/>
  <c r="I421" i="15"/>
  <c r="I420" i="15"/>
  <c r="I419" i="15"/>
  <c r="I418" i="15"/>
  <c r="I417" i="15"/>
  <c r="I416" i="15"/>
  <c r="I415" i="15"/>
  <c r="I414" i="15"/>
  <c r="I413" i="15"/>
  <c r="I412" i="15"/>
  <c r="I411" i="15"/>
  <c r="I410" i="15"/>
  <c r="I409" i="15"/>
  <c r="I408" i="15"/>
  <c r="I407" i="15"/>
  <c r="I406" i="15"/>
  <c r="I405" i="15"/>
  <c r="I404" i="15"/>
  <c r="I403" i="15"/>
  <c r="I402" i="15"/>
  <c r="I401" i="15"/>
  <c r="I400" i="15"/>
  <c r="I399" i="15"/>
  <c r="I398" i="15"/>
  <c r="I397" i="15"/>
  <c r="I396" i="15"/>
  <c r="I395" i="15"/>
  <c r="I394" i="15"/>
  <c r="I393" i="15"/>
  <c r="I392" i="15"/>
  <c r="I391" i="15"/>
  <c r="I390" i="15"/>
  <c r="I389" i="15"/>
  <c r="I388" i="15"/>
  <c r="I387" i="15"/>
  <c r="I386" i="15"/>
  <c r="I385" i="15"/>
  <c r="I384" i="15"/>
  <c r="I383" i="15"/>
  <c r="I382" i="15"/>
  <c r="I381" i="15"/>
  <c r="I380" i="15"/>
  <c r="I379" i="15"/>
  <c r="I378" i="15"/>
  <c r="I377" i="15"/>
  <c r="I376" i="15"/>
  <c r="I375" i="15"/>
  <c r="I374" i="15"/>
  <c r="I373" i="15"/>
  <c r="I372" i="15"/>
  <c r="I371" i="15"/>
  <c r="I370" i="15"/>
  <c r="I369" i="15"/>
  <c r="I368" i="15"/>
  <c r="I367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18" i="15"/>
  <c r="I317" i="15"/>
  <c r="I316" i="15"/>
  <c r="I315" i="15"/>
  <c r="I314" i="15"/>
  <c r="I313" i="15"/>
  <c r="I312" i="15"/>
  <c r="I311" i="15"/>
  <c r="I310" i="15"/>
  <c r="I309" i="15"/>
  <c r="I308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2" i="15"/>
  <c r="I291" i="15"/>
  <c r="I290" i="15"/>
  <c r="I289" i="15"/>
  <c r="I288" i="15"/>
  <c r="I287" i="15"/>
  <c r="I286" i="15"/>
  <c r="I285" i="15"/>
  <c r="I284" i="15"/>
  <c r="I283" i="15"/>
  <c r="I282" i="15"/>
  <c r="I281" i="15"/>
  <c r="I280" i="15"/>
  <c r="I279" i="15"/>
  <c r="I278" i="15"/>
  <c r="I277" i="15"/>
  <c r="I276" i="15"/>
  <c r="I275" i="15"/>
  <c r="I274" i="15"/>
  <c r="I273" i="15"/>
  <c r="I272" i="15"/>
  <c r="I271" i="15"/>
  <c r="I270" i="15"/>
  <c r="I269" i="15"/>
  <c r="I268" i="15"/>
  <c r="I267" i="15"/>
  <c r="I266" i="15"/>
  <c r="I265" i="15"/>
  <c r="I264" i="15"/>
  <c r="I263" i="15"/>
  <c r="I262" i="15"/>
  <c r="I261" i="15"/>
  <c r="I260" i="15"/>
  <c r="I259" i="15"/>
  <c r="I258" i="15"/>
  <c r="I257" i="15"/>
  <c r="I256" i="15"/>
  <c r="I255" i="15"/>
  <c r="I254" i="15"/>
  <c r="I253" i="15"/>
  <c r="I252" i="15"/>
  <c r="I251" i="15"/>
  <c r="I250" i="15"/>
  <c r="I249" i="15"/>
  <c r="I248" i="15"/>
  <c r="I247" i="15"/>
  <c r="I246" i="15"/>
  <c r="I245" i="15"/>
  <c r="I244" i="15"/>
  <c r="I243" i="15"/>
  <c r="I242" i="15"/>
  <c r="I241" i="15"/>
  <c r="I240" i="15"/>
  <c r="I239" i="15"/>
  <c r="I238" i="15"/>
  <c r="I237" i="15"/>
  <c r="I236" i="15"/>
  <c r="I235" i="15"/>
  <c r="I234" i="15"/>
  <c r="I233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EcoBank</author>
  </authors>
  <commentList>
    <comment ref="B1" authorId="0" shapeId="0" xr:uid="{A33CA4CD-77D3-47E4-95E1-30338E9BF8A5}">
      <text>
        <r>
          <rPr>
            <b/>
            <sz val="9"/>
            <color indexed="81"/>
            <rFont val="Tahoma"/>
            <family val="2"/>
          </rPr>
          <t>EcoBank:</t>
        </r>
        <r>
          <rPr>
            <sz val="9"/>
            <color indexed="81"/>
            <rFont val="Tahoma"/>
            <family val="2"/>
          </rPr>
          <t xml:space="preserve">
– </t>
        </r>
        <r>
          <rPr>
            <sz val="9"/>
            <color indexed="81"/>
            <rFont val="돋움"/>
            <family val="3"/>
            <charset val="129"/>
          </rPr>
          <t>도메인이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위치하도록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표준단어를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명명한다</t>
        </r>
        <r>
          <rPr>
            <sz val="9"/>
            <color indexed="81"/>
            <rFont val="Tahoma"/>
            <family val="2"/>
          </rPr>
          <t>.</t>
        </r>
      </text>
    </comment>
    <comment ref="C1" authorId="0" shapeId="0" xr:uid="{DA4016F4-DBC4-4DBD-B45B-C7616330C6A2}">
      <text>
        <r>
          <rPr>
            <b/>
            <sz val="9"/>
            <color indexed="81"/>
            <rFont val="Tahoma"/>
            <family val="2"/>
          </rPr>
          <t>EcoBank:</t>
        </r>
        <r>
          <rPr>
            <sz val="9"/>
            <color indexed="81"/>
            <rFont val="Tahoma"/>
            <family val="2"/>
          </rPr>
          <t xml:space="preserve">
– </t>
        </r>
        <r>
          <rPr>
            <sz val="9"/>
            <color indexed="81"/>
            <rFont val="돋움"/>
            <family val="3"/>
            <charset val="129"/>
          </rPr>
          <t>칼럼명은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표준단어의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생성된다</t>
        </r>
        <r>
          <rPr>
            <sz val="9"/>
            <color indexed="81"/>
            <rFont val="Tahoma"/>
            <family val="2"/>
          </rPr>
          <t xml:space="preserve">.
– </t>
        </r>
        <r>
          <rPr>
            <sz val="9"/>
            <color indexed="81"/>
            <rFont val="돋움"/>
            <family val="3"/>
            <charset val="129"/>
          </rPr>
          <t>칼럼명의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길이는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자리로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>, 20</t>
        </r>
        <r>
          <rPr>
            <sz val="9"/>
            <color indexed="81"/>
            <rFont val="돋움"/>
            <family val="3"/>
            <charset val="129"/>
          </rPr>
          <t>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권장한다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<sst xmlns="http://schemas.openxmlformats.org/spreadsheetml/2006/main" count="48125" uniqueCount="2749">
  <si>
    <t>항목</t>
    <phoneticPr fontId="19" type="noConversion"/>
  </si>
  <si>
    <t>설명</t>
    <phoneticPr fontId="19" type="noConversion"/>
  </si>
  <si>
    <t>연관 엔터티명</t>
  </si>
  <si>
    <t>○ 해당 컬럼이 표현하는 논리적 데이터요소인 ‘엔터티명’을 기술
○ ‘엔터티정의서’에 기록한 ‘엔터티명’으로 기술</t>
    <phoneticPr fontId="19" type="noConversion"/>
  </si>
  <si>
    <t>연관 속성명</t>
  </si>
  <si>
    <t>○ 해당 컬럼이 표현하는 논리적 데이터요소인 ‘속성명’을 기술
○ ‘속성정의서’에 기록한 ‘속성명’으로 기술</t>
    <phoneticPr fontId="19" type="noConversion"/>
  </si>
  <si>
    <t>데이터 타입</t>
  </si>
  <si>
    <t>○ 컬럼 값의 물리적 표현 방식으로 DBMS 종속적인 데이터타입의 이름을 그대로 기록</t>
  </si>
  <si>
    <t>FK정보
(Foreign Key)</t>
    <phoneticPr fontId="19" type="noConversion"/>
  </si>
  <si>
    <t>○ 해당 컬럼이 FK(외래키) 제약에 참여하는 컬럼인 경우에 한해, 관련 테이블 이름과 컬럼 이름을 마침표(.)로 연결하여 기술
- (예시) 고객 테이블의 고객번호를 참조하는 경우 : T_CUST.CUST_ID
○ FK(외래키)에 포함되지 않는다면 생략</t>
    <phoneticPr fontId="19" type="noConversion"/>
  </si>
  <si>
    <t>제약조건</t>
  </si>
  <si>
    <t>○ 해당 값 영역에서 설명하는 컬럼 값의 특성 이외에, 컬럼에 대해 추가적으로 명시해야 할 제약조건(허용범위, 구분값, 기본값 등)을 기술</t>
  </si>
  <si>
    <t>컬럼 설명</t>
  </si>
  <si>
    <t>○ 컬럼에 대한 이해를 돕기 위하여 필요한 부가적인 설명 및 예외 사항 등을 기입</t>
  </si>
  <si>
    <t>등록_일시</t>
  </si>
  <si>
    <t>수정_일시</t>
  </si>
  <si>
    <t>TIMESTAMP</t>
  </si>
  <si>
    <t>서비스_아이디</t>
  </si>
  <si>
    <t>테이블 영문명</t>
  </si>
  <si>
    <t>컬럼 영문명</t>
  </si>
  <si>
    <t>○ 컬럼의 물리적 영문 이름으로 ‘표준용어정의서’에 등록된 용어를 사용</t>
  </si>
  <si>
    <t>컬럼 한글명</t>
  </si>
  <si>
    <t>○ 해당 컬럼과 연관되는 속성의 이름과 동일하게 부여하며, 표준용어를 준수하여 부여할 컬럼 한글 명칭</t>
  </si>
  <si>
    <t>데이터 길이</t>
  </si>
  <si>
    <t>데이터 형식</t>
  </si>
  <si>
    <t>Not Null 여부</t>
  </si>
  <si>
    <t>PK정보</t>
  </si>
  <si>
    <t>AK정보</t>
  </si>
  <si>
    <t>FK정보</t>
  </si>
  <si>
    <t>개인정보 여부</t>
  </si>
  <si>
    <t>○ 컬럼 값의 개인정보(“개인정보 비식별 조치 가이드라인” 식별자 조치 기준) 포함 여부</t>
  </si>
  <si>
    <t>암호화 여부</t>
  </si>
  <si>
    <t>○ 해당 컬럼이 개인정보 보호 등의 이유로 암호화가 되어 있는지를 기재</t>
  </si>
  <si>
    <t>공개/비공개 여부</t>
  </si>
  <si>
    <t>○ 해당 컬럼의 메타데이터 및 원천데이터 정보에 대한 공개 또는 비공개 여부(비공개의 경우 비공개 사유 기술)</t>
  </si>
  <si>
    <t>○ ‘도메인정의서’의 ‘길이’를 기술 
- ‘도메인정의서’에 없는 경우, 해당 컬럼의 값을 표현하기 위한 데이터의 길이로, DDL문에서 지정될 데이터 길이를 DBMS 종속적인 표현으로 기술 (DATE 타입과 같이 길이가 필요 없는 경우 생략)</t>
    <phoneticPr fontId="19" type="noConversion"/>
  </si>
  <si>
    <t>○ 해당 컬럼이 소속된 테이블의 이름(영문명)</t>
    <phoneticPr fontId="19" type="noConversion"/>
  </si>
  <si>
    <t>○ 컬럼 값의 데이터 형식(혹은 샘플값) 기술
(예: 컬럼 값의 데이터 형식이 날짜인 경우, ‘yyyy-mm -dd’ 등 실제 데이터베이스에 저장되는 형식 기술)</t>
    <phoneticPr fontId="19" type="noConversion"/>
  </si>
  <si>
    <t>○ 데이터가 생성(Insert)되는 시점에 컬럼 값이 반드시 존재해야 하는지를 표시
- 값의 표시 : "Y" - Nullable, "N" - Not Null</t>
    <phoneticPr fontId="19" type="noConversion"/>
  </si>
  <si>
    <t>○ AK(부키)에 참여하는 컬럼이면 "AK"와 숫자로 된 참여순서를 이용하여 표시하고 AK에 참여하지 않으면 생략
- (예시) AK_1-01(AK_1을 구성하는 컬럼 중 참여순서가 첫 번째), AK_1-02(AK_1을 구성하는 컬럼 중 참여순서가 두 번째) 등</t>
    <phoneticPr fontId="19" type="noConversion"/>
  </si>
  <si>
    <t>AK정보
(Alternate Key)</t>
    <phoneticPr fontId="19" type="noConversion"/>
  </si>
  <si>
    <t>개인정보여부</t>
  </si>
  <si>
    <t>공개/비공개여부</t>
  </si>
  <si>
    <t>DATA_PGE_NO</t>
  </si>
  <si>
    <t>DOI_식별_값</t>
  </si>
  <si>
    <t>문_분류학_국명</t>
  </si>
  <si>
    <t>문_분류학_학명</t>
  </si>
  <si>
    <t>CLS_TXNM_LCNM</t>
  </si>
  <si>
    <t>강_분류학_국명</t>
  </si>
  <si>
    <t>CLS_TXNM_SCNCENM</t>
  </si>
  <si>
    <t>강_분류학_학명</t>
  </si>
  <si>
    <t>목_분류학_국명</t>
  </si>
  <si>
    <t>목_분류학_학명</t>
  </si>
  <si>
    <t>과_분류학_국명</t>
  </si>
  <si>
    <t>과_분류학_학명</t>
  </si>
  <si>
    <t>GNS_TXNM_LCNM</t>
  </si>
  <si>
    <t>속_분류학_국명</t>
  </si>
  <si>
    <t>GNS_TXNM_SCNCENM</t>
  </si>
  <si>
    <t>속_분류학_학명</t>
  </si>
  <si>
    <t>SPCS_TXNM_LCNM</t>
  </si>
  <si>
    <t>종_분류학_국명</t>
  </si>
  <si>
    <t>SPCS_TXNM_SCNCENM</t>
  </si>
  <si>
    <t>종_분류학_학명</t>
  </si>
  <si>
    <t>NUMERIC</t>
  </si>
  <si>
    <t>schema</t>
    <phoneticPr fontId="19" type="noConversion"/>
  </si>
  <si>
    <t>암호화 여부</t>
    <phoneticPr fontId="19" type="noConversion"/>
  </si>
  <si>
    <t>구분</t>
    <phoneticPr fontId="19" type="noConversion"/>
  </si>
  <si>
    <t>표준</t>
    <phoneticPr fontId="19" type="noConversion"/>
  </si>
  <si>
    <t>추가</t>
    <phoneticPr fontId="19" type="noConversion"/>
  </si>
  <si>
    <t>기본값(Default)</t>
    <phoneticPr fontId="19" type="noConversion"/>
  </si>
  <si>
    <t>○ 해당 값 영역에서 설명하는 컬럼 값의 특성 이외에, 컬럼에 대해 추가적으로 명시해야 할 제약조건(허용범위, 구분값, 기본값 등)을 기술</t>
    <phoneticPr fontId="19" type="noConversion"/>
  </si>
  <si>
    <t>구분값(코드정보)</t>
    <phoneticPr fontId="19" type="noConversion"/>
  </si>
  <si>
    <t>허용범위</t>
    <phoneticPr fontId="19" type="noConversion"/>
  </si>
  <si>
    <t>PK01</t>
  </si>
  <si>
    <t>PK02</t>
  </si>
  <si>
    <t>N</t>
  </si>
  <si>
    <t/>
  </si>
  <si>
    <t>오류_내용</t>
  </si>
  <si>
    <t>VARCHAR</t>
  </si>
  <si>
    <t>언어_구분_코드</t>
  </si>
  <si>
    <t>강_분류학_아이디</t>
  </si>
  <si>
    <t>CLS_TXNM_ID</t>
  </si>
  <si>
    <t>TXNM_ID</t>
  </si>
  <si>
    <t>컬럼 한글명</t>
    <phoneticPr fontId="19" type="noConversion"/>
  </si>
  <si>
    <t>분류학_아이디</t>
  </si>
  <si>
    <t>계_분류학_학명</t>
  </si>
  <si>
    <t>이미지_URL</t>
  </si>
  <si>
    <t>계_분류학_국명</t>
  </si>
  <si>
    <t>bksp</t>
  </si>
  <si>
    <t>EOL_ID</t>
  </si>
  <si>
    <t>REG_DT</t>
  </si>
  <si>
    <t>REG_ID</t>
  </si>
  <si>
    <t>MDFCN_DT</t>
  </si>
  <si>
    <t>MDFCN_ID</t>
  </si>
  <si>
    <t>SORT_ORDR_NO</t>
  </si>
  <si>
    <t>RGN_LANG_NO</t>
  </si>
  <si>
    <t>생물종_지역_언어</t>
  </si>
  <si>
    <t>RGN_SE_CD</t>
  </si>
  <si>
    <t>PRIOR_YN</t>
  </si>
  <si>
    <t>RGN_LANG_NM</t>
  </si>
  <si>
    <t>생물종_마스터</t>
  </si>
  <si>
    <t>EOL_CLSF_ID</t>
  </si>
  <si>
    <t>EOL_UP_CLSF_ID</t>
  </si>
  <si>
    <t>GBIF_CLSF_ID</t>
  </si>
  <si>
    <t>GBIF_SPCS_ID</t>
  </si>
  <si>
    <t>GBIF_CLSF_GRD_NM</t>
  </si>
  <si>
    <t>EOL_SPCS_TXNM_NM</t>
  </si>
  <si>
    <t>DMSTC_SPCS_EXST_YN</t>
  </si>
  <si>
    <t>ADW_EXST_YN</t>
  </si>
  <si>
    <t>KDM_TXNM_SCNCENM</t>
  </si>
  <si>
    <t>KDM_TXNM_LCNM</t>
  </si>
  <si>
    <t>KDM_TXNM_ID</t>
  </si>
  <si>
    <t>PLM_TXNM_SCNCENM</t>
  </si>
  <si>
    <t>PLM_TXNM_LCNM</t>
  </si>
  <si>
    <t>PLM_TXNM_ID</t>
  </si>
  <si>
    <t>ODR_TXNM_SCNCENM</t>
  </si>
  <si>
    <t>ODR_TXNM_LCNM</t>
  </si>
  <si>
    <t>ODR_TXNM_ID</t>
  </si>
  <si>
    <t>FMLY_TXNM_SCNCENM</t>
  </si>
  <si>
    <t>FMLY_TXNM_LCNM</t>
  </si>
  <si>
    <t>FMLY_TXNM_ID</t>
  </si>
  <si>
    <t>GNS_TXNM_ID</t>
  </si>
  <si>
    <t>EOL_CLSF_LYR_CN</t>
  </si>
  <si>
    <t>SCNCENM_NO</t>
  </si>
  <si>
    <t>생물종_학명</t>
  </si>
  <si>
    <t>CLCT_INST_SE_CD</t>
  </si>
  <si>
    <t>생물종_동의어</t>
  </si>
  <si>
    <t>SYNONM_NM</t>
  </si>
  <si>
    <t>수집_건수_통계_요약</t>
  </si>
  <si>
    <t>EOL_NM_CLCT_SCNCENM_NOCS</t>
  </si>
  <si>
    <t>EOL_NM_CLCT_SYNONM_NOCS</t>
  </si>
  <si>
    <t>EOL_NM_CLCT_RGN_LANG_NOCS</t>
  </si>
  <si>
    <t>EOL_LVB_SFE_CLCT_NOCS</t>
  </si>
  <si>
    <t>NCBI_JRNL_CLCT_NOCS</t>
  </si>
  <si>
    <t>GGL_PATENT_CLCT_NOCS</t>
  </si>
  <si>
    <t>GBIF_SPCE_INFO_CLCT_NOCS</t>
  </si>
  <si>
    <t>LVB_IMG_NO</t>
  </si>
  <si>
    <t>EOL_DATA_ID</t>
  </si>
  <si>
    <t>MEDIA_SE_CD</t>
  </si>
  <si>
    <t>IMG_TTL</t>
  </si>
  <si>
    <t>FILE_STRG_PATH</t>
  </si>
  <si>
    <t>IMG_URL</t>
  </si>
  <si>
    <t>DATA_SRC_BSC_URL</t>
  </si>
  <si>
    <t>RIGHT_HOLDER_NM</t>
  </si>
  <si>
    <t>CPYRHT_URL</t>
  </si>
  <si>
    <t>LVB_MEDIA_NO</t>
  </si>
  <si>
    <t>MEDIA_TTL</t>
  </si>
  <si>
    <t>MEDIA_URL</t>
  </si>
  <si>
    <t>FRMAT_FOM_NM</t>
  </si>
  <si>
    <t>EOL_생물_미디어_원본</t>
  </si>
  <si>
    <t>MEDIA_ORGNL_CN</t>
  </si>
  <si>
    <t>LVB_SFE_INFO_NO</t>
  </si>
  <si>
    <t>EOL_생물_특징_정보</t>
  </si>
  <si>
    <t>LANG_SE_CD</t>
  </si>
  <si>
    <t>WIKI_YN</t>
  </si>
  <si>
    <t>OFFER_NM</t>
  </si>
  <si>
    <t>LVB_SFE_TTL</t>
  </si>
  <si>
    <t>LVB_SFE_CN</t>
  </si>
  <si>
    <t>LVB_SFE_ORGNL_CN</t>
  </si>
  <si>
    <t>LVB_SFE_INDEX_CMPTN_YN</t>
  </si>
  <si>
    <t>EOL_생물_특징_정보_원본</t>
  </si>
  <si>
    <t>LVB_SFE_INFO_ORGNL_CN</t>
  </si>
  <si>
    <t>REFINE_CMPTN_YN</t>
  </si>
  <si>
    <t>CNTNTS_NO</t>
  </si>
  <si>
    <t>기능_애플리케이션_컨텐츠_매핑</t>
  </si>
  <si>
    <t>APLCTN_CD</t>
  </si>
  <si>
    <t>기능_혜택_컨텐츠_매핑</t>
  </si>
  <si>
    <t>BNEF_CD</t>
  </si>
  <si>
    <t>CNTNTS_BIOSPC_NO</t>
  </si>
  <si>
    <t>기능_컨텐츠_생물종</t>
  </si>
  <si>
    <t>TXNM_SE_CD</t>
  </si>
  <si>
    <t>CNTNTS_KWRD_NO</t>
  </si>
  <si>
    <t>기능_컨텐츠_키워드</t>
  </si>
  <si>
    <t>ENG_KWRD_NM</t>
  </si>
  <si>
    <t>기능_컨텐츠_마스터</t>
  </si>
  <si>
    <t>CNTNTS_SE_NM</t>
  </si>
  <si>
    <t>CNTNTS_TTL</t>
  </si>
  <si>
    <t>CNTNTS_SBTTL</t>
  </si>
  <si>
    <t>CNTNTS_SUMRY_EXPLN</t>
  </si>
  <si>
    <t>THUMB_IMG_URL</t>
  </si>
  <si>
    <t>CNTNTS_CN</t>
  </si>
  <si>
    <t>CNTNTS_ORGNL_CN</t>
  </si>
  <si>
    <t>RLS_YMD</t>
  </si>
  <si>
    <t>INDEX_CMPTN_YN</t>
  </si>
  <si>
    <t>ASKNTR_ID</t>
  </si>
  <si>
    <t>기능_컨텐츠_관계</t>
  </si>
  <si>
    <t>CNTNTS_REL_NO</t>
  </si>
  <si>
    <t>ETC_CD_SE</t>
  </si>
  <si>
    <t>기능_기타_코드_관리</t>
  </si>
  <si>
    <t>ETC_CD</t>
  </si>
  <si>
    <t>기능_부문_컨텐츠_매핑</t>
  </si>
  <si>
    <t>SECT_CD</t>
  </si>
  <si>
    <t>기능_기술_컨텐츠_매핑</t>
  </si>
  <si>
    <t>TCHNLGY_CD</t>
  </si>
  <si>
    <t>GBIF_공간_정보</t>
  </si>
  <si>
    <t>MUMM_LAT</t>
  </si>
  <si>
    <t>MUMM_LOT</t>
  </si>
  <si>
    <t>MXMM_LAT</t>
  </si>
  <si>
    <t>MXMM_LOT</t>
  </si>
  <si>
    <t>MUMM_YEAR</t>
  </si>
  <si>
    <t>MXMM_YEAR</t>
  </si>
  <si>
    <t>SPCE_INFO_WHOL_CNT</t>
  </si>
  <si>
    <t>PMC_ID</t>
  </si>
  <si>
    <t>NCBI_저널_내용</t>
  </si>
  <si>
    <t>JRNL_ABSTR_CN</t>
  </si>
  <si>
    <t>JRNL_ABSTR_ORGNL_CN</t>
  </si>
  <si>
    <t>JRNL_BDT_CN</t>
  </si>
  <si>
    <t>NCBI_저널_생물_매핑</t>
  </si>
  <si>
    <t>NCBI_저널_마스터</t>
  </si>
  <si>
    <t>DOI_IDNTF_VL</t>
  </si>
  <si>
    <t>JRNL_TTL</t>
  </si>
  <si>
    <t>JRNL_LINK_URL</t>
  </si>
  <si>
    <t>JRNL_INDEX_CMPTN_YN</t>
  </si>
  <si>
    <t>THESIS_AUT_NO</t>
  </si>
  <si>
    <t>NCBI_논문_저자</t>
  </si>
  <si>
    <t>THESIS_KWRD_NO</t>
  </si>
  <si>
    <t>NCBI_논문_키워드</t>
  </si>
  <si>
    <t>PBLCATE_IDNTF_ID</t>
  </si>
  <si>
    <t>IPC_CNTRMSR_CD</t>
  </si>
  <si>
    <t>CD_LYR_NO</t>
  </si>
  <si>
    <t>CPC_CD_LYR_EXPLN</t>
  </si>
  <si>
    <t>CPC_ENG_CD_LYR_EXPLN</t>
  </si>
  <si>
    <t>CPC_KORN_CD_LYR_EXPLN</t>
  </si>
  <si>
    <t>LWPRT_NODE_CNT</t>
  </si>
  <si>
    <t>PATENT_IMG_NO</t>
  </si>
  <si>
    <t>특허_이미지_정보</t>
  </si>
  <si>
    <t>특허_생물_매핑</t>
  </si>
  <si>
    <t>특허_마스터</t>
  </si>
  <si>
    <t>APPL_NTN_ABRV_NM</t>
  </si>
  <si>
    <t>PATENT_TTL</t>
  </si>
  <si>
    <t>PATENT_ABSTR_CN</t>
  </si>
  <si>
    <t>PATENT_BDT_CN</t>
  </si>
  <si>
    <t>PATENT_INVNTER_LIST_CN</t>
  </si>
  <si>
    <t>PATENT_GRNTE_LIST_CN</t>
  </si>
  <si>
    <t>PATENT_PRIO_ASSR_YMD</t>
  </si>
  <si>
    <t>PATENT_APPL_RLS_YMD</t>
  </si>
  <si>
    <t>PATENT_REG_YMD</t>
  </si>
  <si>
    <t>PATENT_LINK_URL</t>
  </si>
  <si>
    <t>PATENT_PDF_URL</t>
  </si>
  <si>
    <t>PATENT_INDEX_CMPTN_YN</t>
  </si>
  <si>
    <t>SRCHWRD_SPCS_NM</t>
  </si>
  <si>
    <t>KISTI_THESIS_ID</t>
  </si>
  <si>
    <t>THESIS_AUT_NM</t>
  </si>
  <si>
    <t>CLCT_INST_CD</t>
  </si>
  <si>
    <t>CLCT_ARTCL_CD</t>
  </si>
  <si>
    <t>JOB_EXPLN</t>
  </si>
  <si>
    <t>SRVC_ID</t>
  </si>
  <si>
    <t>SRVC_SE_CD</t>
  </si>
  <si>
    <t>SRVC_STTS_CD</t>
  </si>
  <si>
    <t>SRVC_APLCN_PLAN_CD</t>
  </si>
  <si>
    <t>SRVC_APLCN_PLAN_DT</t>
  </si>
  <si>
    <t>SRVC_ERR_NO</t>
  </si>
  <si>
    <t>ERR_CN</t>
  </si>
  <si>
    <t>EOL_LVB_SFE_CLCT_YN</t>
  </si>
  <si>
    <t>EOL_LVB_SFE_CLCT_SCS_NOCS</t>
  </si>
  <si>
    <t>EOL_LVB_SFE_CLCT_ERR_NOCS</t>
  </si>
  <si>
    <t>NCBI_JRNL_CLCT_YN</t>
  </si>
  <si>
    <t>NCBI_JRNL_CLCT_SCS_NOCS</t>
  </si>
  <si>
    <t>NCBI_JRNL_CLCT_ERR_NOCS</t>
  </si>
  <si>
    <t>KISTI_JRNL_CLCT_YN</t>
  </si>
  <si>
    <t>KISTI_JRNL_CLCT_SCS_NOCS</t>
  </si>
  <si>
    <t>KISTI_JRNL_CLCT_ERR_NOCS</t>
  </si>
  <si>
    <t>GGL_PATENT_CLCT_YN</t>
  </si>
  <si>
    <t>GGL_PATENT_CLCT_SCS_NOCS</t>
  </si>
  <si>
    <t>GGL_PATENT_CLCT_ERR_NOCS</t>
  </si>
  <si>
    <t>GBIF_SPCE_INFO_CLCT_YN</t>
  </si>
  <si>
    <t>GBIF_SPCE_INFO_CLCT_SCS_NOCS</t>
  </si>
  <si>
    <t>GBIF_SPCE_INFO_CLCT_ERR_NOCS</t>
  </si>
  <si>
    <t>CLCT_STTS_CD</t>
  </si>
  <si>
    <t>TBL_MMCRY_CLSF_SYSTM_CD_MNG</t>
  </si>
  <si>
    <t>MMCRY_CLSF_SYSTM_CD</t>
  </si>
  <si>
    <t>모방_분류_체계_코드_관리</t>
  </si>
  <si>
    <t>MMCRY_CLSF_SYSTM_ENG_NM</t>
  </si>
  <si>
    <t>MMCRY_CLSF_SYSTM_KORN_NM</t>
  </si>
  <si>
    <t>MMCRY_CLSF_SYSTM_ENG_EXPLN</t>
  </si>
  <si>
    <t>MMCRY_CLSF_SYSTM_KORN_EXPLN</t>
  </si>
  <si>
    <t>TBL_SFE_CLSF_SYSTM_CD_MNG</t>
  </si>
  <si>
    <t>SFE_CLSF_SYSTM_CD</t>
  </si>
  <si>
    <t>특징_분류_체계_코드_관리</t>
  </si>
  <si>
    <t>SFE_CLSF_SYSTM_ENG_NM</t>
  </si>
  <si>
    <t>SFE_CLSF_SYSTM_KORN_NM</t>
  </si>
  <si>
    <t>TBL_PATENT_CLSF_SYSTM_CD_MNG</t>
  </si>
  <si>
    <t>PATENT_CLSF_SYSTM_CD</t>
  </si>
  <si>
    <t>특허_분류_체계_코드_관리</t>
  </si>
  <si>
    <t>TBL_PRDCT_CLSF_SYSTM_CD_MNG</t>
  </si>
  <si>
    <t>PRDCT_CLSF_SYSTM_CD</t>
  </si>
  <si>
    <t>제품_분류_체계_코드_관리</t>
  </si>
  <si>
    <t>PRDCT_CLSF_SYSTM_ENG_NM</t>
  </si>
  <si>
    <t>PRDCT_CLSF_SYSTM_KORN_NM</t>
  </si>
  <si>
    <t>TBL_INDUST_CLSF_SYSTM_CD_MNG</t>
  </si>
  <si>
    <t>INDUST_CLSF_SYSTM_CD</t>
  </si>
  <si>
    <t>산업_분류_체계_코드_관리</t>
  </si>
  <si>
    <t>INDUST_CLSF_SYSTM_ENG_NM</t>
  </si>
  <si>
    <t>INDUST_CLSF_SYSTM_KORN_NM</t>
  </si>
  <si>
    <t>PATENT_ID</t>
  </si>
  <si>
    <t>ECLGY_MMCRY_CASE_ID</t>
  </si>
  <si>
    <t>TBL_ECLGY_MMCRY_PATENT_TREND_MNG</t>
  </si>
  <si>
    <t>ECLGY_MMCRY_PATENT_TREND_ID</t>
  </si>
  <si>
    <t>생태_모방_특허_동향_관리</t>
  </si>
  <si>
    <t>ECLGY_MMCRY_PATENT_TREND_SRC_URL</t>
  </si>
  <si>
    <t>ECLGY_MMCRY_PATENT_TREND_TTL</t>
  </si>
  <si>
    <t>ECLGY_MMCRY_PATENT_TREND_SUMRY</t>
  </si>
  <si>
    <t>ECLGY_MMCRY_PATENT_TREND_WRT_DT</t>
  </si>
  <si>
    <t>TBL_ECLGY_MMCRY_PATENT_TREND_KWRD_MNG</t>
  </si>
  <si>
    <t>ECLGY_MMCRY_PATENT_TREND_KWRD_NM</t>
  </si>
  <si>
    <t>생태_모방_특허_동향_키워드_관리</t>
  </si>
  <si>
    <t>ECLGY_MMCRY_PATENT_TREND_KWRD_ID</t>
  </si>
  <si>
    <t>ECLGY_MMCRY_PATENT_TREND_KWRD_REG_DT</t>
  </si>
  <si>
    <t>TBL_ECLGY_MMCRY_PATENT_TREND_CLCT_MNG</t>
  </si>
  <si>
    <t>ECLGY_MMCRY_PATENT_TREND_CLCT_ID</t>
  </si>
  <si>
    <t>생태_모방_특허_동향_수집_관리</t>
  </si>
  <si>
    <t>ECLGY_MMCRY_PATENT_TREND_CLCT_DT</t>
  </si>
  <si>
    <t>ECLGY_MMCRY_PATENT_TREND_CLCT_EXCN_RSLT_CD</t>
  </si>
  <si>
    <t>ECLGY_MMCRY_PATENT_TREND_CLCT_NOCS</t>
  </si>
  <si>
    <t>ECLGY_MMCRY_PATENT_TREND_CLCT_ERR_CN</t>
  </si>
  <si>
    <t>ECLGY_MMCRY_CASE_RANK_USER_SATSFC_SCR</t>
  </si>
  <si>
    <t>ECLGY_MMCRY_CASE_RANK_MNGR_RFLT_SCR</t>
  </si>
  <si>
    <t>ECLGY_MMCRY_CASE_RANK_REG_DT</t>
  </si>
  <si>
    <t>TBL_ECLGY_MMCRY_KNWLDG_ERR_DCLR_MNG</t>
  </si>
  <si>
    <t>ECLGY_MMCRY_KNWLDG_ERR_DCLR_ID</t>
  </si>
  <si>
    <t>생태_모방_지식_오류_신고_관리</t>
  </si>
  <si>
    <t>ECLGY_MMCRY_KNWLDG_ERR_DCLR_SE_CD</t>
  </si>
  <si>
    <t>ECLGY_MMCRY_KNWLDG_ERR_DCLR_CLSF_CD</t>
  </si>
  <si>
    <t>ECLGY_MMCRY_KNWLDG_ERR_DCLR_STTS_CD</t>
  </si>
  <si>
    <t>ECLGY_MMCRY_KNWLDG_ERR_DCLR_INQ_CNT</t>
  </si>
  <si>
    <t>ECLGY_MMCRY_KNWLDG_ERR_DCLR_RLS_YN</t>
  </si>
  <si>
    <t>ECLGY_MMCRY_KNWLDG_ERR_DCLR_TTL</t>
  </si>
  <si>
    <t>ECLGY_MMCRY_KNWLDG_ERR_DCLR_CN</t>
  </si>
  <si>
    <t>ECLGY_MMCRY_KNWLDG_ERR_DCLR_ATCH_FILE_ID</t>
  </si>
  <si>
    <t>ECLGY_MMCRY_KNWLDG_ERR_DCLR_REG_DT</t>
  </si>
  <si>
    <t>ECLGY_MMCRY_KNWLDG_ERR_DCLR_MDFCN_DT</t>
  </si>
  <si>
    <t>ECLGY_MMCRY_KNWLDG_ERR_DCLR_WRTR_ID</t>
  </si>
  <si>
    <t>ECLGY_MMCRY_KNWLDG_ERR_DCLR_ANS_CN</t>
  </si>
  <si>
    <t>ECLGY_MMCRY_KNWLDG_ERR_DCLR_ANS_REG_DT</t>
  </si>
  <si>
    <t>ECLGY_MMCRY_KNWLDG_ERR_DCLR_ANS_MDFCN_DT</t>
  </si>
  <si>
    <t>ECLGY_MMCRY_KNWLDG_ERR_DCLR_ANS_WRTR_ID</t>
  </si>
  <si>
    <t>TBL_VSTR_STTUS_INFO</t>
  </si>
  <si>
    <t>VSTR_CNT_STTUS_YM</t>
  </si>
  <si>
    <t>방문자_현황_정보</t>
  </si>
  <si>
    <t>VSTR_LGT_CNT</t>
  </si>
  <si>
    <t>VSTR_LGN_CNT</t>
  </si>
  <si>
    <t>VSTR_EXPERT_CNT</t>
  </si>
  <si>
    <t>VSTR_LGT_STAY_HR</t>
  </si>
  <si>
    <t>VSTR_LGN_STAY_HR</t>
  </si>
  <si>
    <t>TBL_MMCRY_CLSF_INQ_CNT_STTUS_INFO</t>
  </si>
  <si>
    <t>MMCRY_CLSF_SYSTM_INQ_STTUS_YM</t>
  </si>
  <si>
    <t>모방_분류_조회_수_현황_정보</t>
  </si>
  <si>
    <t>MMCRY_CLSF_SYSTM_INQ_CNT</t>
  </si>
  <si>
    <t>TBL_SFE_CLSF_INQ_CNT_STTUS_INFO</t>
  </si>
  <si>
    <t>SFE_CLSF_SYSTM_INQ_STTUS_YM</t>
  </si>
  <si>
    <t>특징_분류_조회_수_현황_정보</t>
  </si>
  <si>
    <t>TBL_PATENT_CLSF_INQ_CNT_STTUS_INFO</t>
  </si>
  <si>
    <t>PATENT_CLSF_SYSTM_INQ_STTUS_YM</t>
  </si>
  <si>
    <t>특허_분류_조회_수_현황_정보</t>
  </si>
  <si>
    <t>PATENT_CLSF_SYSTM_INQ_CNT</t>
  </si>
  <si>
    <t>TBL_PRDCT_CLSF_INQ_CNT_STTUS_INFO</t>
  </si>
  <si>
    <t>PRDCT_CLSF_SYSTM_INQ_STTUS_YM</t>
  </si>
  <si>
    <t>제품_분류_조회_수_현황_정보</t>
  </si>
  <si>
    <t>PRDCT_CLSF_SYSTM_INQ_CNT</t>
  </si>
  <si>
    <t>TBL_INDUST_CLSF_INQ_CNT_STTUS_INFO</t>
  </si>
  <si>
    <t>INDUST_CLSF_SYSTM_INQ_STTUS_YM</t>
  </si>
  <si>
    <t>산업_분류_조회_수_현황_정보</t>
  </si>
  <si>
    <t>INDUST_CLSF_SYSTM_INQ_CNT</t>
  </si>
  <si>
    <t>TBL_NL_MDL_MNG</t>
  </si>
  <si>
    <t>NL_MDL_ID</t>
  </si>
  <si>
    <t>자연어_모델_관리</t>
  </si>
  <si>
    <t>NL_MDL_STRG_PATH</t>
  </si>
  <si>
    <t>NL_MDL_STTS_CD</t>
  </si>
  <si>
    <t>NL_MDL_USE_YN</t>
  </si>
  <si>
    <t>등록_아이디</t>
  </si>
  <si>
    <t>수정_아이디</t>
  </si>
  <si>
    <t>영문_코드_설명</t>
  </si>
  <si>
    <t>한글_코드_설명</t>
  </si>
  <si>
    <t>정렬_순서_번호</t>
  </si>
  <si>
    <t>지역_언어_번호</t>
  </si>
  <si>
    <t>지역_구분_코드</t>
  </si>
  <si>
    <t>우선_여부</t>
  </si>
  <si>
    <t>지역_언어_명</t>
  </si>
  <si>
    <t>EOL_분류_아이디</t>
  </si>
  <si>
    <t>EOL_상위_분류_아이디</t>
  </si>
  <si>
    <t>GBIF_분류_아이디</t>
  </si>
  <si>
    <t>GBIF_종_아이디</t>
  </si>
  <si>
    <t>GBIF_분류_등급_명</t>
  </si>
  <si>
    <t>EOL_종_분류학_명</t>
  </si>
  <si>
    <t>국내_종_존재_여부</t>
  </si>
  <si>
    <t>동물다양성웹_존재_여부</t>
  </si>
  <si>
    <t>계_분류학_아이디</t>
  </si>
  <si>
    <t>문_분류학_아이디</t>
  </si>
  <si>
    <t>목_분류학_아이디</t>
  </si>
  <si>
    <t>과_분류학_아이디</t>
  </si>
  <si>
    <t>속_분류학_아이디</t>
  </si>
  <si>
    <t>EOL_분류_계층_내용</t>
  </si>
  <si>
    <t>학명_번호</t>
  </si>
  <si>
    <t>수집_기관_구분_코드</t>
  </si>
  <si>
    <t>동의어_명</t>
  </si>
  <si>
    <t>EOL_명_수집_학명_건수</t>
  </si>
  <si>
    <t>EOL_명_수집_동의어_건수</t>
  </si>
  <si>
    <t>EOL_명_수집_지역_언어_건수</t>
  </si>
  <si>
    <t>EOL_생물_특징_수집_건수</t>
  </si>
  <si>
    <t>NCBI_저널_수집_건수</t>
  </si>
  <si>
    <t>구글_특허_수집_건수</t>
  </si>
  <si>
    <t>GBIF_공간_정보_수집_건수</t>
  </si>
  <si>
    <t>생물_이미지_번호</t>
  </si>
  <si>
    <t>미디어_구분_코드</t>
  </si>
  <si>
    <t>이미지_제목</t>
  </si>
  <si>
    <t>파일_저장_경로</t>
  </si>
  <si>
    <t>권리_보유자_명</t>
  </si>
  <si>
    <t>저작권_URL</t>
  </si>
  <si>
    <t>생물_미디어_번호</t>
  </si>
  <si>
    <t>미디어_제목</t>
  </si>
  <si>
    <t>미디어_URL</t>
  </si>
  <si>
    <t>포맷_형식_명</t>
  </si>
  <si>
    <t>미디어_원본_내용</t>
  </si>
  <si>
    <t>생물_특징_정보_번호</t>
  </si>
  <si>
    <t>위키_여부</t>
  </si>
  <si>
    <t>제공자_명</t>
  </si>
  <si>
    <t>생물_특징_제목</t>
  </si>
  <si>
    <t>생물_특징_내용</t>
  </si>
  <si>
    <t>생물_특징_원본_내용</t>
  </si>
  <si>
    <t>생물_특징_색인_완료_여부</t>
  </si>
  <si>
    <t>생물_특징_정보_원본_내용</t>
  </si>
  <si>
    <t>정제_완료_여부</t>
  </si>
  <si>
    <t>컨텐츠_번호</t>
  </si>
  <si>
    <t>애플리케이션_코드</t>
  </si>
  <si>
    <t>혜택_코드</t>
  </si>
  <si>
    <t>컨텐츠_생물종_번호</t>
  </si>
  <si>
    <t>분류학_구분_코드</t>
  </si>
  <si>
    <t>컨텐츠_키워드_번호</t>
  </si>
  <si>
    <t>영문_키워드_명</t>
  </si>
  <si>
    <t>한글_키워드_명</t>
  </si>
  <si>
    <t>컨텐츠_구분_명</t>
  </si>
  <si>
    <t>컨텐츠_제목</t>
  </si>
  <si>
    <t>컨텐츠_부제목</t>
  </si>
  <si>
    <t>썸네일_이미지_URL</t>
  </si>
  <si>
    <t>컨텐츠_내용</t>
  </si>
  <si>
    <t>컨텐츠_원본_내용</t>
  </si>
  <si>
    <t>공개_일자</t>
  </si>
  <si>
    <t>색인_완료_여부</t>
  </si>
  <si>
    <t>ASKNATURE_아이디</t>
  </si>
  <si>
    <t>컨텐츠_관계_번호</t>
  </si>
  <si>
    <t>기타_코드_구분</t>
  </si>
  <si>
    <t>기타_코드</t>
  </si>
  <si>
    <t>부문_코드</t>
  </si>
  <si>
    <t>기술_코드</t>
  </si>
  <si>
    <t>최소_위도</t>
  </si>
  <si>
    <t>최소_경도</t>
  </si>
  <si>
    <t>최대_위도</t>
  </si>
  <si>
    <t>최대_경도</t>
  </si>
  <si>
    <t>최소_년도</t>
  </si>
  <si>
    <t>최대_년도</t>
  </si>
  <si>
    <t>공간_정보_전체_수</t>
  </si>
  <si>
    <t>PMC_아이디</t>
  </si>
  <si>
    <t>저널_초록_내용</t>
  </si>
  <si>
    <t>저널_초록_원본_내용</t>
  </si>
  <si>
    <t>저널_본문_내용</t>
  </si>
  <si>
    <t>저널_제목</t>
  </si>
  <si>
    <t>저널_색인_완료_여부</t>
  </si>
  <si>
    <t>논문_저자_번호</t>
  </si>
  <si>
    <t>논문_키워드_번호</t>
  </si>
  <si>
    <t>출판_식별_아이디</t>
  </si>
  <si>
    <t>IPC_대응_코드</t>
  </si>
  <si>
    <t>코드_계층_번호</t>
  </si>
  <si>
    <t>CPC_코드_계층_설명</t>
  </si>
  <si>
    <t>CPC_영문_코드_계층_설명</t>
  </si>
  <si>
    <t>CPC_한글_코드_계층_설명</t>
  </si>
  <si>
    <t>특허_이미지_번호</t>
  </si>
  <si>
    <t>출원_국가_약어_명</t>
  </si>
  <si>
    <t>특허_제목</t>
  </si>
  <si>
    <t>특허_초록_내용</t>
  </si>
  <si>
    <t>특허_본문_내용</t>
  </si>
  <si>
    <t>특허_발명자_목록_내용</t>
  </si>
  <si>
    <t>특허_양수인_목록_내용</t>
  </si>
  <si>
    <t>특허_우선권_주장_일자</t>
  </si>
  <si>
    <t>특허_출원_공개_일자</t>
  </si>
  <si>
    <t>특허_등록_일자</t>
  </si>
  <si>
    <t>특허_PDF_URL</t>
  </si>
  <si>
    <t>특허_색인_완료_여부</t>
  </si>
  <si>
    <t>검색어_종_명</t>
  </si>
  <si>
    <t>KISTI_논문_아이디</t>
  </si>
  <si>
    <t>논문_저자_명</t>
  </si>
  <si>
    <t>KISTI_논문_저자</t>
  </si>
  <si>
    <t>KISTI_논문_키워드</t>
  </si>
  <si>
    <t>작업_설명</t>
  </si>
  <si>
    <t>서비스_적용_계획_일시</t>
  </si>
  <si>
    <t>서비스_오류_번호</t>
  </si>
  <si>
    <t>EOL_생물_특징_수집_여부</t>
  </si>
  <si>
    <t>EOL_생물_특징_수집_성공_건수</t>
  </si>
  <si>
    <t>EOL_생물_특징_수집_오류_건수</t>
  </si>
  <si>
    <t>NCBI_저널_수집_여부</t>
  </si>
  <si>
    <t>NCBI_저널_수집_성공_건수</t>
  </si>
  <si>
    <t>NCBI_저널_수집_오류_건수</t>
  </si>
  <si>
    <t>KISTI_저널_수집_여부</t>
  </si>
  <si>
    <t>KISTI_저널_수집_성공_건수</t>
  </si>
  <si>
    <t>KISTI_저널_수집_오류_건수</t>
  </si>
  <si>
    <t>구글_특허_수집_여부</t>
  </si>
  <si>
    <t>구글_특허_수집_성공_건수</t>
  </si>
  <si>
    <t>구글_특허_수집_오류_건수</t>
  </si>
  <si>
    <t>GBIF_공간_정보_수집_여부</t>
  </si>
  <si>
    <t>GBIF_공간_정보_수집_성공_건수</t>
  </si>
  <si>
    <t>GBIF_공간_정보_수집_오류_건수</t>
  </si>
  <si>
    <t>수집_상태_코드</t>
  </si>
  <si>
    <t>EOL_아이디</t>
  </si>
  <si>
    <t>모방_분류_체계_코드</t>
  </si>
  <si>
    <t>모방_분류_체계_영문_명</t>
  </si>
  <si>
    <t>모방_분류_체계_한글_명</t>
  </si>
  <si>
    <t>모방_분류_체계_영문_설명</t>
  </si>
  <si>
    <t>모방_분류_체계_한글_설명</t>
  </si>
  <si>
    <t>특징_분류_체계_코드</t>
  </si>
  <si>
    <t>특징_분류_체계_영문_명</t>
  </si>
  <si>
    <t>특징_분류_체계_한글_명</t>
  </si>
  <si>
    <t>특허_분류_체계_코드</t>
  </si>
  <si>
    <t>제품_분류_체계_코드</t>
  </si>
  <si>
    <t>제품_분류_체계_영문_명</t>
  </si>
  <si>
    <t>제품_분류_체계_한글_명</t>
  </si>
  <si>
    <t>산업_분류_체계_코드</t>
  </si>
  <si>
    <t>산업_분류_체계_영문_명</t>
  </si>
  <si>
    <t>산업_분류_체계_한글_명</t>
  </si>
  <si>
    <t>특허_아이디</t>
  </si>
  <si>
    <t>생태_모방_사례_아이디</t>
  </si>
  <si>
    <t>생태_모방_특허_동향_아이디</t>
  </si>
  <si>
    <t>생태_모방_특허_동향_출처_URL</t>
  </si>
  <si>
    <t>생태_모방_특허_동향_제목</t>
  </si>
  <si>
    <t>생태_모방_특허_동향_요약</t>
  </si>
  <si>
    <t>생태_모방_특허_동향_작성_일시</t>
  </si>
  <si>
    <t>생태_모방_특허_동향_키워드_명</t>
  </si>
  <si>
    <t>생태_모방_특허_동향_키워드_아이디</t>
  </si>
  <si>
    <t>생태_모방_특허_동향_키워드_등록_일시</t>
  </si>
  <si>
    <t>생태_모방_특허_동향_수집_아이디</t>
  </si>
  <si>
    <t>생태_모방_특허_동향_수집_일시</t>
  </si>
  <si>
    <t>생태_모방_특허_동향_수집_건수</t>
  </si>
  <si>
    <t>생태_모방_특허_동향_수집_오류_내용</t>
  </si>
  <si>
    <t>생태_모방_사례_랭킹_검색어</t>
  </si>
  <si>
    <t>생태_모방_사례_랭킹_사용자_만족_점수</t>
  </si>
  <si>
    <t>생태_모방_사례_랭킹_관리자_반영_점수</t>
  </si>
  <si>
    <t>생태_모방_사례_랭킹_등록_일시</t>
  </si>
  <si>
    <t>생태_모방_지식_오류_신고_아이디</t>
  </si>
  <si>
    <t>생태_모방_지식_오류_신고_조회_수</t>
  </si>
  <si>
    <t>생태_모방_지식_오류_신고_공개_여부</t>
  </si>
  <si>
    <t>생태_모방_지식_오류_신고_제목</t>
  </si>
  <si>
    <t>생태_모방_지식_오류_신고_내용</t>
  </si>
  <si>
    <t>생태_모방_지식_오류_신고_첨부_파일_아이디</t>
  </si>
  <si>
    <t>생태_모방_지식_오류_신고_등록_일시</t>
  </si>
  <si>
    <t>생태_모방_지식_오류_신고_수정_일시</t>
  </si>
  <si>
    <t>생태_모방_지식_오류_신고_작성자_아이디</t>
  </si>
  <si>
    <t>생태_모방_지식_오류_신고_답변_내용</t>
  </si>
  <si>
    <t>생태_모방_지식_오류_신고_답변_첨부_파일_아이디</t>
  </si>
  <si>
    <t>생태_모방_지식_오류_신고_답변_등록_일시</t>
  </si>
  <si>
    <t>생태_모방_지식_오류_신고_답변_수정_일시</t>
  </si>
  <si>
    <t>생태_모방_지식_오류_신고_답변_작성자_아이디</t>
  </si>
  <si>
    <t>방문자_수_현황_연월</t>
  </si>
  <si>
    <t>방문자_로그아웃_수</t>
  </si>
  <si>
    <t>방문자_로그인_수</t>
  </si>
  <si>
    <t>방문자_전문가_수</t>
  </si>
  <si>
    <t>방문자_로그아웃_체류_시간</t>
  </si>
  <si>
    <t>방문자_로그인_체류_시간</t>
  </si>
  <si>
    <t>방문자_전문가_체류_시간</t>
  </si>
  <si>
    <t>모방_분류_체계_조회_현황_연월</t>
  </si>
  <si>
    <t>모방_분류_체계_조회_수</t>
  </si>
  <si>
    <t>특징_분류_체계_조회_현황_연월</t>
  </si>
  <si>
    <t>특징_분류_체계_조회_수</t>
  </si>
  <si>
    <t>특허_분류_체계_조회_현황_연월</t>
  </si>
  <si>
    <t>특허_분류_체계_조회_수</t>
  </si>
  <si>
    <t>제품_분류_체계_조회_현황_연월</t>
  </si>
  <si>
    <t>제품_분류_체계_조회_수</t>
  </si>
  <si>
    <t>산업_분류_체계_조회_현황_연월</t>
  </si>
  <si>
    <t>산업_분류_체계_조회_수</t>
  </si>
  <si>
    <t>자연어_모델_아이디</t>
  </si>
  <si>
    <t>자연어_모델_유형_코드</t>
  </si>
  <si>
    <t>자연어_모델_저장_경로</t>
  </si>
  <si>
    <t>자연어_모델_사용_여부</t>
  </si>
  <si>
    <t>CHAR</t>
  </si>
  <si>
    <t>-</t>
  </si>
  <si>
    <t>N</t>
    <phoneticPr fontId="19" type="noConversion"/>
  </si>
  <si>
    <t>PK02</t>
    <phoneticPr fontId="19" type="noConversion"/>
  </si>
  <si>
    <t>YYYY : 0001~9999,
MM : 01~12, DD : 01~31, HH : 00~23, 
MI : 00~59, SS : 00~59</t>
  </si>
  <si>
    <t>YYYY : 0001~9999,
MM : 01~12, DD : 01~31</t>
  </si>
  <si>
    <t>Y : 여(예),
N : 부(아니요)</t>
  </si>
  <si>
    <t>YYYY : 0001~9999,
MM : 01~12</t>
  </si>
  <si>
    <t>CLSF_SYSTM_ID</t>
  </si>
  <si>
    <t>CLSF_SYSTM_SE_NM</t>
  </si>
  <si>
    <t>분류_체계_아이디</t>
  </si>
  <si>
    <t>상위_특징_분류_체계_코드</t>
  </si>
  <si>
    <t>분류_체계_구분_명</t>
  </si>
  <si>
    <t>TBL_LVB_SPCS_CLSF_MAPNG</t>
  </si>
  <si>
    <t>TBL_ECLGY_MMCRY_CASE_CLSF_MAPNG</t>
  </si>
  <si>
    <t>TBL_PATENT_CLSF_MAPNG</t>
  </si>
  <si>
    <t>TBL_LVB_SFE_CLSF_MAPNG</t>
  </si>
  <si>
    <t>TBL_NCBI_THESIS_CLSF_MAPNG</t>
  </si>
  <si>
    <t>TBL_KISTI_THESIS_CLSF_MAPNG</t>
  </si>
  <si>
    <t>생물_종_분류_매핑</t>
  </si>
  <si>
    <t>특허_분류_매핑</t>
  </si>
  <si>
    <t>생물_특징_분류_매핑</t>
  </si>
  <si>
    <t>NCBI_논문_분류_매핑</t>
  </si>
  <si>
    <t>CLSF_SYSTM_SE_CD</t>
  </si>
  <si>
    <t>상위_모방_분류_체계_코드</t>
  </si>
  <si>
    <t>상위_산업_분류_체계_코드</t>
  </si>
  <si>
    <t>상위_제품_분류_체계_코드</t>
  </si>
  <si>
    <t>상위_특허_분류_체계_코드</t>
  </si>
  <si>
    <t>No</t>
    <phoneticPr fontId="19" type="noConversion"/>
  </si>
  <si>
    <t>용어명</t>
    <phoneticPr fontId="19" type="noConversion"/>
  </si>
  <si>
    <t>칼럼명</t>
    <phoneticPr fontId="19" type="noConversion"/>
  </si>
  <si>
    <t>도메인</t>
    <phoneticPr fontId="19" type="noConversion"/>
  </si>
  <si>
    <t>번호V50</t>
  </si>
  <si>
    <t>연월일시분초T</t>
  </si>
  <si>
    <t>명V100</t>
  </si>
  <si>
    <t>내용V2000</t>
  </si>
  <si>
    <t>명V50</t>
  </si>
  <si>
    <t>연월일C8</t>
  </si>
  <si>
    <t>여부C1</t>
  </si>
  <si>
    <t>연도C4</t>
  </si>
  <si>
    <t>수N14</t>
  </si>
  <si>
    <t>명V256</t>
  </si>
  <si>
    <t>명V512</t>
  </si>
  <si>
    <t>주소V2000</t>
  </si>
  <si>
    <t>명V20</t>
  </si>
  <si>
    <t>위도N12,10</t>
  </si>
  <si>
    <t>경도N13,10</t>
  </si>
  <si>
    <t>수N10</t>
  </si>
  <si>
    <t>연월C6</t>
  </si>
  <si>
    <t>UP_SFE_CLSF_SYSTM_CD</t>
  </si>
  <si>
    <t>UP_MMCRY_CLSF_SYSTM_CD</t>
  </si>
  <si>
    <t>UP_INDUST_CLSF_SYSTM_CD</t>
  </si>
  <si>
    <t>UP_PRDCT_CLSF_SYSTM_CD</t>
  </si>
  <si>
    <t>UP_PATENT_CLSF_SYSTM_CD</t>
  </si>
  <si>
    <t>PK03</t>
  </si>
  <si>
    <t>NOT NULL 여부</t>
    <phoneticPr fontId="19" type="noConversion"/>
  </si>
  <si>
    <t>UNIQUE</t>
    <phoneticPr fontId="19" type="noConversion"/>
  </si>
  <si>
    <t>TBL_BIOSPC_SCNCENM</t>
  </si>
  <si>
    <t>TBL_BIOSPC_SYNONM</t>
  </si>
  <si>
    <t>TBL_EOL_LVB_MEDIA_INFO</t>
  </si>
  <si>
    <t>TBL_EOL_LVB_SFE_INFO</t>
  </si>
  <si>
    <t>TBL_GBIF_SPCE_INFO</t>
  </si>
  <si>
    <t>TBL_NCBI_JRNL_CN</t>
  </si>
  <si>
    <t>TBL_NCBI_JRNL_LVB_MAPNG</t>
  </si>
  <si>
    <t>TBL_PATENT_LVB_MAPNG</t>
  </si>
  <si>
    <t>CLCT_DATA_VRFC_ID</t>
  </si>
  <si>
    <t>CLCT_DATA_VRFC_RSLT_CD</t>
  </si>
  <si>
    <t>CLCT_DATA_USTBLT_RSN_CD</t>
  </si>
  <si>
    <t>CLCT_DATA_USTBLT_RSN_CN</t>
  </si>
  <si>
    <t>CLCT_DATA_CLSF_CD</t>
  </si>
  <si>
    <t>CLCT_DATA_TTL</t>
  </si>
  <si>
    <t>PK01</t>
    <phoneticPr fontId="19" type="noConversion"/>
  </si>
  <si>
    <t>PK정보
(Primary Key)</t>
    <phoneticPr fontId="19" type="noConversion"/>
  </si>
  <si>
    <t>○ PK(기본키)에 참여하는 컬럼이면 "PK"와 숫자로 된 참여순서를 이용하여 표시하고 PK에 참여하지 않으면 생략
- (예시) PK01(PK를 구성하는 컬럼 중 참여순서가 첫 번째), PK02(PK를 구성하는 컬럼 중 참여순서가 두 번째) 등</t>
    <phoneticPr fontId="19" type="noConversion"/>
  </si>
  <si>
    <t>데이터소수점길이</t>
    <phoneticPr fontId="19" type="noConversion"/>
  </si>
  <si>
    <t>○ ‘도메인정의서’의 ‘데이터소수점길이’를 기술 
- ‘도메인정의서’에 없는 경우, 해당 컬럼의 값을 표현하기 위한 데이터의 길이로, DDL문에서 지정될 데이터 길이를 DBMS 종속적인 표현으로 기술 (DATE 타입과 같이 길이가 필요 없는 경우 생략)</t>
    <phoneticPr fontId="19" type="noConversion"/>
  </si>
  <si>
    <t>인덱스명</t>
    <phoneticPr fontId="19" type="noConversion"/>
  </si>
  <si>
    <t>인덱스
순번</t>
    <phoneticPr fontId="19" type="noConversion"/>
  </si>
  <si>
    <t>ECLGY_MMCRY_KNWLDG_ERR_DCLR_EML_ANS_YN</t>
  </si>
  <si>
    <t>ECLGY_MMCRY_PATENT_TREND_CLCT_TNOCS</t>
  </si>
  <si>
    <t>수N10,3</t>
  </si>
  <si>
    <t>TBL_SKLL_TCHNLGY_CNTNTS_MAPNG</t>
  </si>
  <si>
    <t>TBL_SKLL_SECT_CNTNTS_MAPNG</t>
  </si>
  <si>
    <t>TBL_SKLL_ETC_CD_MNG</t>
  </si>
  <si>
    <t>TBL_SKLL_CNTNTS_REL</t>
  </si>
  <si>
    <t>TBL_SKLL_CNTNTS_MSTR</t>
  </si>
  <si>
    <t>TBL_SKLL_CNTNTS_KWRD</t>
  </si>
  <si>
    <t>TBL_SKLL_CNTNTS_BIOSPC</t>
  </si>
  <si>
    <t>TBL_SKLL_BNEF_CNTNTS_MAPNG</t>
  </si>
  <si>
    <t>TBL_SKLL_APLCTN_CNTNTS_MAPNG</t>
  </si>
  <si>
    <t>TBL_PATENT_PBLCATE_IDNTF_ID_CLCT_HSTRY_MNG</t>
  </si>
  <si>
    <t>TBL_PATENT_MSTR</t>
  </si>
  <si>
    <t>TBL_PATENT_IMG_INFO</t>
  </si>
  <si>
    <t>TBL_PATENT_CLCT_HSTRY_MNG</t>
  </si>
  <si>
    <t>TBL_NL_MDL_HSTRY_MNG</t>
  </si>
  <si>
    <t>TBL_NCBI_THESIS_KWRD</t>
  </si>
  <si>
    <t>TBL_NCBI_THESIS_AUT</t>
  </si>
  <si>
    <t>TBL_NCBI_JRNL_PMC_ID_CLCT_HSTRY_MNG</t>
  </si>
  <si>
    <t>TBL_NCBI_JRNL_MSTR</t>
  </si>
  <si>
    <t>TBL_NCBI_JRNL_CLCT_HSTRY_MNG</t>
  </si>
  <si>
    <t>TBL_MMCRY_CLSF_SYSTM_TRAING_DATA</t>
  </si>
  <si>
    <t>TBL_KISTI_THESIS_KWRD</t>
  </si>
  <si>
    <t>TBL_KISTI_THESIS_AUT</t>
  </si>
  <si>
    <t>TBL_KISTI_JRNL_MSTR</t>
  </si>
  <si>
    <t>TBL_KISTI_JRNL_LVB_MAPNG</t>
  </si>
  <si>
    <t>TBL_KISTI_JRNL_CN_ID_CLCT_HSTRY_MNG</t>
  </si>
  <si>
    <t>TBL_KISTI_JRNL_CLCT_HSTRY_MNG</t>
  </si>
  <si>
    <t>TBL_GBIF_SPCE_INFO_CLCT_HSTRY_MNG</t>
  </si>
  <si>
    <t>TBL_EOL_LVB_SFE_INFO_ORGNL</t>
  </si>
  <si>
    <t>TBL_EOL_LVB_SFE_CLCT_HSTRY_MNG</t>
  </si>
  <si>
    <t>TBL_EOL_LVB_NM_CLCT_HSTRY_MNG</t>
  </si>
  <si>
    <t>TBL_EOL_LVB_MEDIA_ORGNL</t>
  </si>
  <si>
    <t>TBL_EOL_LVB_MEDIA_CLCT_HSTRY_MNG</t>
  </si>
  <si>
    <t>TBL_EOL_LVB_IMG_INFO</t>
  </si>
  <si>
    <t>TBL_DATA_CLCT_CNSTC_SRVC_MNG</t>
  </si>
  <si>
    <t>TBL_DATA_CLCT_CNSTC_SRVC_ERR_LOG</t>
  </si>
  <si>
    <t>TBL_CTGRY_USER_STATS_LOG</t>
  </si>
  <si>
    <t>TBL_CLCT_STTUS_MNG</t>
  </si>
  <si>
    <t>TBL_CLCT_NOCS_STATS_SUMRY</t>
  </si>
  <si>
    <t>TBL_CLCT_DATA_VRFC_MNG</t>
  </si>
  <si>
    <t>TBL_CLCT_DATA_MNG</t>
  </si>
  <si>
    <t>TBL_BIOSPC_RGN_LANG</t>
  </si>
  <si>
    <t>TBL_BIOSPC_MSTR</t>
  </si>
  <si>
    <t>특허_출판_식별_아이디_수집_이력_관리</t>
  </si>
  <si>
    <t>특허_수집_이력_관리</t>
  </si>
  <si>
    <t>자연어_모델_이력_관리</t>
  </si>
  <si>
    <t>NCBI_저널_PMC_아이디_수집_이력_관리</t>
  </si>
  <si>
    <t>NCBI_저널_수집_이력_관리</t>
  </si>
  <si>
    <t>KISTI_저널_마스터</t>
  </si>
  <si>
    <t>KISTI_저널_생물_매핑</t>
  </si>
  <si>
    <t>KISTI_저널_수집_이력_관리</t>
  </si>
  <si>
    <t>GBIF_공간_정보_수집_이력_관리</t>
  </si>
  <si>
    <t>EOL_생물_특징_수집_이력_관리</t>
  </si>
  <si>
    <t>EOL_생물_명_수집_이력_관리</t>
  </si>
  <si>
    <t>EOL_생물_미디어_정보</t>
  </si>
  <si>
    <t>EOL_생물_미디어_수집_이력_관리</t>
  </si>
  <si>
    <t>EOL_생물_이미지_정보</t>
  </si>
  <si>
    <t>생태_모방_사례_분류_매핑</t>
  </si>
  <si>
    <t>수집_현황_관리</t>
  </si>
  <si>
    <t>CHAR</t>
    <phoneticPr fontId="19" type="noConversion"/>
  </si>
  <si>
    <t>6자리 문자</t>
    <phoneticPr fontId="19" type="noConversion"/>
  </si>
  <si>
    <t>Y</t>
    <phoneticPr fontId="19" type="noConversion"/>
  </si>
  <si>
    <t>생태_모방_사례_모방_분류_완료_여부</t>
  </si>
  <si>
    <t>TEXT</t>
    <phoneticPr fontId="19" type="noConversion"/>
  </si>
  <si>
    <t>특징_분류_체계_전체_영문_명</t>
  </si>
  <si>
    <t>200자리 이내 문자</t>
    <phoneticPr fontId="19" type="noConversion"/>
  </si>
  <si>
    <t>출판_식별_아이디_수집_번호</t>
  </si>
  <si>
    <t>INT4</t>
    <phoneticPr fontId="19" type="noConversion"/>
  </si>
  <si>
    <t>VARCHAR</t>
    <phoneticPr fontId="19" type="noConversion"/>
  </si>
  <si>
    <t>TIMESTAMP</t>
    <phoneticPr fontId="19" type="noConversion"/>
  </si>
  <si>
    <t>50자리 이내 문자</t>
    <phoneticPr fontId="19" type="noConversion"/>
  </si>
  <si>
    <t>512자리 이내 문자</t>
    <phoneticPr fontId="19" type="noConversion"/>
  </si>
  <si>
    <t>1자리 문자</t>
    <phoneticPr fontId="19" type="noConversion"/>
  </si>
  <si>
    <t>TBL_PATENT_PBLCATE_IDNTF_ID_CLCT_HSTRY_MNG_IDX01</t>
  </si>
  <si>
    <t>특허_모방_분류_완료_여부</t>
  </si>
  <si>
    <t>50자리 문자</t>
    <phoneticPr fontId="19" type="noConversion"/>
  </si>
  <si>
    <t>YYYYMMDDHH24MISS</t>
    <phoneticPr fontId="19" type="noConversion"/>
  </si>
  <si>
    <t>20자리 이내 문자</t>
    <phoneticPr fontId="19" type="noConversion"/>
  </si>
  <si>
    <t>2000자리 이내 문자</t>
    <phoneticPr fontId="19" type="noConversion"/>
  </si>
  <si>
    <t>100자리 이내 문자</t>
    <phoneticPr fontId="19" type="noConversion"/>
  </si>
  <si>
    <t>256자리 이내 문자</t>
    <phoneticPr fontId="19" type="noConversion"/>
  </si>
  <si>
    <t>YYYYMMDD</t>
    <phoneticPr fontId="19" type="noConversion"/>
  </si>
  <si>
    <t>255자리 이내 문자</t>
    <phoneticPr fontId="19" type="noConversion"/>
  </si>
  <si>
    <t>YYYYMM</t>
    <phoneticPr fontId="19" type="noConversion"/>
  </si>
  <si>
    <t>특허_분류_체계_영문_설명</t>
  </si>
  <si>
    <t>특허_분류_체계_한글_설명</t>
  </si>
  <si>
    <t>TBL_IPC_INDUST_CD_MAPNG</t>
    <phoneticPr fontId="19" type="noConversion"/>
  </si>
  <si>
    <t>4000자리 이내 문자</t>
    <phoneticPr fontId="19" type="noConversion"/>
  </si>
  <si>
    <t>분류_체계_구분_코드(BKS011)</t>
  </si>
  <si>
    <t>분류_체계_구분_코드(BKS011)</t>
    <phoneticPr fontId="19" type="noConversion"/>
  </si>
  <si>
    <t>bksp</t>
    <phoneticPr fontId="19" type="noConversion"/>
  </si>
  <si>
    <t>특허_수집_번호</t>
  </si>
  <si>
    <t>자연어_모델_상태_코드(BKS012)</t>
  </si>
  <si>
    <t>D001 : 기본 모델 / N001 : 자연어처리 모델 / A001 : 모방분류체계 모델</t>
    <phoneticPr fontId="19" type="noConversion"/>
  </si>
  <si>
    <t>자연어_모델_이력_순번</t>
  </si>
  <si>
    <t>자연어_모델_결과_코드</t>
  </si>
  <si>
    <t>작업_아이디</t>
  </si>
  <si>
    <t>자연어_모델_오류_이력_내용</t>
  </si>
  <si>
    <t>NUMERIC</t>
    <phoneticPr fontId="19" type="noConversion"/>
  </si>
  <si>
    <t>논문_키워드_명</t>
  </si>
  <si>
    <t>NCBI_저널_PMC_아이디_수집_번호</t>
  </si>
  <si>
    <t>NCBI_저널_분류_아이디</t>
  </si>
  <si>
    <t>저널_저작권_명</t>
  </si>
  <si>
    <t>NCBI_저널_모방_분류_완료_여부</t>
  </si>
  <si>
    <t>PK03</t>
    <phoneticPr fontId="19" type="noConversion"/>
  </si>
  <si>
    <t>NCBI_저널_수집_번호</t>
  </si>
  <si>
    <t>KISTI_저널_모방_분류_완료_여부</t>
  </si>
  <si>
    <t>NCBI_중복_여부</t>
  </si>
  <si>
    <t>KISTI_저널_수집_번호</t>
  </si>
  <si>
    <t>GBIF_공간_정보_수집_번호</t>
  </si>
  <si>
    <t>EOL_아이디</t>
    <phoneticPr fontId="19" type="noConversion"/>
  </si>
  <si>
    <t>생물_특징_모방_분류_완료_여부</t>
  </si>
  <si>
    <t>EOL_생물_특징_수집_번호</t>
  </si>
  <si>
    <t>수집_상태_코드 (SCM007)</t>
  </si>
  <si>
    <t>EOL_생물_명_수집_번호</t>
  </si>
  <si>
    <t>EOL_생물_명_구분_코드 (SCM006)</t>
  </si>
  <si>
    <t>2자리 문자</t>
    <phoneticPr fontId="19" type="noConversion"/>
  </si>
  <si>
    <t>저장_파일_명</t>
  </si>
  <si>
    <t>원본_파일_명</t>
  </si>
  <si>
    <t>15자리 이내 문자</t>
    <phoneticPr fontId="19" type="noConversion"/>
  </si>
  <si>
    <t>EOL_생물_미디어_수집_번호</t>
  </si>
  <si>
    <t>생태_모방_특허_동향_수집_아이디</t>
    <phoneticPr fontId="19" type="noConversion"/>
  </si>
  <si>
    <t>생태_모방_특허_동향_수집_실행_결과_코드
(001:성공/002: 오류/003:실행)(BKS003)</t>
    <phoneticPr fontId="19" type="noConversion"/>
  </si>
  <si>
    <t>생태_모방_특허_동향_수집_총건수</t>
  </si>
  <si>
    <t>생태_모방_사례_랭킹_아이디</t>
  </si>
  <si>
    <t>9999999999.999</t>
    <phoneticPr fontId="19" type="noConversion"/>
  </si>
  <si>
    <t>99999999999999</t>
    <phoneticPr fontId="19" type="noConversion"/>
  </si>
  <si>
    <t>생태_모방_지식_오류_신고_구분_코드(BKS004)</t>
  </si>
  <si>
    <t>생태_모방_지식_오류_신고_분류_코드(BKS005)</t>
  </si>
  <si>
    <t>생태_모방_지식_오류_신고_상태_코드(BKS006)</t>
  </si>
  <si>
    <t>생태_모방_지식_오류_신고_이메일_답변_여부</t>
  </si>
  <si>
    <t>서비스_구분_코드(SCM003)</t>
  </si>
  <si>
    <t>서비스_상태_코드(SCM004)</t>
  </si>
  <si>
    <t>서비스_적용_계획_코드(SCM005)</t>
  </si>
  <si>
    <t>서비스_진행_단계_번호</t>
  </si>
  <si>
    <t>서비스_시작_일시</t>
  </si>
  <si>
    <t>서비스_완료_일시</t>
  </si>
  <si>
    <t>요청자_아이디</t>
  </si>
  <si>
    <t>23자리 이내 문자</t>
    <phoneticPr fontId="19" type="noConversion"/>
  </si>
  <si>
    <t>수집_현황_번호</t>
  </si>
  <si>
    <t>수집_기관_코드(SCM001)</t>
  </si>
  <si>
    <t>수집_항목_코드(SCM002)</t>
  </si>
  <si>
    <t>EOL_생물_미디어_수집_건수</t>
  </si>
  <si>
    <t>KISTI_저널_수집_건수</t>
  </si>
  <si>
    <t>검증_완료_여부</t>
  </si>
  <si>
    <t>검증_조치_내용</t>
  </si>
  <si>
    <t>EOL_생물_명_수집_여부</t>
  </si>
  <si>
    <t>EOL_생물_명_학명_최종_수집_일시</t>
  </si>
  <si>
    <t>EOL_생물_명_학명_수집_성공_건수</t>
  </si>
  <si>
    <t>EOL_생물_명_학명_수집_오류_건수</t>
  </si>
  <si>
    <t>EOL_생물_명_동의어_최종_수집_일시</t>
  </si>
  <si>
    <t>EOL_생물_명_동의어_수집_성공_건수</t>
  </si>
  <si>
    <t>EOL_생물_명_동의어_수집_오류_건수</t>
  </si>
  <si>
    <t>EOL_생물_명_지역_언어_최종_수집_일시</t>
  </si>
  <si>
    <t>EOL_생물_명_지역_언어_수집_성공_건수</t>
  </si>
  <si>
    <t>EOL_생물_명_지역_언어_수집_오류_건수</t>
  </si>
  <si>
    <t>EOL_생물_특징_최종_수집_일시</t>
  </si>
  <si>
    <t>EOL_생물_미디어_수집_여부</t>
  </si>
  <si>
    <t>EOL_생물_미디어_최종_수집_일시</t>
  </si>
  <si>
    <t>EOL_생물_미디어_수집_성공_건수</t>
  </si>
  <si>
    <t>EOL_생물_미디어_수집_오류_건수</t>
  </si>
  <si>
    <t>GBIF_공간_정보_최종_수집_일시</t>
  </si>
  <si>
    <t>NCBI_저널_최종_수집_일시</t>
  </si>
  <si>
    <t>구글_특허_최종_수집_일시</t>
  </si>
  <si>
    <t>KISTI_저널_최종_수집_일시</t>
  </si>
  <si>
    <t>동의어_번호</t>
  </si>
  <si>
    <t>GBIF_매핑_여부</t>
  </si>
  <si>
    <t>EOL_종_정식_명</t>
  </si>
  <si>
    <t>EOL_생물_명_색인_완료_여부</t>
  </si>
  <si>
    <t>IPC_코드</t>
  </si>
  <si>
    <t>IPC_산업_코드_매핑</t>
  </si>
  <si>
    <t>500자리 이내 문자</t>
    <phoneticPr fontId="19" type="noConversion"/>
  </si>
  <si>
    <t>ENG_CD_DC</t>
  </si>
  <si>
    <t>KORN_CD_DC</t>
  </si>
  <si>
    <t>DATA_CLCT_SRC_BSC_URL</t>
  </si>
  <si>
    <t>ECLGY_MMCRY_CASE_MMCRY_CLSF_CMPTN_YN</t>
  </si>
  <si>
    <t>KOREAN_KWRD_NM</t>
  </si>
  <si>
    <t>SFE_CLSF_SYSTM_WHOL_ENG_NM</t>
  </si>
  <si>
    <t>PBLCATE_IDNTF_ID_CLCT_NO</t>
  </si>
  <si>
    <t>PATENT_MMCRY_CLSF_CMPTN_YN</t>
  </si>
  <si>
    <t>PATENT_CLSF_SYSTM_ENG_EXPLN</t>
  </si>
  <si>
    <t>PATENT_CLSF_SYSTM_KORN_EXPLN</t>
  </si>
  <si>
    <t>PATENT_CLCT_NO</t>
  </si>
  <si>
    <t>NL_MDL_HSTRY_NO</t>
  </si>
  <si>
    <t>TASK_ID</t>
  </si>
  <si>
    <t>NL_MDL_ERR_HSTRY_CN</t>
  </si>
  <si>
    <t>THESIS_KWRD_NM</t>
  </si>
  <si>
    <t>NCBI_JRNL_PMC_ID_CLCT_NO</t>
  </si>
  <si>
    <t>NCBI_JRNL_CLSF_ID</t>
  </si>
  <si>
    <t>JRNL_CPYRHT_NM</t>
  </si>
  <si>
    <t>NCBI_JRNL_MMCRY_CLSF_CMPTN_YN</t>
  </si>
  <si>
    <t>NCBI_JRNL_CLCT_NO</t>
  </si>
  <si>
    <t>INPT_DATA_CN</t>
  </si>
  <si>
    <t>CN_ID</t>
  </si>
  <si>
    <t>KISTI_JRNL_MMCRY_CLSF_CMPTN_YN</t>
  </si>
  <si>
    <t>NCBI_DPCN_YN</t>
  </si>
  <si>
    <t>KISTI_JRNL_CN_ID_CLCT_NO</t>
  </si>
  <si>
    <t>KISTI_JRNL_CLCT_NO</t>
  </si>
  <si>
    <t>GBIF_SPCE_INFO_CLCT_NO</t>
  </si>
  <si>
    <t>LVB_SFE_MMCRY_CLSF_CMPTN_YN</t>
  </si>
  <si>
    <t>EOL_LVB_SFE_CLCT_NO</t>
  </si>
  <si>
    <t>EOL_LVB_NM_CLCT_NO</t>
  </si>
  <si>
    <t>EOL_LVB_NM_SE_CD</t>
  </si>
  <si>
    <t>STRG_FILE_NM</t>
  </si>
  <si>
    <t>ORGNL_FILE_NM</t>
  </si>
  <si>
    <t>MTDT_KWRD_NM</t>
  </si>
  <si>
    <t>EOL_LVB_MEDIA_CLCT_NO</t>
  </si>
  <si>
    <t>ECLGY_MMCRY_CASE_RANK_ID</t>
  </si>
  <si>
    <t>ECLGY_MMCRY_KNWLDG_ERR_DCLR_ANS_ATCH_FILE_ID</t>
  </si>
  <si>
    <t>SRVC_PRGRS_STP_NO</t>
  </si>
  <si>
    <t>SRVC_BGNG_DT</t>
  </si>
  <si>
    <t>SRVC_CMPTN_DT</t>
  </si>
  <si>
    <t>CTGRY_USER_STATS_LOG_ID</t>
  </si>
  <si>
    <t>RQSTR_IP</t>
  </si>
  <si>
    <t>RQSTR_ID</t>
  </si>
  <si>
    <t>CLCT_STTUS_NO</t>
  </si>
  <si>
    <t>EOL_LVB_MEDIA_CLCT_NOCS</t>
  </si>
  <si>
    <t>KISTI_JRNL_CLCT_NOCS</t>
  </si>
  <si>
    <t>VRFC_CMPTN_YN</t>
  </si>
  <si>
    <t>VRFC_ACTN_CN</t>
  </si>
  <si>
    <t>EOL_LVB_NM_CLCT_YN</t>
  </si>
  <si>
    <t>EOL_LVB_NM_SCNCENM_LAST_CLCT_DT</t>
  </si>
  <si>
    <t>EOL_LVB_NM_SCNCENM_CLCT_SCS_NOCS</t>
  </si>
  <si>
    <t>EOL_LVB_NM_SCNCENM_CLCT_ERR_NOCS</t>
  </si>
  <si>
    <t>EOL_LVB_NM_SYNONM_LAST_CLCT_DT</t>
  </si>
  <si>
    <t>EOL_LVB_NM_SYNONM_CLCT_SCS_NOCS</t>
  </si>
  <si>
    <t>EOL_LVB_NM_SYNONM_CLCT_ERR_NOCS</t>
  </si>
  <si>
    <t>EOL_LVB_NM_RGN_LANG_LAST_CLCT_DT</t>
  </si>
  <si>
    <t>EOL_LVB_NM_RGN_LANG_CLCT_SCS_NOCS</t>
  </si>
  <si>
    <t>EOL_LVB_NM_RGN_LANG_CLCT_ERR_NOCS</t>
  </si>
  <si>
    <t>EOL_LVB_SFE_LAST_CLCT_DT</t>
  </si>
  <si>
    <t>EOL_LVB_MEDIA_CLCT_YN</t>
  </si>
  <si>
    <t>EOL_LVB_MEDIA_LAST_CLCT_DT</t>
  </si>
  <si>
    <t>EOL_LVB_MEDIA_CLCT_SCS_NOCS</t>
  </si>
  <si>
    <t>EOL_LVB_MEDIA_CLCT_ERR_NOCS</t>
  </si>
  <si>
    <t>GBIF_SPCE_INFO_LAST_CLCT_DT</t>
  </si>
  <si>
    <t>NCBI_JRNL_LAST_CLCT_DT</t>
  </si>
  <si>
    <t>GGL_PATENT_LAST_CLCT_DT</t>
  </si>
  <si>
    <t>KISTI_JRNL_LAST_CLCT_DT</t>
  </si>
  <si>
    <t>SYNONM_NO</t>
  </si>
  <si>
    <t>GBIF_MAPNG_YN</t>
  </si>
  <si>
    <t>EOL_SPCS_FRMLY_NM</t>
  </si>
  <si>
    <t>EOL_LVB_NM_INDEX_CMPTN_YN</t>
  </si>
  <si>
    <t>IPC_CD</t>
  </si>
  <si>
    <t>IPC_EXCL_CD_CN</t>
  </si>
  <si>
    <t>TBL_NCBI_JRNL_CN</t>
    <phoneticPr fontId="19" type="noConversion"/>
  </si>
  <si>
    <t>분류_체계_구분_코드</t>
    <phoneticPr fontId="19" type="noConversion"/>
  </si>
  <si>
    <t>2100자리 이내 문자</t>
    <phoneticPr fontId="19" type="noConversion"/>
  </si>
  <si>
    <t>생물_종_수</t>
    <phoneticPr fontId="19" type="noConversion"/>
  </si>
  <si>
    <t>TBL_MMCRY_CLSF_SYSTM_CD_MNG</t>
    <phoneticPr fontId="19" type="noConversion"/>
  </si>
  <si>
    <t>NCBI_JRNL_CNT</t>
    <phoneticPr fontId="19" type="noConversion"/>
  </si>
  <si>
    <t>MMCRY_CASE_CNT</t>
    <phoneticPr fontId="19" type="noConversion"/>
  </si>
  <si>
    <t>KISTI_JRNL_CNT</t>
    <phoneticPr fontId="19" type="noConversion"/>
  </si>
  <si>
    <t>LVB_SFE_CNT</t>
    <phoneticPr fontId="19" type="noConversion"/>
  </si>
  <si>
    <t>PATENT_CNT</t>
    <phoneticPr fontId="19" type="noConversion"/>
  </si>
  <si>
    <t>LVB_SPCS_CNT</t>
    <phoneticPr fontId="19" type="noConversion"/>
  </si>
  <si>
    <t>모방_사례_수</t>
    <phoneticPr fontId="19" type="noConversion"/>
  </si>
  <si>
    <t>NCBI_저널_수</t>
    <phoneticPr fontId="19" type="noConversion"/>
  </si>
  <si>
    <t>KISTI_저널_수</t>
    <phoneticPr fontId="19" type="noConversion"/>
  </si>
  <si>
    <t>생물_특징_수</t>
    <phoneticPr fontId="19" type="noConversion"/>
  </si>
  <si>
    <t>특허_수</t>
    <phoneticPr fontId="19" type="noConversion"/>
  </si>
  <si>
    <t>TBL_ECLGY_MMCRY_KNWLDG_RANK_SRCHWRD_MNG</t>
    <phoneticPr fontId="19" type="noConversion"/>
  </si>
  <si>
    <t>TBL_ECLGY_MMCRY_KNWLDG_RANK_SRCHWRD_MAPNG</t>
    <phoneticPr fontId="19" type="noConversion"/>
  </si>
  <si>
    <t>생태_모방_지식_랭킹_검색어_매핑</t>
    <phoneticPr fontId="19" type="noConversion"/>
  </si>
  <si>
    <t>생태_모방_지식_랭킹_검색어_관리</t>
    <phoneticPr fontId="19" type="noConversion"/>
  </si>
  <si>
    <t>TBL_ECLGY_MMCRY_KNWLDG_RANK_MNG</t>
    <phoneticPr fontId="19" type="noConversion"/>
  </si>
  <si>
    <t>ECLGY_MMCRY_CASE_RANK_USER_SATSFC_SCR_WGHTVAL</t>
    <phoneticPr fontId="19" type="noConversion"/>
  </si>
  <si>
    <t>생태_모방_사례_랭킹_사용자_점수_가중값</t>
  </si>
  <si>
    <t>생태_모방_지식_랭킹_관리</t>
    <phoneticPr fontId="19" type="noConversion"/>
  </si>
  <si>
    <t>TBL_KISTI_JRNL_CLCT_HSTRY_MNG_CN_ID_IDX01</t>
  </si>
  <si>
    <t>TBL_EL_INDEX_INFO</t>
  </si>
  <si>
    <t>EL_INDEX_NM</t>
  </si>
  <si>
    <t>EL_INDEX_SE_CD</t>
  </si>
  <si>
    <t>EL_INDEX_USE_YN</t>
  </si>
  <si>
    <t>엘라스틱서치_색인_명칭</t>
  </si>
  <si>
    <t>엘라스틱서치_색인_구분_코드(BKS013)</t>
  </si>
  <si>
    <t>엘라스틱서치_색인_사용_여부</t>
  </si>
  <si>
    <t>-</t>
    <phoneticPr fontId="19" type="noConversion"/>
  </si>
  <si>
    <t>254자리 이내 문자</t>
    <phoneticPr fontId="19" type="noConversion"/>
  </si>
  <si>
    <t>4자리 문자</t>
    <phoneticPr fontId="19" type="noConversion"/>
  </si>
  <si>
    <t>TBL_CLSF_SYSTM_CD_CNT_MAPNG</t>
    <phoneticPr fontId="19" type="noConversion"/>
  </si>
  <si>
    <t>NCBI_JRNL_CNT</t>
  </si>
  <si>
    <t>MMCRY_CASE_CNT</t>
  </si>
  <si>
    <t>KISTI_JRNL_CNT</t>
  </si>
  <si>
    <t>LVB_SFE_CNT</t>
  </si>
  <si>
    <t>LVB_SPCS_CNT</t>
  </si>
  <si>
    <t>PATENT_CNT</t>
  </si>
  <si>
    <t>NCBI_저널_수</t>
  </si>
  <si>
    <t>KISTI_저널_수</t>
  </si>
  <si>
    <t>생물_특징_수</t>
  </si>
  <si>
    <t>생물_종_수</t>
  </si>
  <si>
    <t>특허_수</t>
  </si>
  <si>
    <t>분류_체계_구분_코드(BKS012)</t>
  </si>
  <si>
    <t>분류_체계_코드_수_매핑</t>
  </si>
  <si>
    <t>backup</t>
    <phoneticPr fontId="19" type="noConversion"/>
  </si>
  <si>
    <t>TBL_PATENT_CLSF_MAPNG_DEL_CD</t>
  </si>
  <si>
    <t>FRST_REGIST_PNTTM</t>
  </si>
  <si>
    <t>FRST_REGISTER_ID</t>
  </si>
  <si>
    <t>LAST_UPDT_PNTTM</t>
  </si>
  <si>
    <t>LAST_UPDUSR_ID</t>
  </si>
  <si>
    <t>MDFCN_ID</t>
    <phoneticPr fontId="19" type="noConversion"/>
  </si>
  <si>
    <t>LVB_SFE_CLSF_SCR</t>
  </si>
  <si>
    <t>생물_특징_분류_점수</t>
  </si>
  <si>
    <t>생물_종_분류_점수</t>
  </si>
  <si>
    <t>LVB_SPCS_CLSF_SCR</t>
  </si>
  <si>
    <t>특허_분류_매핑_삭제_코드</t>
  </si>
  <si>
    <t>파일_저장_경로</t>
    <phoneticPr fontId="19" type="noConversion"/>
  </si>
  <si>
    <t>이미지_URL</t>
    <phoneticPr fontId="19" type="noConversion"/>
  </si>
  <si>
    <t>TBL_EOL_LVB_MEDIA_CLCT_HSTRY_MNG</t>
    <phoneticPr fontId="19" type="noConversion"/>
  </si>
  <si>
    <t>최초_등록_시점</t>
    <phoneticPr fontId="19" type="noConversion"/>
  </si>
  <si>
    <t>최종_수정_시점</t>
    <phoneticPr fontId="19" type="noConversion"/>
  </si>
  <si>
    <t>20자리 문자</t>
    <phoneticPr fontId="19" type="noConversion"/>
  </si>
  <si>
    <t>PBLCATE_IDNTF_ID</t>
    <phoneticPr fontId="19" type="noConversion"/>
  </si>
  <si>
    <t>출판_식별_아이디</t>
    <phoneticPr fontId="19" type="noConversion"/>
  </si>
  <si>
    <t>최초_등록자_아이디</t>
    <phoneticPr fontId="19" type="noConversion"/>
  </si>
  <si>
    <t>최종_수정자_아이디</t>
    <phoneticPr fontId="19" type="noConversion"/>
  </si>
  <si>
    <t>영문_코드_상세_설명</t>
  </si>
  <si>
    <t>한글_코드_상세_설명</t>
  </si>
  <si>
    <t>정렬_순서</t>
  </si>
  <si>
    <t>산업_코드</t>
  </si>
  <si>
    <t>기능_산업_코드_관리</t>
  </si>
  <si>
    <t>상위_산업_코드</t>
  </si>
  <si>
    <t>기능_산업_컨텐츠_매핑</t>
  </si>
  <si>
    <t>Y</t>
  </si>
  <si>
    <t>제품_코드</t>
  </si>
  <si>
    <t>기능_제품_코드_관리</t>
  </si>
  <si>
    <t>상위_제품_코드</t>
  </si>
  <si>
    <t>기능_제품_컨텐츠_매핑</t>
  </si>
  <si>
    <t>public</t>
    <phoneticPr fontId="19" type="noConversion"/>
  </si>
  <si>
    <t>공통분류코드</t>
  </si>
  <si>
    <t>3</t>
  </si>
  <si>
    <t>3자리 문자</t>
    <phoneticPr fontId="19" type="noConversion"/>
  </si>
  <si>
    <t>60</t>
  </si>
  <si>
    <t>60자리 이내 문자</t>
    <phoneticPr fontId="19" type="noConversion"/>
  </si>
  <si>
    <t>200</t>
  </si>
  <si>
    <t>1</t>
  </si>
  <si>
    <t>20</t>
  </si>
  <si>
    <t>공통코드</t>
  </si>
  <si>
    <t>6</t>
  </si>
  <si>
    <t>6자리 이내 문자</t>
    <phoneticPr fontId="19" type="noConversion"/>
  </si>
  <si>
    <t>공통상세코드</t>
  </si>
  <si>
    <t>15</t>
  </si>
  <si>
    <t>254</t>
  </si>
  <si>
    <t>테이블_명</t>
    <phoneticPr fontId="19" type="noConversion"/>
  </si>
  <si>
    <t>공통시퀀스</t>
  </si>
  <si>
    <t>다음_아이디</t>
    <phoneticPr fontId="19" type="noConversion"/>
  </si>
  <si>
    <t>30</t>
  </si>
  <si>
    <t>메시지_아이디</t>
    <phoneticPr fontId="19" type="noConversion"/>
  </si>
  <si>
    <t>메일발신관리</t>
  </si>
  <si>
    <t>메일_내용</t>
    <phoneticPr fontId="19" type="noConversion"/>
  </si>
  <si>
    <t>TEXT</t>
  </si>
  <si>
    <t>발신자</t>
    <phoneticPr fontId="19" type="noConversion"/>
  </si>
  <si>
    <t>50</t>
  </si>
  <si>
    <t>수신자</t>
    <phoneticPr fontId="19" type="noConversion"/>
  </si>
  <si>
    <t>제목</t>
    <phoneticPr fontId="19" type="noConversion"/>
  </si>
  <si>
    <t>첨부파일_아이디</t>
    <phoneticPr fontId="19" type="noConversion"/>
  </si>
  <si>
    <t>발송_일자</t>
    <phoneticPr fontId="19" type="noConversion"/>
  </si>
  <si>
    <t>사용자정보변경내역</t>
    <phoneticPr fontId="19" type="noConversion"/>
  </si>
  <si>
    <t>사원_번호</t>
    <phoneticPr fontId="19" type="noConversion"/>
  </si>
  <si>
    <t>생일</t>
  </si>
  <si>
    <t>이동전화번호</t>
  </si>
  <si>
    <t>이메일_주소</t>
    <phoneticPr fontId="19" type="noConversion"/>
  </si>
  <si>
    <t>그룹_아이디</t>
    <phoneticPr fontId="19" type="noConversion"/>
  </si>
  <si>
    <t>조직_아이디</t>
    <phoneticPr fontId="19" type="noConversion"/>
  </si>
  <si>
    <t>사용자_상태_코드</t>
    <phoneticPr fontId="19" type="noConversion"/>
  </si>
  <si>
    <t>고유_아이디</t>
    <phoneticPr fontId="19" type="noConversion"/>
  </si>
  <si>
    <t>변경_일</t>
    <phoneticPr fontId="19" type="noConversion"/>
  </si>
  <si>
    <t>사용자권한변경내역</t>
  </si>
  <si>
    <t>30자리 이내 문자</t>
    <phoneticPr fontId="19" type="noConversion"/>
  </si>
  <si>
    <t>변경_일시</t>
    <phoneticPr fontId="19" type="noConversion"/>
  </si>
  <si>
    <t>UNIQUE,
YYYY : 0001~9999,
MM : 01~12, DD : 01~31, HH : 00~23, 
MI : 00~59, SS : 00~59</t>
    <phoneticPr fontId="19" type="noConversion"/>
  </si>
  <si>
    <t>변경_타입</t>
    <phoneticPr fontId="19" type="noConversion"/>
  </si>
  <si>
    <t>그룹정보</t>
  </si>
  <si>
    <t>그룹_명</t>
    <phoneticPr fontId="19" type="noConversion"/>
  </si>
  <si>
    <t>그룹_생성일</t>
    <phoneticPr fontId="19" type="noConversion"/>
  </si>
  <si>
    <t>그룹_설명</t>
    <phoneticPr fontId="19" type="noConversion"/>
  </si>
  <si>
    <t>100</t>
  </si>
  <si>
    <t>권한정보</t>
  </si>
  <si>
    <t>권한_명</t>
    <phoneticPr fontId="19" type="noConversion"/>
  </si>
  <si>
    <t>권한_설명</t>
    <phoneticPr fontId="19" type="noConversion"/>
  </si>
  <si>
    <t>권한_생성일</t>
    <phoneticPr fontId="19" type="noConversion"/>
  </si>
  <si>
    <t>권한롤관계</t>
  </si>
  <si>
    <t>생성_일시</t>
    <phoneticPr fontId="19" type="noConversion"/>
  </si>
  <si>
    <t>사용자정보</t>
  </si>
  <si>
    <t>사용자_명</t>
    <phoneticPr fontId="19" type="noConversion"/>
  </si>
  <si>
    <t>비밀번호</t>
  </si>
  <si>
    <t>주민등록번호</t>
  </si>
  <si>
    <t>비밀번호_힌트</t>
    <phoneticPr fontId="19" type="noConversion"/>
  </si>
  <si>
    <t>비밀번호_정답</t>
    <phoneticPr fontId="19" type="noConversion"/>
  </si>
  <si>
    <t>그룹_아이디</t>
  </si>
  <si>
    <t>고유_아이디</t>
  </si>
  <si>
    <t>인증_DN_값</t>
    <phoneticPr fontId="19" type="noConversion"/>
  </si>
  <si>
    <t>비밀번호_오류_횟수</t>
    <phoneticPr fontId="19" type="noConversion"/>
  </si>
  <si>
    <t>잠금_마지막_시간</t>
    <phoneticPr fontId="19" type="noConversion"/>
  </si>
  <si>
    <t>가입_일자</t>
    <phoneticPr fontId="19" type="noConversion"/>
  </si>
  <si>
    <t>개인정보_동의_일자</t>
  </si>
  <si>
    <t>DATE</t>
  </si>
  <si>
    <t>1자리 이내 문자</t>
    <phoneticPr fontId="19" type="noConversion"/>
  </si>
  <si>
    <t>비밀번호_변경_일자</t>
    <phoneticPr fontId="19" type="noConversion"/>
  </si>
  <si>
    <t>인증_키</t>
    <phoneticPr fontId="19" type="noConversion"/>
  </si>
  <si>
    <t>40</t>
  </si>
  <si>
    <t>40자리 이내 문자</t>
    <phoneticPr fontId="19" type="noConversion"/>
  </si>
  <si>
    <t>보안_설정_대상_아이디</t>
    <phoneticPr fontId="19" type="noConversion"/>
  </si>
  <si>
    <t>사용자보안설정</t>
  </si>
  <si>
    <t>5</t>
  </si>
  <si>
    <t>5자리 문자</t>
    <phoneticPr fontId="19" type="noConversion"/>
  </si>
  <si>
    <t>파일속성</t>
  </si>
  <si>
    <t>사용_구분</t>
  </si>
  <si>
    <t>첨부파일_아이디</t>
  </si>
  <si>
    <t>파일상세정보</t>
  </si>
  <si>
    <t>파일_순번</t>
    <phoneticPr fontId="19" type="noConversion"/>
  </si>
  <si>
    <t>10</t>
  </si>
  <si>
    <t>2000</t>
  </si>
  <si>
    <t>저장_파일_명</t>
    <phoneticPr fontId="19" type="noConversion"/>
  </si>
  <si>
    <t>255</t>
  </si>
  <si>
    <t>원_파일_명</t>
    <phoneticPr fontId="19" type="noConversion"/>
  </si>
  <si>
    <t>파일_확장자</t>
    <phoneticPr fontId="19" type="noConversion"/>
  </si>
  <si>
    <t>파일_내용</t>
    <phoneticPr fontId="19" type="noConversion"/>
  </si>
  <si>
    <t>파일_크기</t>
    <phoneticPr fontId="19" type="noConversion"/>
  </si>
  <si>
    <t>파일_이미지_촬영_일시</t>
  </si>
  <si>
    <t>로그_아이디</t>
  </si>
  <si>
    <t>접속로그</t>
  </si>
  <si>
    <t>접속_아이디</t>
  </si>
  <si>
    <t>23</t>
  </si>
  <si>
    <t>접속_OS</t>
    <phoneticPr fontId="19" type="noConversion"/>
  </si>
  <si>
    <t>접속_브라우저</t>
    <phoneticPr fontId="19" type="noConversion"/>
  </si>
  <si>
    <t>접속_브라우저_버전</t>
    <phoneticPr fontId="19" type="noConversion"/>
  </si>
  <si>
    <t>접속_방법</t>
    <phoneticPr fontId="19" type="noConversion"/>
  </si>
  <si>
    <t>로그인정책</t>
  </si>
  <si>
    <t>로그인화면이미지</t>
    <phoneticPr fontId="19" type="noConversion"/>
  </si>
  <si>
    <t>메뉴_번호</t>
    <phoneticPr fontId="19" type="noConversion"/>
  </si>
  <si>
    <t>메뉴생성상세</t>
    <phoneticPr fontId="19" type="noConversion"/>
  </si>
  <si>
    <t>매핑_생성_아이디</t>
    <phoneticPr fontId="19" type="noConversion"/>
  </si>
  <si>
    <t>메뉴_명</t>
    <phoneticPr fontId="19" type="noConversion"/>
  </si>
  <si>
    <t>메뉴정보</t>
    <phoneticPr fontId="19" type="noConversion"/>
  </si>
  <si>
    <t>프로그램_파일_명</t>
    <phoneticPr fontId="19" type="noConversion"/>
  </si>
  <si>
    <t>상위_메뉴_번호</t>
    <phoneticPr fontId="19" type="noConversion"/>
  </si>
  <si>
    <t>메뉴_순서</t>
    <phoneticPr fontId="19" type="noConversion"/>
  </si>
  <si>
    <t>메뉴_설명</t>
    <phoneticPr fontId="19" type="noConversion"/>
  </si>
  <si>
    <t>250</t>
  </si>
  <si>
    <t>250자리 이내 문자</t>
    <phoneticPr fontId="19" type="noConversion"/>
  </si>
  <si>
    <t>조직_아이디</t>
  </si>
  <si>
    <t>조적정보</t>
    <phoneticPr fontId="19" type="noConversion"/>
  </si>
  <si>
    <t>조직_명</t>
    <phoneticPr fontId="19" type="noConversion"/>
  </si>
  <si>
    <t>조직_설명</t>
    <phoneticPr fontId="19" type="noConversion"/>
  </si>
  <si>
    <t>순번</t>
  </si>
  <si>
    <t>개인정보_접근_이력</t>
  </si>
  <si>
    <t>serial4</t>
  </si>
  <si>
    <t>발생_일</t>
    <phoneticPr fontId="19" type="noConversion"/>
  </si>
  <si>
    <t>URL</t>
  </si>
  <si>
    <t>대상_아이디</t>
  </si>
  <si>
    <t>이전_사용자_성명</t>
  </si>
  <si>
    <t>이전_그룹_아이디</t>
  </si>
  <si>
    <t>변경_사용자_성명</t>
  </si>
  <si>
    <t>변경_그룹_아이디</t>
  </si>
  <si>
    <t>이력_의견</t>
  </si>
  <si>
    <t>프로그램목록</t>
    <phoneticPr fontId="19" type="noConversion"/>
  </si>
  <si>
    <t>프로그램_저장_경로</t>
    <phoneticPr fontId="19" type="noConversion"/>
  </si>
  <si>
    <t>프로그램_설명</t>
    <phoneticPr fontId="19" type="noConversion"/>
  </si>
  <si>
    <t>롤정보</t>
  </si>
  <si>
    <t>롤_명</t>
    <phoneticPr fontId="19" type="noConversion"/>
  </si>
  <si>
    <t>롤_패턴</t>
    <phoneticPr fontId="19" type="noConversion"/>
  </si>
  <si>
    <t>300</t>
  </si>
  <si>
    <t>300자리 이내 문자</t>
    <phoneticPr fontId="19" type="noConversion"/>
  </si>
  <si>
    <t>롤_설명</t>
    <phoneticPr fontId="19" type="noConversion"/>
  </si>
  <si>
    <t>롤_유형</t>
    <phoneticPr fontId="19" type="noConversion"/>
  </si>
  <si>
    <t>80</t>
  </si>
  <si>
    <t>80자리 이내 문자</t>
    <phoneticPr fontId="19" type="noConversion"/>
  </si>
  <si>
    <t>롤_정렬</t>
    <phoneticPr fontId="19" type="noConversion"/>
  </si>
  <si>
    <t>10자리 이내 문자</t>
    <phoneticPr fontId="19" type="noConversion"/>
  </si>
  <si>
    <t>롤_생성_일</t>
    <phoneticPr fontId="19" type="noConversion"/>
  </si>
  <si>
    <t>부_모롤</t>
    <phoneticPr fontId="19" type="noConversion"/>
  </si>
  <si>
    <t>롤 계층구조</t>
  </si>
  <si>
    <t>자식_롤</t>
    <phoneticPr fontId="19" type="noConversion"/>
  </si>
  <si>
    <t>세션_아이디</t>
  </si>
  <si>
    <t>세션_로그</t>
  </si>
  <si>
    <t>만료_일자</t>
  </si>
  <si>
    <t>요청자_권한_명</t>
  </si>
  <si>
    <t>요청_아이디</t>
  </si>
  <si>
    <t>시스템로그</t>
  </si>
  <si>
    <t>7</t>
  </si>
  <si>
    <t>7자리 문자</t>
    <phoneticPr fontId="19" type="noConversion"/>
  </si>
  <si>
    <t>발생_일시</t>
    <phoneticPr fontId="19" type="noConversion"/>
  </si>
  <si>
    <t>대상_메뉴_명</t>
    <phoneticPr fontId="19" type="noConversion"/>
  </si>
  <si>
    <t>메서드_명</t>
    <phoneticPr fontId="19" type="noConversion"/>
  </si>
  <si>
    <t>처리_수</t>
    <phoneticPr fontId="19" type="noConversion"/>
  </si>
  <si>
    <t>처리_시간</t>
    <phoneticPr fontId="19" type="noConversion"/>
  </si>
  <si>
    <t>14</t>
  </si>
  <si>
    <t>14자리 이내 문자</t>
    <phoneticPr fontId="19" type="noConversion"/>
  </si>
  <si>
    <t>오류_구분</t>
    <phoneticPr fontId="19" type="noConversion"/>
  </si>
  <si>
    <t>오류_수</t>
    <phoneticPr fontId="19" type="noConversion"/>
  </si>
  <si>
    <t>웹로그</t>
  </si>
  <si>
    <t>사용자_아이디</t>
  </si>
  <si>
    <t>비밀번호</t>
    <phoneticPr fontId="19" type="noConversion"/>
  </si>
  <si>
    <t>사용자_이름</t>
    <phoneticPr fontId="19" type="noConversion"/>
  </si>
  <si>
    <t>사용자_이메일</t>
    <phoneticPr fontId="19" type="noConversion"/>
  </si>
  <si>
    <t>사용자_구분</t>
    <phoneticPr fontId="19" type="noConversion"/>
  </si>
  <si>
    <t>인증키</t>
  </si>
  <si>
    <t>사용자_아이디_백업</t>
  </si>
  <si>
    <t>로드킬_그룹_아이디</t>
  </si>
  <si>
    <t>TBL_SKLL_CTGRY_CD_MNG</t>
  </si>
  <si>
    <t>TBL_SKLL_CTGRY_CNTNTS_MAPNG</t>
  </si>
  <si>
    <t>TBL_SKLL_INDUST_CD_MNG</t>
  </si>
  <si>
    <t>TBL_SKLL_INDUST_CNTNTS_MAPNG</t>
  </si>
  <si>
    <t>TBL_SKLL_PRDCT_CD_MNG</t>
  </si>
  <si>
    <t>TBL_SKLL_PRDCT_CNTNTS_MAPNG</t>
  </si>
  <si>
    <t>COMTCCMMNCLCODE</t>
  </si>
  <si>
    <t>COMTCCMMNCODE</t>
  </si>
  <si>
    <t>COMTCCMMNDETAILCODE</t>
  </si>
  <si>
    <t>COMTECOPSEQ</t>
  </si>
  <si>
    <t>COMTHEMAILDSPTCHMANAGE</t>
  </si>
  <si>
    <t>COMTHEMPLYRINFOCHANGEDTLS</t>
  </si>
  <si>
    <t>COMTHEMPLYRSCRTYESTBSCHANGEDTL</t>
  </si>
  <si>
    <t>COMTNAUTHORGROUPINFO</t>
  </si>
  <si>
    <t>COMTNAUTHORINFO</t>
  </si>
  <si>
    <t>COMTNAUTHORROLERELATE</t>
  </si>
  <si>
    <t>COMTNEMPLYRINFO</t>
  </si>
  <si>
    <t>COMTNEMPLYRSCRTYESTBS</t>
  </si>
  <si>
    <t>COMTNFILE</t>
  </si>
  <si>
    <t>COMTNFILEDETAIL</t>
  </si>
  <si>
    <t>COMTNLOGINLOG</t>
  </si>
  <si>
    <t>COMTNLOGINPOLICY</t>
  </si>
  <si>
    <t>COMTNLOGINSCRINIMAGE</t>
  </si>
  <si>
    <t>COMTNMENUCREATDTLS</t>
  </si>
  <si>
    <t>COMTNMENUINFO</t>
  </si>
  <si>
    <t>COMTNORGNZTINFO</t>
  </si>
  <si>
    <t>COMTNPRIVACYLOG</t>
  </si>
  <si>
    <t>COMTNPROGRMLIST</t>
  </si>
  <si>
    <t>COMTNROLEINFO</t>
  </si>
  <si>
    <t>COMTNROLES_HIERARCHY</t>
  </si>
  <si>
    <t>COMTNSESSIONLOG</t>
  </si>
  <si>
    <t>COMTNSYSLOG</t>
  </si>
  <si>
    <t>COMTNWEBLOG</t>
  </si>
  <si>
    <t>SKLL_CTGRY_CD</t>
  </si>
  <si>
    <t>UP_SKLL_CTGRY_CD</t>
  </si>
  <si>
    <t>ENG_CD_DTL_DC</t>
  </si>
  <si>
    <t>KORN_CD_DTL_DC</t>
  </si>
  <si>
    <t>INDUST_CD</t>
  </si>
  <si>
    <t>UP_INDUST_CD</t>
  </si>
  <si>
    <t>PRDCT_CD</t>
  </si>
  <si>
    <t>UP_PRDCT_CD</t>
  </si>
  <si>
    <t>CL_CODE</t>
  </si>
  <si>
    <t>CL_CODE_NM</t>
  </si>
  <si>
    <t>CL_CODE_DC</t>
  </si>
  <si>
    <t>USE_AT</t>
  </si>
  <si>
    <t>CODE_ID</t>
  </si>
  <si>
    <t>CODE_ID_NM</t>
  </si>
  <si>
    <t>CODE_ID_DC</t>
  </si>
  <si>
    <t>CODE</t>
  </si>
  <si>
    <t>CODE_NM</t>
  </si>
  <si>
    <t>CODE_DC</t>
  </si>
  <si>
    <t>CODE_EN_NM</t>
  </si>
  <si>
    <t>TABLE_NAME</t>
  </si>
  <si>
    <t>NEXT_ID</t>
  </si>
  <si>
    <t>MSSAGE_ID</t>
  </si>
  <si>
    <t>EMAIL_CN</t>
  </si>
  <si>
    <t>SNDR</t>
  </si>
  <si>
    <t>RCVER</t>
  </si>
  <si>
    <t>SJ</t>
  </si>
  <si>
    <t>SNDNG_RESULT_CODE</t>
  </si>
  <si>
    <t>ATCH_FILE_ID</t>
  </si>
  <si>
    <t>DSPTCH_DT</t>
  </si>
  <si>
    <t>EMPLYR_ID</t>
  </si>
  <si>
    <t>EMPL_NO</t>
  </si>
  <si>
    <t>SEXDSTN_CODE</t>
  </si>
  <si>
    <t>BRTHDY</t>
  </si>
  <si>
    <t>MBTLNUM</t>
  </si>
  <si>
    <t>EMAIL_ADRES</t>
  </si>
  <si>
    <t>GROUP_ID</t>
  </si>
  <si>
    <t>ORGNZT_ID</t>
  </si>
  <si>
    <t>EMPLYR_STTUS_CODE</t>
  </si>
  <si>
    <t>ESNTL_ID</t>
  </si>
  <si>
    <t>CHANGE_DE</t>
  </si>
  <si>
    <t>SCRTY_DTRMN_TRGET_ID</t>
  </si>
  <si>
    <t>AUTHOR_CODE</t>
  </si>
  <si>
    <t>CHANGE_DT</t>
  </si>
  <si>
    <t>CHANGE_TY</t>
  </si>
  <si>
    <t>GROUP_NM</t>
  </si>
  <si>
    <t>GROUP_CREAT_DE</t>
  </si>
  <si>
    <t>GROUP_DC</t>
  </si>
  <si>
    <t>AUTHOR_NM</t>
  </si>
  <si>
    <t>AUTHOR_DC</t>
  </si>
  <si>
    <t>AUTHOR_CREAT_DE</t>
  </si>
  <si>
    <t>ROLE_CODE</t>
  </si>
  <si>
    <t>CREAT_DT</t>
  </si>
  <si>
    <t>USER_NM</t>
  </si>
  <si>
    <t>PASSWORD</t>
  </si>
  <si>
    <t>IHIDNUM</t>
  </si>
  <si>
    <t>PASSWORD_HINT</t>
  </si>
  <si>
    <t>PASSWORD_CNSR</t>
  </si>
  <si>
    <t>CRTFC_DN_VALUE</t>
  </si>
  <si>
    <t>LOCK_AT</t>
  </si>
  <si>
    <t>LOGIN_FAILR_CO</t>
  </si>
  <si>
    <t>LOCK_LAST_PNTTM</t>
  </si>
  <si>
    <t>SBSCRB_DE</t>
  </si>
  <si>
    <t>INDIVIDLINFO_AGRE_DE</t>
  </si>
  <si>
    <t>EMAIL_SNDNG_AT</t>
  </si>
  <si>
    <t>PASSWORD_CHANGE_DE</t>
  </si>
  <si>
    <t>CRTFC_KEY</t>
  </si>
  <si>
    <t>MBER_TY_CODE</t>
  </si>
  <si>
    <t>USE_SE</t>
  </si>
  <si>
    <t>FILE_SN</t>
  </si>
  <si>
    <t>FILE_STRE_COURS</t>
  </si>
  <si>
    <t>STRE_FILE_NM</t>
  </si>
  <si>
    <t>ORIGNL_FILE_NM</t>
  </si>
  <si>
    <t>FILE_EXTSN</t>
  </si>
  <si>
    <t>FILE_CN</t>
  </si>
  <si>
    <t>FILE_SIZE</t>
  </si>
  <si>
    <t>FILE_IMG_MODIFY_DT</t>
  </si>
  <si>
    <t>FILE_IMG_PICTURE_DT</t>
  </si>
  <si>
    <t>LOG_ID</t>
  </si>
  <si>
    <t>CONECT_ID</t>
  </si>
  <si>
    <t>CONECT_IP</t>
  </si>
  <si>
    <t>CONECT_OS</t>
  </si>
  <si>
    <t>CONECT_BROWSER</t>
  </si>
  <si>
    <t>CONECT_BROWSER_VER</t>
  </si>
  <si>
    <t>CONECT_MTHD</t>
  </si>
  <si>
    <t>ERROR_OCCRRNC_AT</t>
  </si>
  <si>
    <t>ERROR_CODE</t>
  </si>
  <si>
    <t>IP_INFO</t>
  </si>
  <si>
    <t>DPLCT_PERM_AT</t>
  </si>
  <si>
    <t>LMTT_AT</t>
  </si>
  <si>
    <t>IMAGE_ID</t>
  </si>
  <si>
    <t>IMAGE_NM</t>
  </si>
  <si>
    <t>REFLCT_AT</t>
  </si>
  <si>
    <t>IMAGE</t>
  </si>
  <si>
    <t>IMAGE_DC</t>
  </si>
  <si>
    <t>IMAGE_FILE</t>
  </si>
  <si>
    <t>MENU_NO</t>
  </si>
  <si>
    <t>MAPNG_CREAT_ID</t>
  </si>
  <si>
    <t>MENU_NM</t>
  </si>
  <si>
    <t>PROGRM_FILE_NM</t>
  </si>
  <si>
    <t>UPPER_MENU_NO</t>
  </si>
  <si>
    <t>MENU_ORDR</t>
  </si>
  <si>
    <t>MENU_DC</t>
  </si>
  <si>
    <t>RELATE_IMAGE_PATH</t>
  </si>
  <si>
    <t>RELATE_IMAGE_NM</t>
  </si>
  <si>
    <t>ORGNZT_NM</t>
  </si>
  <si>
    <t>ORGNZT_DC</t>
  </si>
  <si>
    <t>SN</t>
  </si>
  <si>
    <t>OCCRRNC_DE</t>
  </si>
  <si>
    <t>RQESTER_ID</t>
  </si>
  <si>
    <t>RQESTER_IP</t>
  </si>
  <si>
    <t>TRGET_ID</t>
  </si>
  <si>
    <t>BEFORE_USER_NM</t>
  </si>
  <si>
    <t>BEFORE_GROUP_ID</t>
  </si>
  <si>
    <t>BEFORE_EMPLYR_STTUS_CODE</t>
  </si>
  <si>
    <t>BEFORE_AUTHOR_CODE</t>
  </si>
  <si>
    <t>CHANGE_USER_NM</t>
  </si>
  <si>
    <t>CHANGE_GROUP_ID</t>
  </si>
  <si>
    <t>CHANGE_EMPLYR_STTUS_CODE</t>
  </si>
  <si>
    <t>CHANGE_AUTHOR_CODE</t>
  </si>
  <si>
    <t>HIST_OPINION</t>
  </si>
  <si>
    <t>PROGRM_STRE_PATH</t>
  </si>
  <si>
    <t>PROGRM_KOREAN_NM</t>
  </si>
  <si>
    <t>PROGRM_DC</t>
  </si>
  <si>
    <t>ROLE_NM</t>
  </si>
  <si>
    <t>ROLE_PTTRN</t>
  </si>
  <si>
    <t>ROLE_DC</t>
  </si>
  <si>
    <t>ROLE_TY</t>
  </si>
  <si>
    <t>ROLE_SORT</t>
  </si>
  <si>
    <t>ROLE_CREAT_DE</t>
  </si>
  <si>
    <t>ROLE_HTTP_METHOD</t>
  </si>
  <si>
    <t>CHLDRN_ROLE</t>
  </si>
  <si>
    <t>SESSION_ID</t>
  </si>
  <si>
    <t>EXPRY_DT</t>
  </si>
  <si>
    <t>RQSTR_AUTHRT_NM</t>
  </si>
  <si>
    <t>REQUST_ID</t>
  </si>
  <si>
    <t>JOB_SE_CODE</t>
  </si>
  <si>
    <t>INSTT_CODE</t>
  </si>
  <si>
    <t>OCCRRNC_DT</t>
  </si>
  <si>
    <t>TRGET_MENU_NM</t>
  </si>
  <si>
    <t>METHOD_NM</t>
  </si>
  <si>
    <t>PROCESS_SE_CODE</t>
  </si>
  <si>
    <t>PROCESS_CO</t>
  </si>
  <si>
    <t>PROCESS_TIME</t>
  </si>
  <si>
    <t>RSPNS_CODE</t>
  </si>
  <si>
    <t>ERROR_SE</t>
  </si>
  <si>
    <t>ERROR_CO</t>
  </si>
  <si>
    <t>USER_ID</t>
  </si>
  <si>
    <t>주제영역</t>
    <phoneticPr fontId="19" type="noConversion"/>
  </si>
  <si>
    <t>통계</t>
  </si>
  <si>
    <t>생태모방사례</t>
  </si>
  <si>
    <t>수집</t>
  </si>
  <si>
    <t>모델</t>
  </si>
  <si>
    <t>생물종</t>
  </si>
  <si>
    <t>기능</t>
  </si>
  <si>
    <t>시스템관리</t>
  </si>
  <si>
    <t>수집백업</t>
  </si>
  <si>
    <t>TBL_PATENT_IMG_INFO</t>
    <phoneticPr fontId="19" type="noConversion"/>
  </si>
  <si>
    <t>PATENT_CLSF_SCR</t>
  </si>
  <si>
    <t>특허_분류_점수</t>
  </si>
  <si>
    <t>9999999999999.999</t>
    <phoneticPr fontId="19" type="noConversion"/>
  </si>
  <si>
    <t>NCBI_THESIS_CLSF_SCR</t>
  </si>
  <si>
    <t>KISTI_THESIS_CLSF_SCR</t>
  </si>
  <si>
    <t>ECLGY_MMCRY_CASE_CLSF_SCR</t>
  </si>
  <si>
    <t>생태_모방_사례_분류_점수</t>
  </si>
  <si>
    <t>생일</t>
    <phoneticPr fontId="19" type="noConversion"/>
  </si>
  <si>
    <t>BRTHDY</t>
    <phoneticPr fontId="19" type="noConversion"/>
  </si>
  <si>
    <t>DATE</t>
    <phoneticPr fontId="19" type="noConversion"/>
  </si>
  <si>
    <t>99.9999999999</t>
    <phoneticPr fontId="19" type="noConversion"/>
  </si>
  <si>
    <t>999.9999999999</t>
    <phoneticPr fontId="19" type="noConversion"/>
  </si>
  <si>
    <t>YYYY</t>
    <phoneticPr fontId="19" type="noConversion"/>
  </si>
  <si>
    <t>YYYY-MM-DD</t>
    <phoneticPr fontId="19" type="noConversion"/>
  </si>
  <si>
    <t>수집백업</t>
    <phoneticPr fontId="19" type="noConversion"/>
  </si>
  <si>
    <t>생태_모방_사례_분류_매핑</t>
    <phoneticPr fontId="19" type="noConversion"/>
  </si>
  <si>
    <t>KISTI_논문_분류_매핑</t>
    <phoneticPr fontId="19" type="noConversion"/>
  </si>
  <si>
    <t>NCBI_논문_분류_매핑</t>
    <phoneticPr fontId="19" type="noConversion"/>
  </si>
  <si>
    <t>특허_분류_매핑</t>
    <phoneticPr fontId="19" type="noConversion"/>
  </si>
  <si>
    <t>TBL_PATENT_MSTR</t>
    <phoneticPr fontId="19" type="noConversion"/>
  </si>
  <si>
    <t>COMTCCMMNCLCODE.CODE_ID</t>
    <phoneticPr fontId="19" type="noConversion"/>
  </si>
  <si>
    <t>COMTCCMMNCODE.CODE_ID</t>
  </si>
  <si>
    <t>TBL_ECLGY_MMCRY_KNWLDG_RANK_SRCHWRD_MNG.ECLGY_MMCRY_CASE_RANK_ID</t>
  </si>
  <si>
    <t>COMTNAUTHORINFO.AUTHOR_CODE</t>
  </si>
  <si>
    <t>COMTNROLEINFO.ROLE_CODE</t>
  </si>
  <si>
    <t>COMTNMENUINFO.MENU_NO</t>
  </si>
  <si>
    <t>COMTNPROGRMLIST.PROGRM_FILE_NM</t>
  </si>
  <si>
    <t>COMTNORGNZTINFO.ORGNZT_ID</t>
  </si>
  <si>
    <t>COMTNAUTHORGROUPINFO.GROUP_ID</t>
  </si>
  <si>
    <t>COMTNEMPLYRINFO.EMPLYR_ID</t>
  </si>
  <si>
    <t>COMTNFILE.ATCH_FILE_ID</t>
  </si>
  <si>
    <t>TBL_SFE_CLSF_SYSTM_CD_MNG_UNIQUE</t>
  </si>
  <si>
    <t>TBL_PRDCT_CLSF_SYSTM_CD_MNG_UNIQUE</t>
  </si>
  <si>
    <t>TBL_PATENT_CLSF_SYSTM_CD_MNG_UNIQUE</t>
  </si>
  <si>
    <t>TBL_PATENT_CLSF_MAPNG_CLSF_SYSTM_SE_CD_IDX</t>
  </si>
  <si>
    <t>TBL_NCBI_THESIS_CLSF_MAPNG_CLSF_SYSTM_SE_CD_IDX</t>
  </si>
  <si>
    <t>TBL_NCBI_JRNL_PMC_ID_CLCT_HSTRY_MNG_IDX01</t>
  </si>
  <si>
    <t>TBL_NCBI_JRNL_LVB_MAPNG_PMC_ID_IDX01</t>
  </si>
  <si>
    <t>TBL_NCBI_JRNL_CLCT_HSTRY_MNG_PMC_ID_IDX01</t>
  </si>
  <si>
    <t>TBL_MMCRY_CLSF_SYSTM_CD_MNG_UNIQUE</t>
  </si>
  <si>
    <t>TBL_LVB_SPCS_CLSF_MAPNG_EOL_ID_IDX</t>
  </si>
  <si>
    <t>TBL_LVB_SPCS_CLSF_MAPNG_CLSF_SYSTM_SE_CD_IDX</t>
  </si>
  <si>
    <t>TBL_LVB_SFE_CLSF_MAPNG_CLSF_SYSTM_SE_CD_IDX</t>
  </si>
  <si>
    <t>TBL_KISTI_THESIS_CLSF_MAPNG_CLSF_SYSTM_SE_CD_IDX</t>
  </si>
  <si>
    <t>TBL_KISTI_JRNL_LVB_MAPNG_CN_ID_IDX01</t>
  </si>
  <si>
    <t>TBL_KISTI_JRNL_LVB_MAPNG_NCBI_DPCN_YN_IDX02</t>
  </si>
  <si>
    <t>TBL_KISTI_JRNL_CN_ID_CLCT_HSTRY_MNG_IDX01</t>
  </si>
  <si>
    <t>TBL_INDUST_CLSF_SYSTM_CD_MNG_UNIQUE</t>
  </si>
  <si>
    <t>TBL_GBIF_SPCE_INFO_CLCT_HSTRY_MNG_IDX01</t>
  </si>
  <si>
    <t>TBL_EOL_LVB_SFE_CLCT_HSTRY_MNG_IDX01</t>
  </si>
  <si>
    <t>TBL_EOL_LVB_NM_CLCT_HSTRY_MNG_IDX01</t>
  </si>
  <si>
    <t>TBL_EOL_LVB_NM_CLCT_HSTRY_MNG_IDX02</t>
  </si>
  <si>
    <t>TBL_EOL_LVB_MEDIA_CLCT_HSTRY_MNG_IDX01</t>
  </si>
  <si>
    <t>TBL_EOL_LVB_IMG_INFO_MEDIA_SE_CD_IDX</t>
  </si>
  <si>
    <t>ECLGY_MMCRY_CASE_RANK_SRCHWRD_UNIQUE</t>
  </si>
  <si>
    <t>TBL_ECLGY_MMCRY_CASE_CLSF_MAPNG_CLSF_SYSTM_SE_CD_IDX</t>
  </si>
  <si>
    <t>TBL_CLCT_DATA_MNG_IDX_01</t>
  </si>
  <si>
    <t>TBL_CLCT_DATA_MNG_IDX_02</t>
  </si>
  <si>
    <t>TBL_CLCT_DATA_MNG_IDX_03</t>
  </si>
  <si>
    <t>TBL_CLCT_DATA_MNG_IDX_04</t>
  </si>
  <si>
    <t>TBL_CLCT_DATA_MNG_IDX_05</t>
  </si>
  <si>
    <t>TBL_CLCT_DATA_MNG_IDX_06</t>
  </si>
  <si>
    <t>TBL_CLCT_DATA_MNG_IDX_07</t>
  </si>
  <si>
    <t>TBL_BIOSPC_SYNONM_EOL_ID_IDX</t>
  </si>
  <si>
    <t>TBL_BIOSPC_SCNCENM_EOL_ID_IDX</t>
  </si>
  <si>
    <t>TBL_BIOSPC_MSTR_IDX01</t>
  </si>
  <si>
    <t>TBL_BIOSPC_MSTR_IDX02</t>
  </si>
  <si>
    <t>TBL_ECLGY_MMCRY_PATENT_TREND_KWRD_MNG_UNIQUE</t>
    <phoneticPr fontId="19" type="noConversion"/>
  </si>
  <si>
    <t>엘라스틱서치_색인_정보</t>
  </si>
  <si>
    <t>생태_모방_특허_동향_수집_실행_결과_코드(BKS003)</t>
    <phoneticPr fontId="19" type="noConversion"/>
  </si>
  <si>
    <t>수집</t>
    <phoneticPr fontId="19" type="noConversion"/>
  </si>
  <si>
    <t>수정_일시</t>
    <phoneticPr fontId="19" type="noConversion"/>
  </si>
  <si>
    <t>정렬_순서_번호</t>
    <phoneticPr fontId="19" type="noConversion"/>
  </si>
  <si>
    <t>첨부_파일_아이디</t>
    <phoneticPr fontId="19" type="noConversion"/>
  </si>
  <si>
    <t>생태_모방_사례_랭킹_사용자_만족_점수_가중값</t>
    <phoneticPr fontId="19" type="noConversion"/>
  </si>
  <si>
    <t>NCBI_논문_분류_점수</t>
    <phoneticPr fontId="19" type="noConversion"/>
  </si>
  <si>
    <t>KISTI_논문_분류_점수</t>
    <phoneticPr fontId="19" type="noConversion"/>
  </si>
  <si>
    <t>엘라스틱서치_색인_명</t>
    <phoneticPr fontId="19" type="noConversion"/>
  </si>
  <si>
    <t>자연어_모델_이력_번호</t>
    <phoneticPr fontId="19" type="noConversion"/>
  </si>
  <si>
    <t>컨텐츠_요약_내용</t>
    <phoneticPr fontId="19" type="noConversion"/>
  </si>
  <si>
    <t>IPC_제외_코드_내용</t>
    <phoneticPr fontId="19" type="noConversion"/>
  </si>
  <si>
    <t>한국어_키워드_명</t>
    <phoneticPr fontId="19" type="noConversion"/>
  </si>
  <si>
    <t>업무_아이디</t>
    <phoneticPr fontId="19" type="noConversion"/>
  </si>
  <si>
    <t>ECLGY_MMCRY_CASE_RANK_SRCHWRD</t>
    <phoneticPr fontId="19" type="noConversion"/>
  </si>
  <si>
    <t>REG_DT</t>
    <phoneticPr fontId="19" type="noConversion"/>
  </si>
  <si>
    <t>등록_일시</t>
    <phoneticPr fontId="19" type="noConversion"/>
  </si>
  <si>
    <t>영문_코드_서술</t>
    <phoneticPr fontId="19" type="noConversion"/>
  </si>
  <si>
    <t>한글_코드_서술</t>
    <phoneticPr fontId="19" type="noConversion"/>
  </si>
  <si>
    <t>영문_코드_상세_서술</t>
    <phoneticPr fontId="19" type="noConversion"/>
  </si>
  <si>
    <t>한글_코드_상세_서술</t>
    <phoneticPr fontId="19" type="noConversion"/>
  </si>
  <si>
    <t>NL_MDL_RSLT_CD</t>
    <phoneticPr fontId="19" type="noConversion"/>
  </si>
  <si>
    <t>BACKUP_DE</t>
    <phoneticPr fontId="19" type="noConversion"/>
  </si>
  <si>
    <t>프로그램_한국어_명</t>
    <phoneticPr fontId="19" type="noConversion"/>
  </si>
  <si>
    <t>이메일_내용</t>
    <phoneticPr fontId="19" type="noConversion"/>
  </si>
  <si>
    <t>사용자_아이디</t>
    <phoneticPr fontId="19" type="noConversion"/>
  </si>
  <si>
    <t>부모_롤</t>
    <phoneticPr fontId="19" type="noConversion"/>
  </si>
  <si>
    <t>PARNTS_ROLE</t>
    <phoneticPr fontId="19" type="noConversion"/>
  </si>
  <si>
    <t>롤_HTTP_메서드</t>
    <phoneticPr fontId="19" type="noConversion"/>
  </si>
  <si>
    <t>발송_일시</t>
    <phoneticPr fontId="19" type="noConversion"/>
  </si>
  <si>
    <t>만료_일시</t>
    <phoneticPr fontId="19" type="noConversion"/>
  </si>
  <si>
    <t>이전_사용자_명</t>
    <phoneticPr fontId="19" type="noConversion"/>
  </si>
  <si>
    <t>변경_사용자_명</t>
    <phoneticPr fontId="19" type="noConversion"/>
  </si>
  <si>
    <t>컨텐츠_요약_설명</t>
    <phoneticPr fontId="19" type="noConversion"/>
  </si>
  <si>
    <t>그룹_생성_일</t>
    <phoneticPr fontId="19" type="noConversion"/>
  </si>
  <si>
    <t>권한_생성_일</t>
    <phoneticPr fontId="19" type="noConversion"/>
  </si>
  <si>
    <t>가입_일</t>
    <phoneticPr fontId="19" type="noConversion"/>
  </si>
  <si>
    <t>개인정보_동의_일</t>
    <phoneticPr fontId="19" type="noConversion"/>
  </si>
  <si>
    <t>비밀번호_변경_일</t>
    <phoneticPr fontId="19" type="noConversion"/>
  </si>
  <si>
    <t>처리_횟수</t>
    <phoneticPr fontId="19" type="noConversion"/>
  </si>
  <si>
    <t>잠금_최종_시점</t>
    <phoneticPr fontId="19" type="noConversion"/>
  </si>
  <si>
    <t>SCRTY_DTRMN_TRGET_ID</t>
    <phoneticPr fontId="19" type="noConversion"/>
  </si>
  <si>
    <t>최초_등록저장_시점</t>
    <phoneticPr fontId="19" type="noConversion"/>
  </si>
  <si>
    <t>최종_수정저장_시점</t>
    <phoneticPr fontId="19" type="noConversion"/>
  </si>
  <si>
    <t>파일_이미지_조정_일시</t>
    <phoneticPr fontId="19" type="noConversion"/>
  </si>
  <si>
    <t>사용_연부</t>
    <phoneticPr fontId="19" type="noConversion"/>
  </si>
  <si>
    <t>잠금_연부</t>
    <phoneticPr fontId="19" type="noConversion"/>
  </si>
  <si>
    <t>이메일_발송_연부</t>
    <phoneticPr fontId="19" type="noConversion"/>
  </si>
  <si>
    <t>오류_발생_연부</t>
    <phoneticPr fontId="19" type="noConversion"/>
  </si>
  <si>
    <t>중복_허용_연부</t>
    <phoneticPr fontId="19" type="noConversion"/>
  </si>
  <si>
    <t>제한_연부</t>
    <phoneticPr fontId="19" type="noConversion"/>
  </si>
  <si>
    <t>반영_연부</t>
    <phoneticPr fontId="19" type="noConversion"/>
  </si>
  <si>
    <t>SVC_NM</t>
    <phoneticPr fontId="19" type="noConversion"/>
  </si>
  <si>
    <t>시스템서비스_명</t>
    <phoneticPr fontId="19" type="noConversion"/>
  </si>
  <si>
    <t>ERROR_CODE</t>
    <phoneticPr fontId="19" type="noConversion"/>
  </si>
  <si>
    <t>에러_구분</t>
    <phoneticPr fontId="19" type="noConversion"/>
  </si>
  <si>
    <t>에러_횟수</t>
    <phoneticPr fontId="19" type="noConversion"/>
  </si>
  <si>
    <t>그림_아이디</t>
    <phoneticPr fontId="19" type="noConversion"/>
  </si>
  <si>
    <t>그림_명</t>
    <phoneticPr fontId="19" type="noConversion"/>
  </si>
  <si>
    <t>그림</t>
    <phoneticPr fontId="19" type="noConversion"/>
  </si>
  <si>
    <t>그림_파일</t>
    <phoneticPr fontId="19" type="noConversion"/>
  </si>
  <si>
    <t>관계_그림_경로</t>
    <phoneticPr fontId="19" type="noConversion"/>
  </si>
  <si>
    <t>관계_그림_명</t>
    <phoneticPr fontId="19" type="noConversion"/>
  </si>
  <si>
    <t>그림_서술</t>
    <phoneticPr fontId="19" type="noConversion"/>
  </si>
  <si>
    <t>구별_부호코드</t>
    <phoneticPr fontId="19" type="noConversion"/>
  </si>
  <si>
    <t>구별_부호코드_명</t>
    <phoneticPr fontId="19" type="noConversion"/>
  </si>
  <si>
    <t>구별_부호코드_서술</t>
    <phoneticPr fontId="19" type="noConversion"/>
  </si>
  <si>
    <t>부호코드_아이디</t>
    <phoneticPr fontId="19" type="noConversion"/>
  </si>
  <si>
    <t>부호코드_아이디_명</t>
    <phoneticPr fontId="19" type="noConversion"/>
  </si>
  <si>
    <t>부호코드_아이디_서술</t>
    <phoneticPr fontId="19" type="noConversion"/>
  </si>
  <si>
    <t>부호코드</t>
    <phoneticPr fontId="19" type="noConversion"/>
  </si>
  <si>
    <t>부호코드_명</t>
    <phoneticPr fontId="19" type="noConversion"/>
  </si>
  <si>
    <t>부호코드_서술</t>
    <phoneticPr fontId="19" type="noConversion"/>
  </si>
  <si>
    <t>부호코드_영어_명</t>
    <phoneticPr fontId="19" type="noConversion"/>
  </si>
  <si>
    <t>발송_결실_부호코드</t>
    <phoneticPr fontId="19" type="noConversion"/>
  </si>
  <si>
    <t>성별_부호코드</t>
    <phoneticPr fontId="19" type="noConversion"/>
  </si>
  <si>
    <t>사용자_현황_부호코드</t>
    <phoneticPr fontId="19" type="noConversion"/>
  </si>
  <si>
    <t>권한_부호코드</t>
    <phoneticPr fontId="19" type="noConversion"/>
  </si>
  <si>
    <t>롤_부호코드</t>
    <phoneticPr fontId="19" type="noConversion"/>
  </si>
  <si>
    <t>회원_유형_부호코드</t>
    <phoneticPr fontId="19" type="noConversion"/>
  </si>
  <si>
    <t>에러_부호코드</t>
    <phoneticPr fontId="19" type="noConversion"/>
  </si>
  <si>
    <t>이전_사용자_현황_부호코드</t>
    <phoneticPr fontId="19" type="noConversion"/>
  </si>
  <si>
    <t>이전_권한_부호코드</t>
    <phoneticPr fontId="19" type="noConversion"/>
  </si>
  <si>
    <t>변경_사용자_현황_부호코드</t>
    <phoneticPr fontId="19" type="noConversion"/>
  </si>
  <si>
    <t>변경_권한_부호코드</t>
    <phoneticPr fontId="19" type="noConversion"/>
  </si>
  <si>
    <t>작업_구분_부호코드</t>
    <phoneticPr fontId="19" type="noConversion"/>
  </si>
  <si>
    <t>기관_부호코드</t>
    <phoneticPr fontId="19" type="noConversion"/>
  </si>
  <si>
    <t>처리_구분_부호코드</t>
    <phoneticPr fontId="19" type="noConversion"/>
  </si>
  <si>
    <t>응답_부호코드</t>
    <phoneticPr fontId="19" type="noConversion"/>
  </si>
  <si>
    <t>분류_코드</t>
    <phoneticPr fontId="19" type="noConversion"/>
  </si>
  <si>
    <t>분류_코드_명</t>
    <phoneticPr fontId="19" type="noConversion"/>
  </si>
  <si>
    <t>분류_코드_설명</t>
    <phoneticPr fontId="19" type="noConversion"/>
  </si>
  <si>
    <t>사용_여부</t>
    <phoneticPr fontId="19" type="noConversion"/>
  </si>
  <si>
    <t>코드_아이디</t>
    <phoneticPr fontId="19" type="noConversion"/>
  </si>
  <si>
    <t>코드_아이디_설명</t>
    <phoneticPr fontId="19" type="noConversion"/>
  </si>
  <si>
    <t>코드</t>
  </si>
  <si>
    <t>코드_명</t>
    <phoneticPr fontId="19" type="noConversion"/>
  </si>
  <si>
    <t>코드_설명</t>
    <phoneticPr fontId="19" type="noConversion"/>
  </si>
  <si>
    <t>발송_결과_코드</t>
    <phoneticPr fontId="19" type="noConversion"/>
  </si>
  <si>
    <t>성별_코드</t>
    <phoneticPr fontId="19" type="noConversion"/>
  </si>
  <si>
    <t>권한_코드</t>
    <phoneticPr fontId="19" type="noConversion"/>
  </si>
  <si>
    <t>롤_코드</t>
    <phoneticPr fontId="19" type="noConversion"/>
  </si>
  <si>
    <t>잠금_상태</t>
    <phoneticPr fontId="19" type="noConversion"/>
  </si>
  <si>
    <t>회원_유형_코드</t>
    <phoneticPr fontId="19" type="noConversion"/>
  </si>
  <si>
    <t>중복_허용_여부</t>
    <phoneticPr fontId="19" type="noConversion"/>
  </si>
  <si>
    <t>제한_여부</t>
    <phoneticPr fontId="19" type="noConversion"/>
  </si>
  <si>
    <t>이미지_아이디</t>
  </si>
  <si>
    <t>이미지_명</t>
    <phoneticPr fontId="19" type="noConversion"/>
  </si>
  <si>
    <t>반영_여부</t>
    <phoneticPr fontId="19" type="noConversion"/>
  </si>
  <si>
    <t>이미지</t>
  </si>
  <si>
    <t>이미지_설명</t>
    <phoneticPr fontId="19" type="noConversion"/>
  </si>
  <si>
    <t>이미지_파일</t>
    <phoneticPr fontId="19" type="noConversion"/>
  </si>
  <si>
    <t>관계_이미지_경로</t>
    <phoneticPr fontId="19" type="noConversion"/>
  </si>
  <si>
    <t>관계_이미지_명</t>
    <phoneticPr fontId="19" type="noConversion"/>
  </si>
  <si>
    <t>이전_사용자_상태_코드</t>
  </si>
  <si>
    <t>이전_권한_코드</t>
  </si>
  <si>
    <t>기관_코드</t>
    <phoneticPr fontId="19" type="noConversion"/>
  </si>
  <si>
    <t>서비스_명</t>
    <phoneticPr fontId="19" type="noConversion"/>
  </si>
  <si>
    <t>처리_구분_코드</t>
    <phoneticPr fontId="19" type="noConversion"/>
  </si>
  <si>
    <t>응답_코드</t>
    <phoneticPr fontId="19" type="noConversion"/>
  </si>
  <si>
    <t>코드_영어_명</t>
    <phoneticPr fontId="19" type="noConversion"/>
  </si>
  <si>
    <t>사용자_현황_코드</t>
    <phoneticPr fontId="19" type="noConversion"/>
  </si>
  <si>
    <t>변경_사용자_현황_코드</t>
    <phoneticPr fontId="19" type="noConversion"/>
  </si>
  <si>
    <t>변경_권한_코드</t>
    <phoneticPr fontId="19" type="noConversion"/>
  </si>
  <si>
    <t>작업_구분_코드</t>
    <phoneticPr fontId="19" type="noConversion"/>
  </si>
  <si>
    <t>에러_코드</t>
    <phoneticPr fontId="19" type="noConversion"/>
  </si>
  <si>
    <t>이메일_발송_여부</t>
    <phoneticPr fontId="19" type="noConversion"/>
  </si>
  <si>
    <t>변경_유형</t>
    <phoneticPr fontId="19" type="noConversion"/>
  </si>
  <si>
    <t>자연어_모델_타입_코드</t>
    <phoneticPr fontId="19" type="noConversion"/>
  </si>
  <si>
    <t>PRDCT_CLSF_SYSTM_CD</t>
    <phoneticPr fontId="19" type="noConversion"/>
  </si>
  <si>
    <t>생태모방사례</t>
    <phoneticPr fontId="19" type="noConversion"/>
  </si>
  <si>
    <t>코드_아이디_명</t>
    <phoneticPr fontId="19" type="noConversion"/>
  </si>
  <si>
    <t>에러_발생_여부</t>
    <phoneticPr fontId="19" type="noConversion"/>
  </si>
  <si>
    <t>자연어_모델_이력_번호</t>
  </si>
  <si>
    <t>업무_아이디</t>
  </si>
  <si>
    <t>IPC_제외_코드_내용</t>
  </si>
  <si>
    <t>엘라스틱서치_색인_명</t>
  </si>
  <si>
    <t>NCBI_논문_분류_점수</t>
  </si>
  <si>
    <t>KISTI_논문_분류_점수</t>
  </si>
  <si>
    <t>내용_아이디</t>
    <phoneticPr fontId="19" type="noConversion"/>
  </si>
  <si>
    <t>KISTI_저널_내용_아이디_수집_번호</t>
    <phoneticPr fontId="19" type="noConversion"/>
  </si>
  <si>
    <t>KISTI_저널_내용_아이디_수집_이력_관리</t>
    <phoneticPr fontId="19" type="noConversion"/>
  </si>
  <si>
    <t>생태_모방_사례_아이디</t>
    <phoneticPr fontId="19" type="noConversion"/>
  </si>
  <si>
    <t>생태_모방_사례</t>
    <phoneticPr fontId="19" type="noConversion"/>
  </si>
  <si>
    <t>생태_모방_사례_구분_코드</t>
    <phoneticPr fontId="19" type="noConversion"/>
  </si>
  <si>
    <t>생태_모방_사례_제목</t>
    <phoneticPr fontId="19" type="noConversion"/>
  </si>
  <si>
    <t>생태_모방_사례_개요</t>
    <phoneticPr fontId="19" type="noConversion"/>
  </si>
  <si>
    <t>미디어_파일_아이디</t>
    <phoneticPr fontId="19" type="noConversion"/>
  </si>
  <si>
    <t>참고_문헌_첨부_파일_아이디</t>
    <phoneticPr fontId="19" type="noConversion"/>
  </si>
  <si>
    <t>등록_상태_코드</t>
    <phoneticPr fontId="19" type="noConversion"/>
  </si>
  <si>
    <t>등록_아이디</t>
    <phoneticPr fontId="19" type="noConversion"/>
  </si>
  <si>
    <t>수정_아이디</t>
    <phoneticPr fontId="19" type="noConversion"/>
  </si>
  <si>
    <t>생태_모방_사례_키워드_매핑</t>
    <phoneticPr fontId="19" type="noConversion"/>
  </si>
  <si>
    <t>키워드_아이디</t>
    <phoneticPr fontId="19" type="noConversion"/>
  </si>
  <si>
    <t>생태_모방_사례_키워드</t>
    <phoneticPr fontId="19" type="noConversion"/>
  </si>
  <si>
    <t>생태_모방_사례_분류_체계_매핑</t>
    <phoneticPr fontId="19" type="noConversion"/>
  </si>
  <si>
    <t>분류_체계_아이디</t>
    <phoneticPr fontId="19" type="noConversion"/>
  </si>
  <si>
    <t>생태_모방_사례_본문</t>
    <phoneticPr fontId="19" type="noConversion"/>
  </si>
  <si>
    <t>부가_정보_잠재_내용</t>
    <phoneticPr fontId="19" type="noConversion"/>
  </si>
  <si>
    <t>부가_정보_적용_내용</t>
    <phoneticPr fontId="19" type="noConversion"/>
  </si>
  <si>
    <t>부가_정보_차별_내용</t>
    <phoneticPr fontId="19" type="noConversion"/>
  </si>
  <si>
    <t>ECLGY_MMCRY_CASE_SE_CD</t>
  </si>
  <si>
    <t>ECLGY_MMCRY_CASE_TTL</t>
  </si>
  <si>
    <t>ECLGY_MMCRY_CASE_OTLN</t>
  </si>
  <si>
    <t>ECLGY_MMCRY_CASE_BDT</t>
  </si>
  <si>
    <t>ADD_INFO_PTNT_CN</t>
  </si>
  <si>
    <t>ADD_INFO_APLCN_CN</t>
  </si>
  <si>
    <t>ADD_INFO_DFRNT_CN</t>
  </si>
  <si>
    <t>MEDIA_FILE_ID</t>
  </si>
  <si>
    <t>REF_LTRTRE_ATCH_FILE_ID</t>
  </si>
  <si>
    <t>REG_STTS_CD</t>
  </si>
  <si>
    <t>REF_LTRTRE_LINK_URL</t>
  </si>
  <si>
    <t>KWRD_ID</t>
  </si>
  <si>
    <t>생태모방사례 관리</t>
    <phoneticPr fontId="19" type="noConversion"/>
  </si>
  <si>
    <t>TBL_ECLGY_MMCRY_CASE</t>
  </si>
  <si>
    <t>TBL_REF_LTRTRE_LINK</t>
  </si>
  <si>
    <t>TBL_ECLGY_MMCRY_CASE_KWRD_MAPNG</t>
  </si>
  <si>
    <t>TBL_ECLGY_MMCRY_CASE_KWRD</t>
  </si>
  <si>
    <t>TBL_ECLGY_MMCRY_CASE_CLSF_SYSTM_MAPNG</t>
  </si>
  <si>
    <t>방문자_전문가_체류_시간</t>
    <phoneticPr fontId="19" type="noConversion"/>
  </si>
  <si>
    <t>VSTR_EXPERT_STAY_HR</t>
    <phoneticPr fontId="19" type="noConversion"/>
  </si>
  <si>
    <t>CLSF_SYSTM_STAY_HR</t>
    <phoneticPr fontId="19" type="noConversion"/>
  </si>
  <si>
    <t>분류_체계_체류_시간</t>
    <phoneticPr fontId="19" type="noConversion"/>
  </si>
  <si>
    <t>특허_연계_URL</t>
  </si>
  <si>
    <t>저널_연계_URL</t>
  </si>
  <si>
    <t>참고_문헌_연계</t>
  </si>
  <si>
    <t>참고_문헌_연계_URL</t>
  </si>
  <si>
    <t>하위_교점_수</t>
  </si>
  <si>
    <t>범주_사용자_통계_로그_아이디</t>
  </si>
  <si>
    <t>범주_사용자_통계_로그</t>
  </si>
  <si>
    <t>기능_범주_코드</t>
  </si>
  <si>
    <t>기능_범주_코드_관리</t>
  </si>
  <si>
    <t>상위_기능_범주_코드</t>
  </si>
  <si>
    <t>기능_범주_컨텐츠_매핑</t>
  </si>
  <si>
    <t>자료 타입</t>
  </si>
  <si>
    <t>자료 길이</t>
  </si>
  <si>
    <t>자료소수점길이</t>
  </si>
  <si>
    <t>자료 형식</t>
  </si>
  <si>
    <t>자료_수집_출처_기본_URL</t>
  </si>
  <si>
    <t>수집_자료_분류_코드(BKS009)</t>
  </si>
  <si>
    <t>입력_자료_내용</t>
  </si>
  <si>
    <t>모방_분류_체계_훈련_자료</t>
  </si>
  <si>
    <t>자료_페이지_번호</t>
  </si>
  <si>
    <t>자료_출처_기본_URL</t>
  </si>
  <si>
    <t>EOL_자료_아이디</t>
  </si>
  <si>
    <t>메타자료_키워드_명</t>
  </si>
  <si>
    <t>수집_자료_검증_아이디</t>
  </si>
  <si>
    <t>수집_자료_검증_관리</t>
  </si>
  <si>
    <t>수집_자료_검증_결과_코드(BKS007)</t>
  </si>
  <si>
    <t>수집_자료_부적합_사유_코드(BKS008)</t>
  </si>
  <si>
    <t>수집_자료_부적합_사유_내용</t>
  </si>
  <si>
    <t>수집_자료_제목</t>
  </si>
  <si>
    <t>수집_자료_관리</t>
  </si>
  <si>
    <t>자료_수집_구성체_서비스_관리</t>
    <phoneticPr fontId="19" type="noConversion"/>
  </si>
  <si>
    <t>자료_수집_구성체_서비스_오류_로그</t>
    <phoneticPr fontId="19" type="noConversion"/>
  </si>
  <si>
    <t>NL_MDL_TY_CD</t>
    <phoneticPr fontId="19" type="noConversion"/>
  </si>
  <si>
    <t>요청자_IP</t>
  </si>
  <si>
    <t>정보백업_일</t>
    <phoneticPr fontId="19" type="noConversion"/>
  </si>
  <si>
    <t>접속_IP</t>
  </si>
  <si>
    <t>IP_정보</t>
  </si>
  <si>
    <t>KWRD_NM</t>
    <phoneticPr fontId="19" type="noConversion"/>
  </si>
  <si>
    <t>키워드_명</t>
    <phoneticPr fontId="19" type="noConversion"/>
  </si>
  <si>
    <t>JRNL_PBLCATE_YEAR</t>
  </si>
  <si>
    <t>저널_출판_년도</t>
    <phoneticPr fontId="19" type="noConversion"/>
  </si>
  <si>
    <t>NCBI_저널_마스터</t>
    <phoneticPr fontId="19" type="noConversion"/>
  </si>
  <si>
    <t>YYYY : 0001~9999</t>
    <phoneticPr fontId="19" type="noConversion"/>
  </si>
  <si>
    <t>TBL_KISTI_JRNL_MSTR</t>
    <phoneticPr fontId="19" type="noConversion"/>
  </si>
  <si>
    <t>KISTI_저널_마스터</t>
    <phoneticPr fontId="19" type="noConversion"/>
  </si>
  <si>
    <t>시스템관리</t>
    <phoneticPr fontId="19" type="noConversion"/>
  </si>
  <si>
    <t>BPCHAR</t>
    <phoneticPr fontId="19" type="noConversion"/>
  </si>
  <si>
    <t>설문관리</t>
    <phoneticPr fontId="19" type="noConversion"/>
  </si>
  <si>
    <t>TBL_SRVY_MSTR</t>
    <phoneticPr fontId="19" type="noConversion"/>
  </si>
  <si>
    <t>SRVY_ID</t>
  </si>
  <si>
    <t>설문_아이디</t>
    <phoneticPr fontId="19" type="noConversion"/>
  </si>
  <si>
    <t>설문_마스터</t>
    <phoneticPr fontId="19" type="noConversion"/>
  </si>
  <si>
    <t>SRVY_TTL</t>
  </si>
  <si>
    <t>설문_제목</t>
    <phoneticPr fontId="19" type="noConversion"/>
  </si>
  <si>
    <t>SRVY_EXPLN</t>
  </si>
  <si>
    <t>설문_설명</t>
    <phoneticPr fontId="19" type="noConversion"/>
  </si>
  <si>
    <t>SRVY_BGNG_YMD</t>
  </si>
  <si>
    <t>설문_시작_일자</t>
    <phoneticPr fontId="19" type="noConversion"/>
  </si>
  <si>
    <t>SRVY_END_YMD</t>
  </si>
  <si>
    <t>설문_종료_일자</t>
    <phoneticPr fontId="19" type="noConversion"/>
  </si>
  <si>
    <t>YYYYMMDDHH30MISS</t>
  </si>
  <si>
    <t>YYYYMMDDHH32MISS</t>
  </si>
  <si>
    <t>USE_YN</t>
  </si>
  <si>
    <t>TBL_SRVY_CTGRY</t>
    <phoneticPr fontId="19" type="noConversion"/>
  </si>
  <si>
    <t>TBL_SRVY_MSTR.SRVY_ID</t>
    <phoneticPr fontId="19" type="noConversion"/>
  </si>
  <si>
    <t>SRVY_CTGRY_ID</t>
  </si>
  <si>
    <t>SRVY_CTGRY_NO</t>
  </si>
  <si>
    <t>INT</t>
    <phoneticPr fontId="19" type="noConversion"/>
  </si>
  <si>
    <t>SRVY_CTGRY_CN</t>
  </si>
  <si>
    <t>TBL_SRVY_QSTN</t>
    <phoneticPr fontId="19" type="noConversion"/>
  </si>
  <si>
    <t>설문_질문</t>
    <phoneticPr fontId="19" type="noConversion"/>
  </si>
  <si>
    <t>TBL_SRVY_CTGRY.SRVY_CTGRY_ID</t>
    <phoneticPr fontId="19" type="noConversion"/>
  </si>
  <si>
    <t>SRVY_QSTN_ID</t>
  </si>
  <si>
    <t>설문_질문_아이디</t>
    <phoneticPr fontId="19" type="noConversion"/>
  </si>
  <si>
    <t>SRVY_QSTN_NO</t>
  </si>
  <si>
    <t>설문_질문_번호</t>
    <phoneticPr fontId="19" type="noConversion"/>
  </si>
  <si>
    <t>SRVY_QSTN_CN</t>
  </si>
  <si>
    <t>설문_질문_내용</t>
    <phoneticPr fontId="19" type="noConversion"/>
  </si>
  <si>
    <t>TBL_SRVY_QSTN_DTL</t>
    <phoneticPr fontId="19" type="noConversion"/>
  </si>
  <si>
    <t>설문_질문_상세</t>
    <phoneticPr fontId="19" type="noConversion"/>
  </si>
  <si>
    <t>TBL_SRVY_QSTN.SRVY_QSTN_ID</t>
    <phoneticPr fontId="19" type="noConversion"/>
  </si>
  <si>
    <t>SRVY_QSTN_DTL_NO</t>
  </si>
  <si>
    <t>설문_질문_상세_번호</t>
    <phoneticPr fontId="19" type="noConversion"/>
  </si>
  <si>
    <t>SRVY_QSTN_DTL_CN</t>
  </si>
  <si>
    <t>설문_질문_상세_내용</t>
    <phoneticPr fontId="19" type="noConversion"/>
  </si>
  <si>
    <t>TBL_SRVY_ANS</t>
    <phoneticPr fontId="19" type="noConversion"/>
  </si>
  <si>
    <t>설문_답변</t>
    <phoneticPr fontId="19" type="noConversion"/>
  </si>
  <si>
    <t>SRVY_ANS_CN</t>
  </si>
  <si>
    <t>설문_답변_내용</t>
    <phoneticPr fontId="19" type="noConversion"/>
  </si>
  <si>
    <t>TBL_SRVY_TRGT</t>
    <phoneticPr fontId="19" type="noConversion"/>
  </si>
  <si>
    <t>설문_대상</t>
    <phoneticPr fontId="19" type="noConversion"/>
  </si>
  <si>
    <t>TBL_SRVY_HSTRY</t>
    <phoneticPr fontId="19" type="noConversion"/>
  </si>
  <si>
    <t>설문_이력</t>
    <phoneticPr fontId="19" type="noConversion"/>
  </si>
  <si>
    <t>SRVY_TTL</t>
    <phoneticPr fontId="19" type="noConversion"/>
  </si>
  <si>
    <t>SRVY_EXPLN</t>
    <phoneticPr fontId="19" type="noConversion"/>
  </si>
  <si>
    <t>SRVY_BGNG_YMD</t>
    <phoneticPr fontId="19" type="noConversion"/>
  </si>
  <si>
    <t>SRVY_END_YMD</t>
    <phoneticPr fontId="19" type="noConversion"/>
  </si>
  <si>
    <t>REG_ID</t>
    <phoneticPr fontId="19" type="noConversion"/>
  </si>
  <si>
    <t>MDFCN_DT</t>
    <phoneticPr fontId="19" type="noConversion"/>
  </si>
  <si>
    <t>USE_YN</t>
    <phoneticPr fontId="19" type="noConversion"/>
  </si>
  <si>
    <t>SRVY_ID</t>
    <phoneticPr fontId="19" type="noConversion"/>
  </si>
  <si>
    <t>SRVY_CTGRY_ID</t>
    <phoneticPr fontId="19" type="noConversion"/>
  </si>
  <si>
    <t>SRVY_CTGRY_NO</t>
    <phoneticPr fontId="19" type="noConversion"/>
  </si>
  <si>
    <t>SRVY_CTGRY_CN</t>
    <phoneticPr fontId="19" type="noConversion"/>
  </si>
  <si>
    <t>SRVY_QSTN_ID</t>
    <phoneticPr fontId="19" type="noConversion"/>
  </si>
  <si>
    <t>SRVY_QSTN_NO</t>
    <phoneticPr fontId="19" type="noConversion"/>
  </si>
  <si>
    <t>SRVY_QSTN_CN</t>
    <phoneticPr fontId="19" type="noConversion"/>
  </si>
  <si>
    <t>SRVY_QSTN_DTL_NO</t>
    <phoneticPr fontId="19" type="noConversion"/>
  </si>
  <si>
    <t>SRVY_QSTN_DTL_CN</t>
    <phoneticPr fontId="19" type="noConversion"/>
  </si>
  <si>
    <t>ESNTL_ID</t>
    <phoneticPr fontId="19" type="noConversion"/>
  </si>
  <si>
    <t>SRVY_ANS_CN</t>
    <phoneticPr fontId="19" type="noConversion"/>
  </si>
  <si>
    <t>설문_범주</t>
  </si>
  <si>
    <t>설문_범주_아이디</t>
  </si>
  <si>
    <t>설문_범주_번호</t>
  </si>
  <si>
    <t>설문_범주_내용</t>
  </si>
  <si>
    <t>필수_아이디</t>
  </si>
  <si>
    <t>필수_아이디</t>
    <phoneticPr fontId="19" type="noConversion"/>
  </si>
  <si>
    <t>설문_아이디</t>
  </si>
  <si>
    <t>설문_제목</t>
  </si>
  <si>
    <t>설문_설명</t>
  </si>
  <si>
    <t>설문_시작_일자</t>
  </si>
  <si>
    <t>설문_종료_일자</t>
  </si>
  <si>
    <t>사용_여부</t>
  </si>
  <si>
    <t>설문_질문_아이디</t>
  </si>
  <si>
    <t>설문_질문_번호</t>
  </si>
  <si>
    <t>설문_질문_내용</t>
  </si>
  <si>
    <t>설문_질문_상세_번호</t>
  </si>
  <si>
    <t>설문_질문_상세_내용</t>
  </si>
  <si>
    <t>설문_답변_내용</t>
  </si>
  <si>
    <t>검색어_이력_아이디</t>
  </si>
  <si>
    <t>검색어_구분_코드</t>
  </si>
  <si>
    <t>상관관계_검색어_아이디</t>
  </si>
  <si>
    <t>검색어_조회_수</t>
  </si>
  <si>
    <t>상관관계_키워드_아이디</t>
  </si>
  <si>
    <t>키워드_조회_수</t>
  </si>
  <si>
    <t>검색어_키워드_유사도_점수</t>
  </si>
  <si>
    <t>검색어_이력_관리</t>
    <phoneticPr fontId="19" type="noConversion"/>
  </si>
  <si>
    <t>컨텐츠_조회_이력_관리</t>
    <phoneticPr fontId="19" type="noConversion"/>
  </si>
  <si>
    <t>상관관계_검색어_관리</t>
    <phoneticPr fontId="19" type="noConversion"/>
  </si>
  <si>
    <t>상관관계_컨텐츠_조회_이력_관리</t>
    <phoneticPr fontId="19" type="noConversion"/>
  </si>
  <si>
    <t>상관관계_키워드_관리</t>
    <phoneticPr fontId="19" type="noConversion"/>
  </si>
  <si>
    <t>상관관계_관계도_매핑</t>
    <phoneticPr fontId="19" type="noConversion"/>
  </si>
  <si>
    <t>검색어_이력_아이디</t>
    <phoneticPr fontId="19" type="noConversion"/>
  </si>
  <si>
    <t>검색어_구분_코드</t>
    <phoneticPr fontId="19" type="noConversion"/>
  </si>
  <si>
    <t>컨텐츠_조회_이력_아이디</t>
    <phoneticPr fontId="19" type="noConversion"/>
  </si>
  <si>
    <t>컨텐츠_구분_코드</t>
    <phoneticPr fontId="19" type="noConversion"/>
  </si>
  <si>
    <t>상관관계_검색어_아이디</t>
    <phoneticPr fontId="19" type="noConversion"/>
  </si>
  <si>
    <t>검색어_조회_수</t>
    <phoneticPr fontId="19" type="noConversion"/>
  </si>
  <si>
    <t>컨텐츠_조회_수</t>
    <phoneticPr fontId="19" type="noConversion"/>
  </si>
  <si>
    <t>상관관계_키워드_아이디</t>
    <phoneticPr fontId="19" type="noConversion"/>
  </si>
  <si>
    <t>키워드_조회_수</t>
    <phoneticPr fontId="19" type="noConversion"/>
  </si>
  <si>
    <t>검색어_키워드_유사도_점수</t>
    <phoneticPr fontId="19" type="noConversion"/>
  </si>
  <si>
    <t>상관관계</t>
    <phoneticPr fontId="19" type="noConversion"/>
  </si>
  <si>
    <t>TBL_SRCHWRD_HSTRY_MNG</t>
    <phoneticPr fontId="19" type="noConversion"/>
  </si>
  <si>
    <t>SRCHWRD_HSTRY_ID</t>
    <phoneticPr fontId="19" type="noConversion"/>
  </si>
  <si>
    <t>SRCHWRD_SE_CD</t>
    <phoneticPr fontId="19" type="noConversion"/>
  </si>
  <si>
    <t>TBL_CNTNTS_INQ_HSTRY_MNG</t>
    <phoneticPr fontId="19" type="noConversion"/>
  </si>
  <si>
    <t>CNTNTS_INQ_HSTRY_ID</t>
    <phoneticPr fontId="19" type="noConversion"/>
  </si>
  <si>
    <t>CNTNTS_SE_CD</t>
    <phoneticPr fontId="19" type="noConversion"/>
  </si>
  <si>
    <t>TBL_CORLN_SRCHWRD_MNG</t>
    <phoneticPr fontId="19" type="noConversion"/>
  </si>
  <si>
    <t>CORLN_SRCHWRD_ID</t>
    <phoneticPr fontId="19" type="noConversion"/>
  </si>
  <si>
    <t>SRCHWRD_INQ_CNT</t>
    <phoneticPr fontId="19" type="noConversion"/>
  </si>
  <si>
    <t>TBL_CORLN_CNTNTS_INQ_HSTRY_MNG</t>
    <phoneticPr fontId="19" type="noConversion"/>
  </si>
  <si>
    <t>CNTNTS_INQ_CNT</t>
    <phoneticPr fontId="19" type="noConversion"/>
  </si>
  <si>
    <t>TBL_CORLN_KWRD_MNG</t>
    <phoneticPr fontId="19" type="noConversion"/>
  </si>
  <si>
    <t>CORLN_KWRD_ID</t>
    <phoneticPr fontId="19" type="noConversion"/>
  </si>
  <si>
    <t>KWRD_INQ_CNT</t>
    <phoneticPr fontId="19" type="noConversion"/>
  </si>
  <si>
    <t>TBL_CORLN_RSD_MAPNG</t>
    <phoneticPr fontId="19" type="noConversion"/>
  </si>
  <si>
    <t>SRCHWRD_KWRD_SMLRT_SCR</t>
    <phoneticPr fontId="19" type="noConversion"/>
  </si>
  <si>
    <t>설문_질문_구분_코드</t>
    <phoneticPr fontId="19" type="noConversion"/>
  </si>
  <si>
    <t>SRVY_QSTN_SE_CD</t>
    <phoneticPr fontId="19" type="noConversion"/>
  </si>
  <si>
    <t>설문_대상_구분_코드</t>
    <phoneticPr fontId="19" type="noConversion"/>
  </si>
  <si>
    <t>SRVY_TRGT_SE_CD</t>
    <phoneticPr fontId="19" type="noConversion"/>
  </si>
  <si>
    <t>컨텐츠_아이디_정보_내용</t>
    <phoneticPr fontId="19" type="noConversion"/>
  </si>
  <si>
    <t>CNTNTS_ID_INFO_CN</t>
    <phoneticPr fontId="19" type="noConversion"/>
  </si>
  <si>
    <t>CNTNTS_TTL_NM_INFO_CN</t>
    <phoneticPr fontId="19" type="noConversion"/>
  </si>
  <si>
    <t>컨텐츠_제목_명_정보_내용</t>
    <phoneticPr fontId="19" type="noConversion"/>
  </si>
  <si>
    <t>자리 이내 문자</t>
    <phoneticPr fontId="19" type="noConversion"/>
  </si>
  <si>
    <t>TBL_SRCHWRD_HSTRY_MNG.SRCHWRD_HSTRY_ID</t>
    <phoneticPr fontId="19" type="noConversion"/>
  </si>
  <si>
    <t>TBL_CORLN_KWRD_MNG.CORLN_KWRD_ID</t>
    <phoneticPr fontId="19" type="noConversion"/>
  </si>
  <si>
    <t>TBL_CORLN_SRCHWRD_MNG.CORLN_SRCHWRD_ID</t>
    <phoneticPr fontId="19" type="noConversion"/>
  </si>
  <si>
    <t>특허_국가_약어_코드_관리</t>
    <phoneticPr fontId="19" type="noConversion"/>
  </si>
  <si>
    <t>국가_약어_코드</t>
    <phoneticPr fontId="19" type="noConversion"/>
  </si>
  <si>
    <t>국가_약어_영문_명</t>
    <phoneticPr fontId="19" type="noConversion"/>
  </si>
  <si>
    <t>국가_약어_한글_명</t>
    <phoneticPr fontId="19" type="noConversion"/>
  </si>
  <si>
    <t>주요_국가_여부</t>
    <phoneticPr fontId="19" type="noConversion"/>
  </si>
  <si>
    <t>TBL_PATENT_NTN_ABRV_CD_MNG</t>
    <phoneticPr fontId="19" type="noConversion"/>
  </si>
  <si>
    <t>NTN_ABRV_CD</t>
    <phoneticPr fontId="19" type="noConversion"/>
  </si>
  <si>
    <t>NTN_ABRV_ENG_NM</t>
    <phoneticPr fontId="19" type="noConversion"/>
  </si>
  <si>
    <t>NTN_ABRV_KORN_NM</t>
    <phoneticPr fontId="19" type="noConversion"/>
  </si>
  <si>
    <t>MAIN_NTN_YN</t>
    <phoneticPr fontId="19" type="noConversion"/>
  </si>
  <si>
    <t>USER_PSWD_CN</t>
  </si>
  <si>
    <t>USER_EML_CN</t>
  </si>
  <si>
    <t>USER_SE_CD</t>
  </si>
  <si>
    <t>USER_STTS_CD</t>
  </si>
  <si>
    <t>OGNZ_ID</t>
  </si>
  <si>
    <t>ATHKEY_CN</t>
  </si>
  <si>
    <t>PSWD_ERR_CNT</t>
  </si>
  <si>
    <t>USER_BKUP_ID</t>
  </si>
  <si>
    <t>RDK_GROUP_ID</t>
  </si>
  <si>
    <t>PSWD_CHG_DT</t>
  </si>
  <si>
    <t>PRVC_AGRE_YMD</t>
  </si>
  <si>
    <t>EML_SNDNG_YN</t>
  </si>
  <si>
    <t>사용자_비밀번호_내용</t>
  </si>
  <si>
    <t>사용자_이메일_내용</t>
  </si>
  <si>
    <t>사용자_구분_코드</t>
  </si>
  <si>
    <t>사용자_상태_코드</t>
  </si>
  <si>
    <t>인증키_내용</t>
  </si>
  <si>
    <t>비밀번호_오류_수</t>
  </si>
  <si>
    <t>사용자_백업_아이디</t>
  </si>
  <si>
    <t>비밀번호_변경_일시</t>
  </si>
  <si>
    <t>이메일_발송_여부</t>
  </si>
  <si>
    <t>에코뱅크_사용자_마스터</t>
  </si>
  <si>
    <t>3자리 이내 문자</t>
    <phoneticPr fontId="19" type="noConversion"/>
  </si>
  <si>
    <t>TBL_ECOBANK_USER_MSTR</t>
  </si>
  <si>
    <t>TBL_ECOBANK_AUTHRT_INFO</t>
  </si>
  <si>
    <t>AUTHRT_CD</t>
  </si>
  <si>
    <t>AUTHRT_NM</t>
  </si>
  <si>
    <t>AUTHRT_EXPLN</t>
  </si>
  <si>
    <t>AUTHRT_CRT_DT</t>
  </si>
  <si>
    <t>권한_생성_일시</t>
    <phoneticPr fontId="19" type="noConversion"/>
  </si>
  <si>
    <t>에코뱅크_권한_정보</t>
    <phoneticPr fontId="19" type="noConversion"/>
  </si>
  <si>
    <t>TBL_BIOSPC_MSTR</t>
    <phoneticPr fontId="19" type="noConversion"/>
  </si>
  <si>
    <t>사업범위
여부</t>
    <phoneticPr fontId="19" type="noConversion"/>
  </si>
  <si>
    <t>SRCHWRD_CN</t>
    <phoneticPr fontId="19" type="noConversion"/>
  </si>
  <si>
    <t>검색어_내용</t>
    <phoneticPr fontId="19" type="noConversion"/>
  </si>
  <si>
    <t>TBL_INTRC_SRCH_HSTRY_MNG</t>
  </si>
  <si>
    <t>SRCH_RSLT_CN</t>
  </si>
  <si>
    <t>검색_결과_내용</t>
    <phoneticPr fontId="19" type="noConversion"/>
  </si>
  <si>
    <t>대화형_검색_이력_관리</t>
  </si>
  <si>
    <t>SRCH_RSLT_CN</t>
    <phoneticPr fontId="19" type="noConversion"/>
  </si>
  <si>
    <t>INDUST_CLSF_SYSTM_STAY_HR</t>
  </si>
  <si>
    <t>ROLE_CODE</t>
    <phoneticPr fontId="19" type="noConversion"/>
  </si>
  <si>
    <t>산업_분류_체계_체류_시간</t>
    <phoneticPr fontId="19" type="noConversion"/>
  </si>
  <si>
    <t>롤_코드</t>
  </si>
  <si>
    <t>MMCRY_CLSF_SYSTM_STAY_HR</t>
    <phoneticPr fontId="19" type="noConversion"/>
  </si>
  <si>
    <t>모방_분류_체계_체류_시간</t>
  </si>
  <si>
    <t>TBL_PATENT_CLSF_INQ_CNT_STTUS_INFO</t>
    <phoneticPr fontId="19" type="noConversion"/>
  </si>
  <si>
    <t>PATENT_CLSF_SYSTM_STAY_HR</t>
    <phoneticPr fontId="19" type="noConversion"/>
  </si>
  <si>
    <t>특허_분류_체계_체류_시간</t>
  </si>
  <si>
    <t>특허_분류_체계_체류_시간</t>
    <phoneticPr fontId="19" type="noConversion"/>
  </si>
  <si>
    <t>제품_분류_체계_체류_시간</t>
  </si>
  <si>
    <t>PRDCT_CLSF_SYSTM_STAY_HR</t>
  </si>
  <si>
    <t>SFE_CLSF_SYSTM_INQ_CNT</t>
    <phoneticPr fontId="19" type="noConversion"/>
  </si>
  <si>
    <t>SFE_CLSF_SYSTM_STAY_HR</t>
    <phoneticPr fontId="19" type="noConversion"/>
  </si>
  <si>
    <t>특징_분류_체계_체류_시간</t>
  </si>
  <si>
    <t>특징_분류_체계_체류_시간</t>
    <phoneticPr fontId="19" type="noConversion"/>
  </si>
  <si>
    <t>TBL_EOL_LVB_NM_CLCT_HSTRY_MNG_IDX03</t>
    <phoneticPr fontId="19" type="noConversion"/>
  </si>
  <si>
    <t>TBL_EOL_LVB_SFE_CLCT_HSTRY_MNG_IDX02</t>
    <phoneticPr fontId="19" type="noConversion"/>
  </si>
  <si>
    <t>TBL_EOL_LVB_MEDIA_CLCT_HSTRY_MNG_IDX02</t>
    <phoneticPr fontId="19" type="noConversion"/>
  </si>
  <si>
    <t>TBL_GBIF_SPCE_INFO_CLCT_HSTRY_MNG_IDX02</t>
    <phoneticPr fontId="19" type="noConversion"/>
  </si>
  <si>
    <t>TBL_NCBI_JRNL_PMC_ID_CLCT_HSTRY_MNG_IDX02</t>
    <phoneticPr fontId="19" type="noConversion"/>
  </si>
  <si>
    <t>TBL_PATENT_PBLCATE_IDNTF_ID_CLCT_HSTRY_MNG_IDX02</t>
    <phoneticPr fontId="19" type="noConversion"/>
  </si>
  <si>
    <t>TBL_KISTI_JRNL_CN_ID_CLCT_HSTRY_MNG_IDX02</t>
    <phoneticPr fontId="19" type="noConversion"/>
  </si>
  <si>
    <t>TBL_KISTI_JRNL_MSTR_IDX01</t>
  </si>
  <si>
    <t>TBL_KIPRIS_PATENT_LVB_MAPNG</t>
  </si>
  <si>
    <t>PATENT_APPL_NO</t>
    <phoneticPr fontId="19" type="noConversion"/>
  </si>
  <si>
    <t>특허_출원_번호</t>
    <phoneticPr fontId="19" type="noConversion"/>
  </si>
  <si>
    <t>특허_출원_번호</t>
  </si>
  <si>
    <t>KIPRIS_특허_생물_매핑</t>
    <phoneticPr fontId="19" type="noConversion"/>
  </si>
  <si>
    <t>TBL_KIPRIS_PATENT_MSTR</t>
    <phoneticPr fontId="19" type="noConversion"/>
  </si>
  <si>
    <t>KIPRIS_특허_마스터</t>
    <phoneticPr fontId="19" type="noConversion"/>
  </si>
  <si>
    <t>PATENT_RLS_NO</t>
    <phoneticPr fontId="19" type="noConversion"/>
  </si>
  <si>
    <t>특허_공개_번호</t>
    <phoneticPr fontId="19" type="noConversion"/>
  </si>
  <si>
    <t>특허_공개_번호</t>
  </si>
  <si>
    <t>PATENT_REG_NO</t>
    <phoneticPr fontId="19" type="noConversion"/>
  </si>
  <si>
    <t>특허_등록_번호</t>
    <phoneticPr fontId="19" type="noConversion"/>
  </si>
  <si>
    <t>특허_등록_번호</t>
  </si>
  <si>
    <t>PATENT_REG_STTS_CD</t>
    <phoneticPr fontId="19" type="noConversion"/>
  </si>
  <si>
    <t>특허_등록_상태_코드 (SCM008)</t>
    <phoneticPr fontId="19" type="noConversion"/>
  </si>
  <si>
    <t>PTAP_LIST_CN</t>
    <phoneticPr fontId="19" type="noConversion"/>
  </si>
  <si>
    <t>특허출원인_목록_내용</t>
    <phoneticPr fontId="19" type="noConversion"/>
  </si>
  <si>
    <t>특허출원인_목록_내용</t>
  </si>
  <si>
    <t>PATENT_APPL_YMD</t>
    <phoneticPr fontId="19" type="noConversion"/>
  </si>
  <si>
    <t>특허_출원_일자</t>
    <phoneticPr fontId="19" type="noConversion"/>
  </si>
  <si>
    <t>특허_출원_일자</t>
  </si>
  <si>
    <t>PATENT_RLS_YMD</t>
    <phoneticPr fontId="19" type="noConversion"/>
  </si>
  <si>
    <t>특허_공개_일자</t>
    <phoneticPr fontId="19" type="noConversion"/>
  </si>
  <si>
    <t>특허_공개_일자</t>
  </si>
  <si>
    <t>PATENT_REG_YMD</t>
    <phoneticPr fontId="19" type="noConversion"/>
  </si>
  <si>
    <t>특허_등록_일자</t>
    <phoneticPr fontId="19" type="noConversion"/>
  </si>
  <si>
    <t>THUMB_IMG_STRG_PATH</t>
    <phoneticPr fontId="19" type="noConversion"/>
  </si>
  <si>
    <t>썸네일_이미지_저장_경로</t>
    <phoneticPr fontId="19" type="noConversion"/>
  </si>
  <si>
    <t>썸네일_이미지_저장_경로</t>
  </si>
  <si>
    <t>THUMB_IMG_FILE_NM</t>
    <phoneticPr fontId="19" type="noConversion"/>
  </si>
  <si>
    <t>썸네일_이미지_파일_명</t>
    <phoneticPr fontId="19" type="noConversion"/>
  </si>
  <si>
    <t>썸네일_이미지_파일_명</t>
  </si>
  <si>
    <t>TBL_KIPRIS_PATENT_CLSF_MAPNG</t>
    <phoneticPr fontId="19" type="noConversion"/>
  </si>
  <si>
    <t>KIPRIS_특허_분류_매핑</t>
    <phoneticPr fontId="19" type="noConversion"/>
  </si>
  <si>
    <t>TBL_KIPRIS_PATENT_ORGNL</t>
    <phoneticPr fontId="19" type="noConversion"/>
  </si>
  <si>
    <t>KIPRIS_특허_원본</t>
    <phoneticPr fontId="19" type="noConversion"/>
  </si>
  <si>
    <t>검색어_종_명</t>
    <phoneticPr fontId="19" type="noConversion"/>
  </si>
  <si>
    <t>PK04</t>
    <phoneticPr fontId="19" type="noConversion"/>
  </si>
  <si>
    <t>DATA_PGE_PATENT_NOCS</t>
    <phoneticPr fontId="19" type="noConversion"/>
  </si>
  <si>
    <t>자료_페이지_특허_건수</t>
    <phoneticPr fontId="19" type="noConversion"/>
  </si>
  <si>
    <t>자료_페이지_특허_수</t>
    <phoneticPr fontId="19" type="noConversion"/>
  </si>
  <si>
    <t>99999999999999</t>
  </si>
  <si>
    <t>DATA_ORGNL_CN</t>
    <phoneticPr fontId="19" type="noConversion"/>
  </si>
  <si>
    <t>자료_원본_내용</t>
    <phoneticPr fontId="19" type="noConversion"/>
  </si>
  <si>
    <t>TBL_KIPRIS_PATENT_ORGNL_CLCT_HSTRY_MNG</t>
    <phoneticPr fontId="19" type="noConversion"/>
  </si>
  <si>
    <t>KIPRIS_PATENT_ORGNL_CLCT_NO</t>
    <phoneticPr fontId="19" type="noConversion"/>
  </si>
  <si>
    <t>KIPRIS_특허_원본_수집_번호</t>
    <phoneticPr fontId="19" type="noConversion"/>
  </si>
  <si>
    <t>KIPRIS_특허_원본_수집_이력_관리</t>
    <phoneticPr fontId="19" type="noConversion"/>
  </si>
  <si>
    <t>SRCHWRD_SPCS_NM</t>
    <phoneticPr fontId="19" type="noConversion"/>
  </si>
  <si>
    <t>TBL_KIPRIS_PATENT_CLCT_HSTRY_MNG</t>
    <phoneticPr fontId="19" type="noConversion"/>
  </si>
  <si>
    <t>KIPRIS_PATENT_CLCT_NO</t>
    <phoneticPr fontId="19" type="noConversion"/>
  </si>
  <si>
    <t>KIPRIS_특허_수집_번호</t>
    <phoneticPr fontId="19" type="noConversion"/>
  </si>
  <si>
    <t>KIPRIS_특허_수집_이력_관리</t>
    <phoneticPr fontId="19" type="noConversion"/>
  </si>
  <si>
    <t>TBL_KCI_JRNL_LVB_MAPNG</t>
  </si>
  <si>
    <t>KCI_저널_생물_매핑</t>
  </si>
  <si>
    <t>THESIS_ID</t>
    <phoneticPr fontId="19" type="noConversion"/>
  </si>
  <si>
    <t>논문_아이디</t>
    <phoneticPr fontId="19" type="noConversion"/>
  </si>
  <si>
    <t>KCI_저널_생물_매핑</t>
    <phoneticPr fontId="19" type="noConversion"/>
  </si>
  <si>
    <t>TBL_KCI_JRNL_LVB_MAPNG</t>
    <phoneticPr fontId="19" type="noConversion"/>
  </si>
  <si>
    <t>TBL_KCI_JRNL_MSTR</t>
    <phoneticPr fontId="19" type="noConversion"/>
  </si>
  <si>
    <t>KCI_저널_마스터</t>
    <phoneticPr fontId="19" type="noConversion"/>
  </si>
  <si>
    <t>JRNL_PBLCATE_YEAR</t>
    <phoneticPr fontId="19" type="noConversion"/>
  </si>
  <si>
    <t>TBL_KCI_THESIS_AUT</t>
  </si>
  <si>
    <t>KCI_논문_저자</t>
  </si>
  <si>
    <t>KCI_논문_저자</t>
    <phoneticPr fontId="19" type="noConversion"/>
  </si>
  <si>
    <t>TBL_KCI_THESIS_AUT</t>
    <phoneticPr fontId="19" type="noConversion"/>
  </si>
  <si>
    <t>TBL_KCI_THESIS_KWRD</t>
    <phoneticPr fontId="19" type="noConversion"/>
  </si>
  <si>
    <t>KCI_논문_키워드</t>
  </si>
  <si>
    <t>TBL_KCI_THESIS_KWRD</t>
  </si>
  <si>
    <t>KCI_논문_키워드</t>
    <phoneticPr fontId="19" type="noConversion"/>
  </si>
  <si>
    <t>TBL_KCI_JRNL_THESIS_ID_CLCT_HSTRY_MNG</t>
  </si>
  <si>
    <t>KCI_JRNL_THESIS_ID_CLCT_NO</t>
    <phoneticPr fontId="19" type="noConversion"/>
  </si>
  <si>
    <t>KCI_저널_논문_아이디_수집_번호</t>
    <phoneticPr fontId="19" type="noConversion"/>
  </si>
  <si>
    <t>KCI_저널_논문_아이디_수집_이력_관리</t>
    <phoneticPr fontId="19" type="noConversion"/>
  </si>
  <si>
    <t>TBL_KCI_JRNL_THESIS_ID_CLCT_HSTRY_MNG</t>
    <phoneticPr fontId="19" type="noConversion"/>
  </si>
  <si>
    <t>TBL_KCI_JRNL_CLCT_HSTRY_MNG</t>
  </si>
  <si>
    <t>KCI_JRNL_CLCT_NO</t>
    <phoneticPr fontId="19" type="noConversion"/>
  </si>
  <si>
    <t>KCI_저널_수집_번호</t>
    <phoneticPr fontId="19" type="noConversion"/>
  </si>
  <si>
    <t>KCI_저널_수집_이력_관리</t>
  </si>
  <si>
    <t>KCI_저널_수집_이력_관리</t>
    <phoneticPr fontId="19" type="noConversion"/>
  </si>
  <si>
    <t>TBL_KCI_JRNL_CLCT_HSTRY_MNG</t>
    <phoneticPr fontId="19" type="noConversion"/>
  </si>
  <si>
    <t>TBL_KIPRIS_PATENT_MSTR_IDX01</t>
    <phoneticPr fontId="19" type="noConversion"/>
  </si>
  <si>
    <t>TBL_KIPRIS_PATENT_CLSF_MAPNG_IDX01</t>
    <phoneticPr fontId="19" type="noConversion"/>
  </si>
  <si>
    <t>TBL_KIPRIS_PATENT_ORGNL_CLCT_HSTRY_MNG_IDX01</t>
    <phoneticPr fontId="19" type="noConversion"/>
  </si>
  <si>
    <t>TBL_KIPRIS_PATENT_ORGNL_CLCT_HSTRY_MNG_IDX02</t>
    <phoneticPr fontId="19" type="noConversion"/>
  </si>
  <si>
    <t>TBL_KCI_JRNL_LVB_MAPNG_IDX01</t>
    <phoneticPr fontId="19" type="noConversion"/>
  </si>
  <si>
    <t>TBL_KCI_JRNL_MSTR_IDX01</t>
    <phoneticPr fontId="19" type="noConversion"/>
  </si>
  <si>
    <t>TBL_KCI_JRNL_THESIS_ID_CLCT_HSTRY_MNG_IDX01</t>
    <phoneticPr fontId="19" type="noConversion"/>
  </si>
  <si>
    <t>TBL_KCI_JRNL_THESIS_ID_CLCT_HSTRY_MNG_IDX02</t>
    <phoneticPr fontId="19" type="noConversion"/>
  </si>
  <si>
    <t>KIPRIS_특허_수집_여부</t>
  </si>
  <si>
    <t>KIPRIS_PATENT_CLCT_YN</t>
  </si>
  <si>
    <t>KIPRIS_특허_최종_수집_일시</t>
  </si>
  <si>
    <t>KIPRIS_PATENT_LAST_CLCT_DT</t>
  </si>
  <si>
    <t>KIPRIS_특허_수집_성공_건수</t>
  </si>
  <si>
    <t>KIPRIS_PATENT_CLCT_SCS_NOCS</t>
  </si>
  <si>
    <t>KIPRIS_특허_수집_오류_건수</t>
  </si>
  <si>
    <t>KIPRIS_PATENT_CLCT_ERR_NOCS</t>
  </si>
  <si>
    <t>KCI_저널_수집_여부</t>
  </si>
  <si>
    <t>KCI_JRNL_CLCT_YN</t>
  </si>
  <si>
    <t>KCI_저널_최종_수집_일시</t>
  </si>
  <si>
    <t>KCI_JRNL_LAST_CLCT_DT</t>
  </si>
  <si>
    <t>KCI_저널_수집_성공_건수</t>
  </si>
  <si>
    <t>KCI_JRNL_CLCT_SCS_NOCS</t>
  </si>
  <si>
    <t>KCI_저널_수집_오류_건수</t>
  </si>
  <si>
    <t>KCI_JRNL_CLCT_ERR_NOCS</t>
  </si>
  <si>
    <t>KIPRIS_특허_수집_건수</t>
    <phoneticPr fontId="19" type="noConversion"/>
  </si>
  <si>
    <t>KIPRIS_PATENT_CLCT_NOCS</t>
    <phoneticPr fontId="19" type="noConversion"/>
  </si>
  <si>
    <t>KCI_저널_수집_건수</t>
    <phoneticPr fontId="19" type="noConversion"/>
  </si>
  <si>
    <t>KCI_JRNL_CLCT_NOCS</t>
    <phoneticPr fontId="19" type="noConversion"/>
  </si>
  <si>
    <t>TBL_KCI_JRNL_CLCT_HSTRY_MNG_IDX01</t>
    <phoneticPr fontId="19" type="noConversion"/>
  </si>
  <si>
    <t>TBL_CLCT_NOCS_STATS_SUMRY</t>
    <phoneticPr fontId="19" type="noConversion"/>
  </si>
  <si>
    <t>수집_건수_통계_요약</t>
    <phoneticPr fontId="19" type="noConversion"/>
  </si>
  <si>
    <t>TBL_CLCT_DATA_MNG</t>
    <phoneticPr fontId="19" type="noConversion"/>
  </si>
  <si>
    <t>VSTR_CNT_PRST_YM</t>
  </si>
  <si>
    <t>VSTR_EXPRT_CNT</t>
  </si>
  <si>
    <t>시분초N10</t>
  </si>
  <si>
    <t>VSTR_EXPRT_STAY_HR</t>
  </si>
  <si>
    <t>콘텐츠_번호</t>
  </si>
  <si>
    <t>CONTS_NO</t>
  </si>
  <si>
    <t>번호N10</t>
  </si>
  <si>
    <t>TECH_CD</t>
  </si>
  <si>
    <t>코드V50</t>
  </si>
  <si>
    <t>기타_구분_명</t>
  </si>
  <si>
    <t>ETC_SE_NM</t>
  </si>
  <si>
    <t>ENG_CD_EXPLN</t>
  </si>
  <si>
    <t>KORN_CD_EXPLN</t>
  </si>
  <si>
    <t>콘텐츠_관계_번호</t>
  </si>
  <si>
    <t>CONTS_REL_NO</t>
  </si>
  <si>
    <t>콘텐츠_구분_명</t>
  </si>
  <si>
    <t>CONTS_SE_NM</t>
  </si>
  <si>
    <t>콘텐츠_제목</t>
  </si>
  <si>
    <t>CONTS_TTL</t>
  </si>
  <si>
    <t>콘텐츠_부제목</t>
  </si>
  <si>
    <t>CONTS_SBTTL</t>
  </si>
  <si>
    <t>콘텐츠_요약_설명</t>
  </si>
  <si>
    <t>CONTS_SMRY_EXPLN</t>
  </si>
  <si>
    <t>썸네일_이미지_URL_주소</t>
  </si>
  <si>
    <t>THMB_IMG_URL_ADDR</t>
  </si>
  <si>
    <t>콘텐츠_내용</t>
  </si>
  <si>
    <t>CONTS_CN</t>
  </si>
  <si>
    <t>콘텐츠_원본_내용</t>
  </si>
  <si>
    <t>CONTS_ORGNL_CN</t>
  </si>
  <si>
    <t>자료_수집_출처_기본_URL_주소</t>
  </si>
  <si>
    <t>DATA_CLCT_SRC_BSC_URL_ADDR</t>
  </si>
  <si>
    <t>INDX_CMPTN_YN</t>
  </si>
  <si>
    <t>코드C2</t>
  </si>
  <si>
    <t>콘텐츠_키워드_번호</t>
  </si>
  <si>
    <t>CONTS_KYWD_NO</t>
  </si>
  <si>
    <t>번호I</t>
  </si>
  <si>
    <t>ENG_KYWD_NM</t>
  </si>
  <si>
    <t>KORN_KYWD_NM</t>
  </si>
  <si>
    <t>콘텐츠_생물종_번호</t>
  </si>
  <si>
    <t>CONTS_BIOSPC_NO</t>
  </si>
  <si>
    <t>APP_CD</t>
  </si>
  <si>
    <t>명V200</t>
  </si>
  <si>
    <t>PBLSG_IDNTF_ID_CLCT_NO</t>
  </si>
  <si>
    <t>SRWRD_SPCS_NM</t>
  </si>
  <si>
    <t>PBLSG_IDNTF_ID</t>
  </si>
  <si>
    <t>APPL_NTN_ABBR_NM</t>
  </si>
  <si>
    <t>PTNT_TTL</t>
  </si>
  <si>
    <t>PTNT_MTXT_CN</t>
  </si>
  <si>
    <t>PTNT_INVTR_LIST_CN</t>
  </si>
  <si>
    <t>PTNT_PRIO_ASSR_YMD</t>
  </si>
  <si>
    <t>PTNT_APPL_RLS_YMD</t>
  </si>
  <si>
    <t>PTNT_REG_YMD</t>
  </si>
  <si>
    <t>특허_연계_URL_주소</t>
  </si>
  <si>
    <t>PTNT_LINK_URL_ADDR</t>
  </si>
  <si>
    <t>특허_PDF_URL_주소</t>
  </si>
  <si>
    <t>PTNT_PDF_URL_ADDR</t>
  </si>
  <si>
    <t>PTNT_INDX_CMPTN_YN</t>
  </si>
  <si>
    <t>PTNT_MMCRY_CLSF_CMPTN_YN</t>
  </si>
  <si>
    <t>PTNT_IMG_NO</t>
  </si>
  <si>
    <t>이미지_URL_주소</t>
  </si>
  <si>
    <t>IMG_URL_ADDR</t>
  </si>
  <si>
    <t>IPC_CRSP_CD</t>
  </si>
  <si>
    <t>번호V100</t>
  </si>
  <si>
    <t>LWR_NODE_CNT</t>
  </si>
  <si>
    <t>PTNT_CLCT_NO</t>
  </si>
  <si>
    <t>NL_MDL_TYPE_CD</t>
  </si>
  <si>
    <t>코드C4</t>
  </si>
  <si>
    <t>자연어_모델_저장_경로_명</t>
  </si>
  <si>
    <t>NL_MDL_STRG_PATH_NM</t>
  </si>
  <si>
    <t>명V2000</t>
  </si>
  <si>
    <t>자연어_모델_상태_코드</t>
  </si>
  <si>
    <t>코드C3</t>
  </si>
  <si>
    <t>수집_자료_분류_코드</t>
  </si>
  <si>
    <t>NL_MDL_RSLT_CD</t>
  </si>
  <si>
    <t>THSS_KYWD_NO</t>
  </si>
  <si>
    <t>THSS_KYWD_NM</t>
  </si>
  <si>
    <t>THSS_AUT_NO</t>
  </si>
  <si>
    <t>THSS_AUT_NM</t>
  </si>
  <si>
    <t>NCBI_학술지_PMC_아이디_수집_번호</t>
  </si>
  <si>
    <t>NCBI_학술지_분류_아이디</t>
  </si>
  <si>
    <t>DOI_식별_값_내용</t>
  </si>
  <si>
    <t>DOI_IDNTF_VL_CN</t>
  </si>
  <si>
    <t>학술지_저작권_명</t>
  </si>
  <si>
    <t>학술지_제목</t>
  </si>
  <si>
    <t>학술지_연계_URL_주소</t>
  </si>
  <si>
    <t>학술지_색인_완료_여부</t>
  </si>
  <si>
    <t>NCBI_학술지_모방_분류_완료_여부</t>
  </si>
  <si>
    <t>학술지_초록_내용</t>
  </si>
  <si>
    <t>학술지_본문_내용</t>
  </si>
  <si>
    <t>NCBI_학술지_수집_번호</t>
  </si>
  <si>
    <t>내용_아이디</t>
  </si>
  <si>
    <t>학술지_초록_원본_내용</t>
  </si>
  <si>
    <t>KISTI_학술지_모방_분류_완료_여부</t>
  </si>
  <si>
    <t>KISTI_학술지_내용_아이디_수집_번호</t>
  </si>
  <si>
    <t>KISTI_학술지_수집_번호</t>
  </si>
  <si>
    <t>MIN_LAT</t>
  </si>
  <si>
    <t>MIN_LOT</t>
  </si>
  <si>
    <t>MAX_LAT</t>
  </si>
  <si>
    <t>MAX_LOT</t>
  </si>
  <si>
    <t>최소_연도</t>
  </si>
  <si>
    <t>MIN_YR</t>
  </si>
  <si>
    <t>최대_연도</t>
  </si>
  <si>
    <t>MAX_YR</t>
  </si>
  <si>
    <t>자료_쪽_번호</t>
  </si>
  <si>
    <t>DATA_PAGE_NO</t>
  </si>
  <si>
    <t>자료_출처_기본_URL_주소</t>
  </si>
  <si>
    <t>DATA_SRC_BSC_URL_ADDR</t>
  </si>
  <si>
    <t>OFFR_NM</t>
  </si>
  <si>
    <t>RGHT_HLDR_NM</t>
  </si>
  <si>
    <t>저작권_URL_주소</t>
  </si>
  <si>
    <t>CPRGT_URL_ADDR</t>
  </si>
  <si>
    <t>LVB_SFE_INDX_CMPTN_YN</t>
  </si>
  <si>
    <t>EOL_생물_명_구분_코드</t>
  </si>
  <si>
    <t>매체_원본_내용</t>
  </si>
  <si>
    <t>생물_매체_번호</t>
  </si>
  <si>
    <t>매체_구분_코드</t>
  </si>
  <si>
    <t>매체_제목</t>
  </si>
  <si>
    <t>파일_저장_경로_명</t>
  </si>
  <si>
    <t>FILE_STRG_PATH_NM</t>
  </si>
  <si>
    <t>메타데이터_키워드_명</t>
  </si>
  <si>
    <t>MTDT_KYWD_NM</t>
  </si>
  <si>
    <t>매체_URL_주소</t>
  </si>
  <si>
    <t>MEDIA_URL_ADDR</t>
  </si>
  <si>
    <t>FRMAT_FRM_NM</t>
  </si>
  <si>
    <t>EOL_생물_매체_수집_번호</t>
  </si>
  <si>
    <t>ECLGY_MMCRY_PTNT_TREND_ID</t>
  </si>
  <si>
    <t>생태_모방_특허_동향_출처_URL_주소</t>
  </si>
  <si>
    <t>ECLGY_MMCRY_PTNT_TREND_SRC_URL_ADDR</t>
  </si>
  <si>
    <t>ECLGY_MMCRY_PTNT_TREND_TTL</t>
  </si>
  <si>
    <t>생태_모방_특허_동향_요약_내용</t>
  </si>
  <si>
    <t>ECLGY_MMCRY_PTNT_TREND_SMRY_CN</t>
  </si>
  <si>
    <t>ECLGY_MMCRY_PTNT_TREND_WRT_DT</t>
  </si>
  <si>
    <t>ECLGY_MMCRY_PTNT_TREND_CLCT_ID</t>
  </si>
  <si>
    <t>ECLGY_MMCRY_PTNT_TREND_KYWD_NM</t>
  </si>
  <si>
    <t>ECLGY_MMCRY_PTNT_TREND_KYWD_ID</t>
  </si>
  <si>
    <t>ECLGY_MMCRY_PTNT_TREND_KYWD_REG_DT</t>
  </si>
  <si>
    <t>ECLGY_MMCRY_PTNT_TREND_CLCT_DT</t>
  </si>
  <si>
    <t>생태_모방_특허_동향_수집_실행_결과_코드</t>
  </si>
  <si>
    <t>ECLGY_MMCRY_PTNT_TREND_CLCT_EXCN_RSLT_CD</t>
  </si>
  <si>
    <t>ECLGY_MMCRY_PTNT_TREND_CLCT_NOCS</t>
  </si>
  <si>
    <t>ECLGY_MMCRY_PTNT_TREND_CLCT_ERR_CN</t>
  </si>
  <si>
    <t>ECLGY_MMCRY_PTNT_TREND_CLCT_TNOCS</t>
  </si>
  <si>
    <t>생태_모방_사례_순위_아이디</t>
  </si>
  <si>
    <t>ECLGY_MMCRY_CASE_RNK_ID</t>
  </si>
  <si>
    <t>생태_모방_사례_순위_검색어_명</t>
  </si>
  <si>
    <t>ECLGY_MMCRY_CASE_RNK_SRWRD_NM</t>
  </si>
  <si>
    <t>생태_모방_사례_순위_사용자_만족_점수</t>
  </si>
  <si>
    <t>ECLGY_MMCRY_CASE_RNK_USER_STFC_SCR</t>
  </si>
  <si>
    <t>생태_모방_사례_순위_관리자_반영_점수</t>
  </si>
  <si>
    <t>ECLGY_MMCRY_CASE_RNK_MNGR_RFLT_SCR</t>
  </si>
  <si>
    <t>생태_모방_사례_순위_등록_일시</t>
  </si>
  <si>
    <t>ECLGY_MMCRY_CASE_RNK_REG_DT</t>
  </si>
  <si>
    <t>ECLGY_MMCRY_KNWL_ERR_DCLR_ID</t>
  </si>
  <si>
    <t>생태_모방_지식_오류_신고_구분_코드</t>
  </si>
  <si>
    <t>ECLGY_MMCRY_KNWL_ERR_DCLR_SE_CD</t>
  </si>
  <si>
    <t>생태_모방_지식_오류_신고_분류_코드</t>
  </si>
  <si>
    <t>ECLGY_MMCRY_KNWL_ERR_DCLR_CLSF_CD</t>
  </si>
  <si>
    <t>생태_모방_지식_오류_신고_상태_코드</t>
  </si>
  <si>
    <t>ECLGY_MMCRY_KNWL_ERR_DCLR_STTS_CD</t>
  </si>
  <si>
    <t>ECLGY_MMCRY_KNWL_ERR_DCLR_INQ_CNT</t>
  </si>
  <si>
    <t>ECLGY_MMCRY_KNWL_ERR_DCLR_RLS_YN</t>
  </si>
  <si>
    <t>ECLGY_MMCRY_KNWL_ERR_DCLR_TTL</t>
  </si>
  <si>
    <t>ECLGY_MMCRY_KNWL_ERR_DCLR_CN</t>
  </si>
  <si>
    <t>ECLGY_MMCRY_KNWL_ERR_DCLR_ATCH_FILE_ID</t>
  </si>
  <si>
    <t>ECLGY_MMCRY_KNWL_ERR_DCLR_REG_DT</t>
  </si>
  <si>
    <t>ECLGY_MMCRY_KNWL_ERR_DCLR_MDFCN_DT</t>
  </si>
  <si>
    <t>ECLGY_MMCRY_KNWL_ERR_DCLR_WRTR_ID</t>
  </si>
  <si>
    <t>ECLGY_MMCRY_KNWL_ERR_DCLR_ANS_CN</t>
  </si>
  <si>
    <t>ECLGY_MMCRY_KNWL_ERR_DCLR_ANS_ATCH_FILE_ID</t>
  </si>
  <si>
    <t>ECLGY_MMCRY_KNWL_ERR_DCLR_ANS_REG_DT</t>
  </si>
  <si>
    <t>ECLGY_MMCRY_KNWL_ERR_DCLR_ANS_MDFCN_DT</t>
  </si>
  <si>
    <t>ECLGY_MMCRY_KNWL_ERR_DCLR_ANS_WRTR_ID</t>
  </si>
  <si>
    <t>ECLGY_MMCRY_KNWL_ERR_DCLR_EML_ANS_YN</t>
  </si>
  <si>
    <t>서비스_구분_코드</t>
  </si>
  <si>
    <t>서비스_상태_코드</t>
  </si>
  <si>
    <t>서비스_적용_계획_코드</t>
  </si>
  <si>
    <t>요청자_IP_주소</t>
  </si>
  <si>
    <t>RQSTR_IP_ADDR</t>
  </si>
  <si>
    <t>주소V40</t>
  </si>
  <si>
    <t>CLCT_PRST_NO</t>
  </si>
  <si>
    <t>수집_기관_코드</t>
  </si>
  <si>
    <t>수집_항목_코드</t>
  </si>
  <si>
    <t>EOL_NM_CLCT_SNTFNM_NOCS</t>
  </si>
  <si>
    <t>EOL_NM_CLCT_SYNM_NOCS</t>
  </si>
  <si>
    <t>EOL_생물_매체_수집_건수</t>
  </si>
  <si>
    <t>NCBI_학술지_수집_건수</t>
  </si>
  <si>
    <t>GGL_PTNT_CLCT_NOCS</t>
  </si>
  <si>
    <t>KISTI_학술지_수집_건수</t>
  </si>
  <si>
    <t>수집_자료_검증_결과_코드</t>
  </si>
  <si>
    <t>수집_자료_부적합_사유_코드</t>
  </si>
  <si>
    <t>CLCT_DATA_ICPT_RSN_CD</t>
  </si>
  <si>
    <t>CLCT_DATA_ICPT_RSN_CN</t>
  </si>
  <si>
    <t>PTNT_ID</t>
  </si>
  <si>
    <t>KISTI_THSS_ID</t>
  </si>
  <si>
    <t>EOL_LVB_NM_SNTFNM_LAST_CLCT_DT</t>
  </si>
  <si>
    <t>EOL_LVB_NM_SNTFNM_CLCT_SCS_NOCS</t>
  </si>
  <si>
    <t>EOL_LVB_NM_SNTFNM_CLCT_ERR_NOCS</t>
  </si>
  <si>
    <t>EOL_LVB_NM_SYNM_LAST_CLCT_DT</t>
  </si>
  <si>
    <t>EOL_LVB_NM_SYNM_CLCT_SCS_NOCS</t>
  </si>
  <si>
    <t>EOL_LVB_NM_SYNM_CLCT_ERR_NOCS</t>
  </si>
  <si>
    <t>EOL_생물_매체_수집_여부</t>
  </si>
  <si>
    <t>EOL_생물_매체_최종_수집_일시</t>
  </si>
  <si>
    <t>EOL_생물_매체_수집_성공_건수</t>
  </si>
  <si>
    <t>EOL_생물_매체_수집_오류_건수</t>
  </si>
  <si>
    <t>NCBI_학술지_수집_여부</t>
  </si>
  <si>
    <t>NCBI_학술지_최종_수집_일시</t>
  </si>
  <si>
    <t>NCBI_학술지_수집_성공_건수</t>
  </si>
  <si>
    <t>NCBI_학술지_수집_오류_건수</t>
  </si>
  <si>
    <t>GGL_PTNT_CLCT_YN</t>
  </si>
  <si>
    <t>GGL_PTNT_LAST_CLCT_DT</t>
  </si>
  <si>
    <t>GGL_PTNT_CLCT_SCS_NOCS</t>
  </si>
  <si>
    <t>GGL_PTNT_CLCT_ERR_NOCS</t>
  </si>
  <si>
    <t>KISTI_학술지_수집_여부</t>
  </si>
  <si>
    <t>KISTI_학술지_최종_수집_일시</t>
  </si>
  <si>
    <t>KISTI_학술지_수집_성공_건수</t>
  </si>
  <si>
    <t>KISTI_학술지_수집_오류_건수</t>
  </si>
  <si>
    <t>SYNM_NO</t>
  </si>
  <si>
    <t>SYNM_NM</t>
  </si>
  <si>
    <t>SNTFNM_NO</t>
  </si>
  <si>
    <t>SPCS_TXNM_SNTFNM</t>
  </si>
  <si>
    <t>학명V256</t>
  </si>
  <si>
    <t>PRRTY_YN</t>
  </si>
  <si>
    <t>GBIF_MPNG_YN</t>
  </si>
  <si>
    <t>명V80</t>
  </si>
  <si>
    <t>DMST_SPCS_EXST_YN</t>
  </si>
  <si>
    <t>KDM_TXNM_SNTFNM</t>
  </si>
  <si>
    <t>국명V256</t>
  </si>
  <si>
    <t>PLM_TXNM_SNTFNM</t>
  </si>
  <si>
    <t>CLS_TXNM_SNTFNM</t>
  </si>
  <si>
    <t>ODR_TXNM_SNTFNM</t>
  </si>
  <si>
    <t>FMLY_TXNM_SNTFNM</t>
  </si>
  <si>
    <t>GNS_TXNM_SNTFNM</t>
  </si>
  <si>
    <t>EOL_LVB_NM_INDX_CMPTN_YN</t>
  </si>
  <si>
    <t>내용V1000</t>
  </si>
  <si>
    <t>생태_모방_사례_순위_사용자_만족_점수_가중치_비율</t>
  </si>
  <si>
    <t>ECLGY_MMCRY_CASE_RNK_USER_STFC_SCR_WGVL_RT</t>
  </si>
  <si>
    <t>율N12,6</t>
  </si>
  <si>
    <t>엘라스틱서치_색인_구분_코드</t>
  </si>
  <si>
    <t>백업_일자</t>
  </si>
  <si>
    <t>BKUP_YMD</t>
  </si>
  <si>
    <t>PTNT_CLSF_SCR</t>
  </si>
  <si>
    <t>NCBI_THSS_CLSF_SCR</t>
  </si>
  <si>
    <t>KISTI_THSS_CLSF_SCR</t>
  </si>
  <si>
    <t>ENG_CD_DTL_EXPLN</t>
  </si>
  <si>
    <t>KORN_CD_DTL_EXPLN</t>
  </si>
  <si>
    <t>INDST_CD</t>
  </si>
  <si>
    <t>UP_INDST_CD</t>
  </si>
  <si>
    <t>분류_체계_구분_코드</t>
  </si>
  <si>
    <t>코드C1</t>
  </si>
  <si>
    <t>생태_모방_사례_제목</t>
  </si>
  <si>
    <t>매체_파일_아이디</t>
  </si>
  <si>
    <t>참고_문헌_첨부_파일_아이디</t>
  </si>
  <si>
    <t>REF_LTRT_ATCH_FILE_ID</t>
  </si>
  <si>
    <t>키워드_아이디</t>
  </si>
  <si>
    <t>KYWD_ID</t>
  </si>
  <si>
    <t>분류_체계_체류_시간</t>
  </si>
  <si>
    <t>생태_모방_사례_개요</t>
  </si>
  <si>
    <t>생태_모방_사례_본문_내용</t>
  </si>
  <si>
    <t>ECLGY_MMCRY_CASE_MTXT_CN</t>
  </si>
  <si>
    <t>추가_정보_잠재_내용</t>
  </si>
  <si>
    <t>ADD_INFO_POT_CN</t>
  </si>
  <si>
    <t>추가_정보_적용_내용</t>
  </si>
  <si>
    <t>추가_정보_차이_내용</t>
  </si>
  <si>
    <t>ADD_INFO_DIFF_CN</t>
  </si>
  <si>
    <t>등록_상태_코드</t>
  </si>
  <si>
    <t>참고_문헌_연계_URL_주소</t>
  </si>
  <si>
    <t>REF_LTRT_LINK_URL_ADDR</t>
  </si>
  <si>
    <t>생태_모방_사례_구분_코드</t>
  </si>
  <si>
    <t>키워드_명</t>
  </si>
  <si>
    <t>KYWD_NM</t>
  </si>
  <si>
    <t>학술지_출판_연도</t>
  </si>
  <si>
    <t>연월일D</t>
  </si>
  <si>
    <t>설문_질문_구분_코드</t>
  </si>
  <si>
    <t>SRVY_QSTN_SE_CD</t>
  </si>
  <si>
    <t>설문_대상_구분_코드</t>
  </si>
  <si>
    <t>SRVY_TRGT_SE_CD</t>
  </si>
  <si>
    <t>SRWRD_HSTRY_ID</t>
  </si>
  <si>
    <t>SRWRD_SE_CD</t>
  </si>
  <si>
    <t>검색어_내용</t>
  </si>
  <si>
    <t>SRWRD_CN</t>
  </si>
  <si>
    <t>콘텐츠_조회_이력_아이디</t>
  </si>
  <si>
    <t>CONTS_INQ_HSTRY_ID</t>
  </si>
  <si>
    <t>콘텐츠_구분_코드</t>
  </si>
  <si>
    <t>CONTS_SE_CD</t>
  </si>
  <si>
    <t>콘텐츠_아이디_정보_내용</t>
  </si>
  <si>
    <t>CONTS_ID_INFO_CN</t>
  </si>
  <si>
    <t>CORLN_SRWRD_ID</t>
  </si>
  <si>
    <t>SRWRD_INQ_CNT</t>
  </si>
  <si>
    <t>콘텐츠_제목_명_정보_내용</t>
  </si>
  <si>
    <t>CONTS_TTL_NM_INFO_CN</t>
  </si>
  <si>
    <t>콘텐츠_조회_수</t>
  </si>
  <si>
    <t>CONTS_INQ_CNT</t>
  </si>
  <si>
    <t>CORLN_KYWD_ID</t>
  </si>
  <si>
    <t>KYWD_INQ_CNT</t>
  </si>
  <si>
    <t>SRWRD_KYWD_SMLRT_SCR</t>
  </si>
  <si>
    <t>국가_약어_코드</t>
  </si>
  <si>
    <t>NTN_ABBR_CD</t>
  </si>
  <si>
    <t>국가_약어_영문_명</t>
  </si>
  <si>
    <t>NTN_ABBR_ENG_NM</t>
  </si>
  <si>
    <t>국가_약어_한글_명</t>
  </si>
  <si>
    <t>NTN_ABBR_KORN_NM</t>
  </si>
  <si>
    <t>주요_국가_여부</t>
  </si>
  <si>
    <t>MAIN_NTN_YN</t>
  </si>
  <si>
    <t>사용자_명</t>
  </si>
  <si>
    <t>명V40</t>
  </si>
  <si>
    <t>코드V15</t>
  </si>
  <si>
    <t>권한_코드</t>
  </si>
  <si>
    <t>코드V30</t>
  </si>
  <si>
    <t>권한_명</t>
  </si>
  <si>
    <t>권한_설명</t>
  </si>
  <si>
    <t>권한_생성_일시</t>
  </si>
  <si>
    <t>검색_결과_내용</t>
  </si>
  <si>
    <t>산업_분류_체계_체류_시간</t>
  </si>
  <si>
    <t>역할_코드</t>
  </si>
  <si>
    <t>ROLE_CD</t>
  </si>
  <si>
    <t>PTNT_RLS_NO</t>
  </si>
  <si>
    <t>PTNT_APPL_NO</t>
  </si>
  <si>
    <t>PTNT_REG_NO</t>
  </si>
  <si>
    <t>PTAP_LIST_CN</t>
  </si>
  <si>
    <t>PTNT_APPL_YMD</t>
  </si>
  <si>
    <t>PTNT_RLS_YMD</t>
  </si>
  <si>
    <t>썸네일_이미지_저장_경로_명</t>
  </si>
  <si>
    <t>THMB_IMG_STRG_PATH_NM</t>
  </si>
  <si>
    <t>THMB_IMG_FILE_NM</t>
  </si>
  <si>
    <t>자료_쪽_특허_건수</t>
  </si>
  <si>
    <t>DATA_PAGE_PTNT_NOCS</t>
  </si>
  <si>
    <t>자료_원본_내용</t>
  </si>
  <si>
    <t>DATA_ORGNL_CN</t>
  </si>
  <si>
    <t>특허_등록_상태_코드</t>
  </si>
  <si>
    <t>PTNT_REG_STTS_CD</t>
  </si>
  <si>
    <t>KIPRIS_특허_원본_수집_번호</t>
  </si>
  <si>
    <t>KIPRIS_PTNT_ORGNL_CLCT_NO</t>
  </si>
  <si>
    <t>KIPRIS_특허_수집_번호</t>
  </si>
  <si>
    <t>KIPRIS_PTNT_CLCT_NO</t>
  </si>
  <si>
    <t>논문_아이디</t>
  </si>
  <si>
    <t>THSS_ID</t>
  </si>
  <si>
    <t>KCI_학술지_논문_아이디_수집_번호</t>
  </si>
  <si>
    <t>KCI_학술지_수집_번호</t>
  </si>
  <si>
    <t>KIPRIS_PTNT_CLCT_YN</t>
  </si>
  <si>
    <t>KIPRIS_PTNT_LAST_CLCT_DT</t>
  </si>
  <si>
    <t>KIPRIS_PTNT_CLCT_SCS_NOCS</t>
  </si>
  <si>
    <t>KIPRIS_PTNT_CLCT_ERR_NOCS</t>
  </si>
  <si>
    <t>KCI_학술지_수집_여부</t>
  </si>
  <si>
    <t>KCI_학술지_최종_수집_일시</t>
  </si>
  <si>
    <t>KCI_학술지_수집_성공_건수</t>
  </si>
  <si>
    <t>KCI_학술지_수집_오류_건수</t>
  </si>
  <si>
    <t>KIPRIS_특허_수집_건수</t>
  </si>
  <si>
    <t>KIPRIS_PTNT_CLCT_NOCS</t>
  </si>
  <si>
    <t>KCI_학술지_수집_건수</t>
  </si>
  <si>
    <t>대화_검색_이력_통계_연월</t>
  </si>
  <si>
    <t>CNVRS_SRCH_HSTRY_STATS_YM</t>
  </si>
  <si>
    <t>검색_이력_순위</t>
  </si>
  <si>
    <t>SRCH_HSTRY_RNK</t>
  </si>
  <si>
    <t>수N2</t>
  </si>
  <si>
    <t>생태_모방_사례_라이선스_구분_코드</t>
  </si>
  <si>
    <t>ECLGY_MMCRY_CASE_LCN_SE_CD</t>
  </si>
  <si>
    <t>생태_모방_사례_라이선스_기타_명</t>
  </si>
  <si>
    <t>ECLGY_MMCRY_CASE_LCN_ETC_NM</t>
  </si>
  <si>
    <t>생태_모방_특허_동향_유사도_점수</t>
  </si>
  <si>
    <t>ECLGY_MMCRY_PTNT_TREND_SMLRT_SCR</t>
  </si>
  <si>
    <t>생태_모방_특허_동향_금칙어_아이디</t>
  </si>
  <si>
    <t>ECLGY_MMCRY_PTNT_TREND_PHWRD_ID</t>
  </si>
  <si>
    <t>생태_모방_특허_동향_금칙어_명</t>
  </si>
  <si>
    <t>ECLGY_MMCRY_PTNT_TREND_PHWRD_NM</t>
  </si>
  <si>
    <t>생태_모방_특허_동향_금칙어_등록_일시</t>
  </si>
  <si>
    <t>ECLGY_MMCRY_PTNT_TREND_PHWRD_REG_DT</t>
  </si>
  <si>
    <t>만료_일시</t>
  </si>
  <si>
    <t>인덱스_여부</t>
  </si>
  <si>
    <t>INDEX_YN</t>
  </si>
  <si>
    <t>TBL_VSTR_PRST_INFO</t>
  </si>
  <si>
    <t>bksp</t>
    <phoneticPr fontId="19" type="noConversion"/>
  </si>
  <si>
    <t>생물종_기본</t>
    <phoneticPr fontId="19" type="noConversion"/>
  </si>
  <si>
    <t>수집_자료_검증_관리</t>
    <phoneticPr fontId="19" type="noConversion"/>
  </si>
  <si>
    <t>콘텐츠_조회_이력_관리</t>
    <phoneticPr fontId="19" type="noConversion"/>
  </si>
  <si>
    <t>대화_검색_이력_통계</t>
  </si>
  <si>
    <t>상관관계_콘텐츠_조회_이력_관리</t>
    <phoneticPr fontId="19" type="noConversion"/>
  </si>
  <si>
    <t>상관관계_키워드_관리</t>
  </si>
  <si>
    <t>상관관계_관계_매핑</t>
    <phoneticPr fontId="19" type="noConversion"/>
  </si>
  <si>
    <t>상관관계_검색어_관리</t>
  </si>
  <si>
    <t>자료_수집_구조_서비스_오류_로그</t>
    <phoneticPr fontId="19" type="noConversion"/>
  </si>
  <si>
    <t>자료_수집_구조_서비스_관리</t>
    <phoneticPr fontId="19" type="noConversion"/>
  </si>
  <si>
    <t>생태_모방_사례</t>
  </si>
  <si>
    <t>생태_모방_사례_분류_체계_매핑</t>
  </si>
  <si>
    <t>생태_모방_사례_키워드</t>
  </si>
  <si>
    <t>생태_모방_사례_키워드_매핑</t>
  </si>
  <si>
    <t>생태_모방_지식_순위_관리</t>
    <phoneticPr fontId="19" type="noConversion"/>
  </si>
  <si>
    <t>생태_모방_지식_순위_검색어_매핑</t>
    <phoneticPr fontId="19" type="noConversion"/>
  </si>
  <si>
    <t>생태_모방_지식_순위_검색어_관리</t>
    <phoneticPr fontId="19" type="noConversion"/>
  </si>
  <si>
    <t>EOL_생물_매체_수집_이력_관리</t>
    <phoneticPr fontId="19" type="noConversion"/>
  </si>
  <si>
    <t>EOL_생물_매체_정보</t>
    <phoneticPr fontId="19" type="noConversion"/>
  </si>
  <si>
    <t>EOL_생물_매체_원본</t>
    <phoneticPr fontId="19" type="noConversion"/>
  </si>
  <si>
    <t>대화_검색_이력_관리</t>
    <phoneticPr fontId="19" type="noConversion"/>
  </si>
  <si>
    <t>KCI_학술지_수집_이력_관리</t>
    <phoneticPr fontId="19" type="noConversion"/>
  </si>
  <si>
    <t>KCI_학술지_생물_매핑</t>
    <phoneticPr fontId="19" type="noConversion"/>
  </si>
  <si>
    <t>KCI_학술지_기본</t>
    <phoneticPr fontId="19" type="noConversion"/>
  </si>
  <si>
    <t>KCI_학술지_논문_아이디_수집_이력_관리</t>
    <phoneticPr fontId="19" type="noConversion"/>
  </si>
  <si>
    <t>KIPRIS_특허_수집_이력_관리</t>
  </si>
  <si>
    <t>KIPRIS_특허_분류_매핑</t>
  </si>
  <si>
    <t>KIPRIS_특허_생물_매핑</t>
  </si>
  <si>
    <t>KIPRIS_특허_기본</t>
    <phoneticPr fontId="19" type="noConversion"/>
  </si>
  <si>
    <t>KIPRIS_특허_원본</t>
  </si>
  <si>
    <t>KIPRIS_특허_원본_수집_이력_관리</t>
  </si>
  <si>
    <t>KISTI_학술지_수집_이력_관리</t>
    <phoneticPr fontId="19" type="noConversion"/>
  </si>
  <si>
    <t>KISTI_학술지_내용_아이디_수집_이력_관리</t>
    <phoneticPr fontId="19" type="noConversion"/>
  </si>
  <si>
    <t>KISTI_학술지_생물_매핑</t>
    <phoneticPr fontId="19" type="noConversion"/>
  </si>
  <si>
    <t>KISTI_학술지_기본</t>
    <phoneticPr fontId="19" type="noConversion"/>
  </si>
  <si>
    <t>KISTI_논문_분류_매핑</t>
  </si>
  <si>
    <t>모방_분류_체계_훈련_자료</t>
    <phoneticPr fontId="19" type="noConversion"/>
  </si>
  <si>
    <t>NCBI_학술지_수집_이력_관리</t>
    <phoneticPr fontId="19" type="noConversion"/>
  </si>
  <si>
    <t>NCBI_학술지_내용</t>
    <phoneticPr fontId="19" type="noConversion"/>
  </si>
  <si>
    <t>NCBI_학술지_생물_매핑</t>
    <phoneticPr fontId="19" type="noConversion"/>
  </si>
  <si>
    <t>NCBI_학술지_기본</t>
    <phoneticPr fontId="19" type="noConversion"/>
  </si>
  <si>
    <t>NCBI_학술지_PMC_아이디_수집_이력_관리</t>
    <phoneticPr fontId="19" type="noConversion"/>
  </si>
  <si>
    <t>특허_기본</t>
    <phoneticPr fontId="19" type="noConversion"/>
  </si>
  <si>
    <t>특허_국가_약어_코드_관리</t>
  </si>
  <si>
    <t>참고_문헌_연계</t>
    <phoneticPr fontId="19" type="noConversion"/>
  </si>
  <si>
    <t>기능_애플리케이션_콘텐츠_매핑</t>
    <phoneticPr fontId="19" type="noConversion"/>
  </si>
  <si>
    <t>기능_혜택_콘텐츠_매핑</t>
    <phoneticPr fontId="19" type="noConversion"/>
  </si>
  <si>
    <t>기능_콘텐츠_생물종</t>
    <phoneticPr fontId="19" type="noConversion"/>
  </si>
  <si>
    <t>기능_콘텐츠_키워드</t>
    <phoneticPr fontId="19" type="noConversion"/>
  </si>
  <si>
    <t>기능_콘텐츠_기본</t>
    <phoneticPr fontId="19" type="noConversion"/>
  </si>
  <si>
    <t>기능_콘텐츠_관계</t>
    <phoneticPr fontId="19" type="noConversion"/>
  </si>
  <si>
    <t>기능_범주_콘텐츠_매핑</t>
    <phoneticPr fontId="19" type="noConversion"/>
  </si>
  <si>
    <t>기능_산업_콘텐츠_매핑</t>
    <phoneticPr fontId="19" type="noConversion"/>
  </si>
  <si>
    <t>기능_제품_콘텐츠_매핑</t>
    <phoneticPr fontId="19" type="noConversion"/>
  </si>
  <si>
    <t>기능_부문_콘텐츠_매핑</t>
    <phoneticPr fontId="19" type="noConversion"/>
  </si>
  <si>
    <t>기능_기술_콘텐츠_매핑</t>
    <phoneticPr fontId="19" type="noConversion"/>
  </si>
  <si>
    <t>검색어_이력_관리</t>
  </si>
  <si>
    <t>설문_답변</t>
  </si>
  <si>
    <t>설문_이력</t>
  </si>
  <si>
    <t>설문_기본</t>
    <phoneticPr fontId="19" type="noConversion"/>
  </si>
  <si>
    <t>설문_질문</t>
  </si>
  <si>
    <t>설문_질문_상세</t>
  </si>
  <si>
    <t>설문_대상</t>
  </si>
  <si>
    <t>EOL_생물_매체_수집_여부</t>
    <phoneticPr fontId="19" type="noConversion"/>
  </si>
  <si>
    <t>수집_자료_검증_결과_코드</t>
    <phoneticPr fontId="19" type="noConversion"/>
  </si>
  <si>
    <t>수집_자료_부적합_사유_코드</t>
    <phoneticPr fontId="19" type="noConversion"/>
  </si>
  <si>
    <t>수집_자료_분류_코드</t>
    <phoneticPr fontId="19" type="noConversion"/>
  </si>
  <si>
    <t>수집_자료_제목</t>
    <phoneticPr fontId="19" type="noConversion"/>
  </si>
  <si>
    <t>수집_기관_코드</t>
    <phoneticPr fontId="19" type="noConversion"/>
  </si>
  <si>
    <t>수집_항목_코드</t>
    <phoneticPr fontId="19" type="noConversion"/>
  </si>
  <si>
    <t>요청자_IP_주소</t>
    <phoneticPr fontId="19" type="noConversion"/>
  </si>
  <si>
    <t>서비스_구분_코드</t>
    <phoneticPr fontId="19" type="noConversion"/>
  </si>
  <si>
    <t>서비스_상태_코드</t>
    <phoneticPr fontId="19" type="noConversion"/>
  </si>
  <si>
    <t>서비스_적용_계획_코드</t>
    <phoneticPr fontId="19" type="noConversion"/>
  </si>
  <si>
    <t>생태_모방_사례_본문_내용</t>
    <phoneticPr fontId="19" type="noConversion"/>
  </si>
  <si>
    <t>추가_정보_잠재_내용</t>
    <phoneticPr fontId="19" type="noConversion"/>
  </si>
  <si>
    <t>추가_정보_적용_내용</t>
    <phoneticPr fontId="19" type="noConversion"/>
  </si>
  <si>
    <t>추가_정보_차이_내용</t>
    <phoneticPr fontId="19" type="noConversion"/>
  </si>
  <si>
    <t>생태_모방_지식_오류_신고_구분_코드</t>
    <phoneticPr fontId="19" type="noConversion"/>
  </si>
  <si>
    <t>생태_모방_지식_오류_신고_분류_코드</t>
    <phoneticPr fontId="19" type="noConversion"/>
  </si>
  <si>
    <t>생태_모방_지식_오류_신고_상태_코드</t>
    <phoneticPr fontId="19" type="noConversion"/>
  </si>
  <si>
    <t>생태_모방_사례_순위_사용자_만족_점수_가중치_비율</t>
    <phoneticPr fontId="19" type="noConversion"/>
  </si>
  <si>
    <t>생태_모방_사례_순위_검색어_명</t>
    <phoneticPr fontId="19" type="noConversion"/>
  </si>
  <si>
    <t>생태_모방_특허_동향_수집_실행_결과_코드</t>
    <phoneticPr fontId="19" type="noConversion"/>
  </si>
  <si>
    <t>생태_모방_특허_동향_출처_URL_주소</t>
    <phoneticPr fontId="19" type="noConversion"/>
  </si>
  <si>
    <t>생태_모방_특허_동향_요약_내용</t>
    <phoneticPr fontId="19" type="noConversion"/>
  </si>
  <si>
    <t>엘라스틱서치_색인_구분_코드</t>
    <phoneticPr fontId="19" type="noConversion"/>
  </si>
  <si>
    <t>파일_저장_경로_명</t>
    <phoneticPr fontId="19" type="noConversion"/>
  </si>
  <si>
    <t>이미지_URL_주소</t>
    <phoneticPr fontId="19" type="noConversion"/>
  </si>
  <si>
    <t>자료_출처_기본_URL_주소</t>
    <phoneticPr fontId="19" type="noConversion"/>
  </si>
  <si>
    <t>저작권_URL_주소</t>
    <phoneticPr fontId="19" type="noConversion"/>
  </si>
  <si>
    <t>EOL_생물_명_구분_코드</t>
    <phoneticPr fontId="19" type="noConversion"/>
  </si>
  <si>
    <t>특허_등록_상태_코드</t>
    <phoneticPr fontId="19" type="noConversion"/>
  </si>
  <si>
    <t>학술지_출판_연도</t>
    <phoneticPr fontId="19" type="noConversion"/>
  </si>
  <si>
    <t>역할_코드</t>
    <phoneticPr fontId="19" type="noConversion"/>
  </si>
  <si>
    <t>자연어_모델_상태_코드</t>
    <phoneticPr fontId="19" type="noConversion"/>
  </si>
  <si>
    <t>인덱스_여부</t>
    <phoneticPr fontId="19" type="noConversion"/>
  </si>
  <si>
    <t>참고_문헌_연계_URL_주소</t>
    <phoneticPr fontId="19" type="noConversion"/>
  </si>
  <si>
    <t>TBL_BIOSPC_BSC</t>
  </si>
  <si>
    <t>TBL_BIOSPC_SNTFNM</t>
  </si>
  <si>
    <t>TBL_BIOSPC_SYNM</t>
  </si>
  <si>
    <t>TBL_CLCT_NOCS_STATS_SMRY</t>
  </si>
  <si>
    <t>TBL_CLCT_PRST_MNG</t>
  </si>
  <si>
    <t>TBL_CONTS_INQ_HSTRY_MNG</t>
  </si>
  <si>
    <t>TBL_CNVRS_SRCH_HSTRY_STATS</t>
  </si>
  <si>
    <t>TBL_CORLN_KYWD_MNG</t>
  </si>
  <si>
    <t>TBL_CORLN_REL_MPNG</t>
  </si>
  <si>
    <t>TBL_CORLN_SRWRD_MNG</t>
  </si>
  <si>
    <t>TBL_ECLGY_MMCRY_CASE_CLSF_MPNG</t>
  </si>
  <si>
    <t>TBL_ECLGY_MMCRY_CASE_KYWD</t>
  </si>
  <si>
    <t>TBL_ECLGY_MMCRY_KNWL_RNK_MNG</t>
  </si>
  <si>
    <t>TBL_ECLGY_MMCRY_PTNT_TREND_MNG</t>
  </si>
  <si>
    <t>TBL_EL_INDX_INFO</t>
  </si>
  <si>
    <t>TBL_CNVRS_SRCH_HSTRY_MNG</t>
  </si>
  <si>
    <t>TBL_IPC_INDST_CD_MPNG</t>
  </si>
  <si>
    <t>TBL_KCI_ACJRNL_LVB_MPNG</t>
  </si>
  <si>
    <t>TBL_KCI_ACJRNL_BSC</t>
  </si>
  <si>
    <t>TBL_KCI_THSS_AUT</t>
  </si>
  <si>
    <t>TBL_KCI_THSS_KYWD</t>
  </si>
  <si>
    <t>TBL_KIPRIS_PTNT_CLSF_MPNG</t>
  </si>
  <si>
    <t>TBL_KIPRIS_PTNT_LVB_MPNG</t>
  </si>
  <si>
    <t>TBL_KIPRIS_PTNT_BSC</t>
  </si>
  <si>
    <t>TBL_KIPRIS_PTNT_ORGNL</t>
  </si>
  <si>
    <t>TBL_KISTI_ACJRNL_LVB_MPNG</t>
  </si>
  <si>
    <t>TBL_KISTI_ACJRNL_BSC</t>
  </si>
  <si>
    <t>TBL_KISTI_THSS_AUT</t>
  </si>
  <si>
    <t>TBL_KISTI_THSS_CLSF_MPNG</t>
  </si>
  <si>
    <t>TBL_KISTI_THSS_KYWD</t>
  </si>
  <si>
    <t>TBL_LVB_SFE_CLSF_MPNG</t>
  </si>
  <si>
    <t>TBL_LVB_SPCS_CLSF_MPNG</t>
  </si>
  <si>
    <t>TBL_NCBI_ACJRNL_CN</t>
  </si>
  <si>
    <t>TBL_NCBI_ACJRNL_LVB_MPNG</t>
  </si>
  <si>
    <t>TBL_NCBI_ACJRNL_BSC</t>
  </si>
  <si>
    <t>TBL_NCBI_THSS_AUT</t>
  </si>
  <si>
    <t>TBL_NCBI_THSS_CLSF_MPNG</t>
  </si>
  <si>
    <t>TBL_NCBI_THSS_KYWD</t>
  </si>
  <si>
    <t>TBL_PTNT_CLCT_HSTRY_MNG</t>
  </si>
  <si>
    <t>TBL_PTNT_CLSF_MPNG</t>
  </si>
  <si>
    <t>TBL_PTNT_IMG_INFO</t>
  </si>
  <si>
    <t>TBL_PTNT_LVB_MPNG</t>
  </si>
  <si>
    <t>TBL_PTNT_BSC</t>
  </si>
  <si>
    <t>TBL_REF_LTRT_LINK</t>
  </si>
  <si>
    <t>TBL_FWK_APP_CONTS_MPNG</t>
  </si>
  <si>
    <t>TBL_FWK_BNEF_CONTS_MPNG</t>
  </si>
  <si>
    <t>TBL_FWK_CONTS_BIOSPC</t>
  </si>
  <si>
    <t>TBL_FWK_CONTS_KYWD</t>
  </si>
  <si>
    <t>TBL_FWK_CONTS_BSC</t>
  </si>
  <si>
    <t>TBL_FWK_CONTS_REL</t>
  </si>
  <si>
    <t>TBL_FWK_CTGRY_CD_MNG</t>
  </si>
  <si>
    <t>TBL_FWK_CTGRY_CONTS_MPNG</t>
  </si>
  <si>
    <t>TBL_FWK_ETC_CD_MNG</t>
  </si>
  <si>
    <t>TBL_FWK_INDST_CD_MNG</t>
  </si>
  <si>
    <t>TBL_FWK_INDST_CONTS_MPNG</t>
  </si>
  <si>
    <t>TBL_FWK_PRDCT_CD_MNG</t>
  </si>
  <si>
    <t>TBL_FWK_PRDCT_CONTS_MPNG</t>
  </si>
  <si>
    <t>TBL_FWK_SECT_CONTS_MPNG</t>
  </si>
  <si>
    <t>TBL_FWK_TECH_CONTS_MPNG</t>
  </si>
  <si>
    <t>TBL_SRWRD_HSTRY_MNG</t>
  </si>
  <si>
    <t>TBL_SRVY_ANS</t>
  </si>
  <si>
    <t>TBL_SRVY_CTGRY</t>
  </si>
  <si>
    <t>TBL_SRVY_HSTRY</t>
  </si>
  <si>
    <t>TBL_SRVY_BSC</t>
  </si>
  <si>
    <t>TBL_SRVY_QSTN</t>
  </si>
  <si>
    <t>TBL_SRVY_QSTN_DTL</t>
  </si>
  <si>
    <t>TBL_SRVY_TRGT</t>
  </si>
  <si>
    <t>NCBI_ACJRNL_CLCT_YN</t>
  </si>
  <si>
    <t>NCBI_ACJRNL_LAST_CLCT_DT</t>
  </si>
  <si>
    <t>NCBI_ACJRNL_CLCT_SCS_NOCS</t>
  </si>
  <si>
    <t>NCBI_ACJRNL_CLCT_ERR_NOCS</t>
  </si>
  <si>
    <t>KISTI_ACJRNL_CLCT_YN</t>
  </si>
  <si>
    <t>KISTI_ACJRNL_LAST_CLCT_DT</t>
  </si>
  <si>
    <t>KISTI_ACJRNL_CLCT_SCS_NOCS</t>
  </si>
  <si>
    <t>KISTI_ACJRNL_CLCT_ERR_NOCS</t>
  </si>
  <si>
    <t>KCI_ACJRNL_CLCT_YN</t>
  </si>
  <si>
    <t>KCI_ACJRNL_LAST_CLCT_DT</t>
  </si>
  <si>
    <t>KCI_ACJRNL_CLCT_SCS_NOCS</t>
  </si>
  <si>
    <t>KCI_ACJRNL_CLCT_ERR_NOCS</t>
  </si>
  <si>
    <t>NCBI_ACJRNL_CLCT_NOCS</t>
  </si>
  <si>
    <t>KISTI_ACJRNL_CLCT_NOCS</t>
  </si>
  <si>
    <t>KCI_ACJRNL_CLCT_NOCS</t>
  </si>
  <si>
    <t>CLSF_SYSTEM_ID</t>
  </si>
  <si>
    <t>CLSF_SYSTEM_SE_CD</t>
  </si>
  <si>
    <t>EL_INDX_NM</t>
  </si>
  <si>
    <t>EL_INDX_SE_CD</t>
  </si>
  <si>
    <t>EL_INDX_USE_YN</t>
  </si>
  <si>
    <t>INDST_CLSF_SYSTEM_INQ_PRST_YM</t>
  </si>
  <si>
    <t>INDST_CLSF_SYSTEM_CD</t>
  </si>
  <si>
    <t>INDST_CLSF_SYSTEM_INQ_CNT</t>
  </si>
  <si>
    <t>INDST_CLSF_SYSTEM_STAY_HR</t>
  </si>
  <si>
    <t>UP_INDST_CLSF_SYSTEM_CD</t>
  </si>
  <si>
    <t>INDST_CLSF_SYSTEM_ENG_NM</t>
  </si>
  <si>
    <t>INDST_CLSF_SYSTEM_KORN_NM</t>
  </si>
  <si>
    <t>KCI_ACJRNL_CLCT_NO</t>
  </si>
  <si>
    <t>ACJRNL_TTL</t>
  </si>
  <si>
    <t>ACJRNL_ABST_CN</t>
  </si>
  <si>
    <t>ACJRNL_PBLSG_YR</t>
  </si>
  <si>
    <t>ACJRNL_LINK_URL_ADDR</t>
  </si>
  <si>
    <t>KCI_ACJRNL_THSS_ID_CLCT_NO</t>
  </si>
  <si>
    <t>PTNT_ABST_CN</t>
  </si>
  <si>
    <t>KISTI_ACJRNL_CLCT_NO</t>
  </si>
  <si>
    <t>KISTI_ACJRNL_CN_ID_CLCT_NO</t>
  </si>
  <si>
    <t>ACJRNL_ABST_ORGNL_CN</t>
  </si>
  <si>
    <t>ACJRNL_INDX_CMPTN_YN</t>
  </si>
  <si>
    <t>KISTI_ACJRNL_MMCRY_CLSF_CMPTN_YN</t>
  </si>
  <si>
    <t>MMCRY_CLSF_SYSTEM_INQ_PRST_YM</t>
  </si>
  <si>
    <t>MMCRY_CLSF_SYSTEM_CD</t>
  </si>
  <si>
    <t>MMCRY_CLSF_SYSTEM_INQ_CNT</t>
  </si>
  <si>
    <t>MMCRY_CLSF_SYSTEM_STAY_HR</t>
  </si>
  <si>
    <t>UP_MMCRY_CLSF_SYSTEM_CD</t>
  </si>
  <si>
    <t>MMCRY_CLSF_SYSTEM_ENG_NM</t>
  </si>
  <si>
    <t>MMCRY_CLSF_SYSTEM_KORN_NM</t>
  </si>
  <si>
    <t>MMCRY_CLSF_SYSTEM_ENG_EXPLN</t>
  </si>
  <si>
    <t>MMCRY_CLSF_SYSTEM_KORN_EXPLN</t>
  </si>
  <si>
    <t>SORT_SEQ_NO</t>
  </si>
  <si>
    <t>NCBI_ACJRNL_CLCT_NO</t>
  </si>
  <si>
    <t>ACJRNL_MTXT_CN</t>
  </si>
  <si>
    <t>NCBI_ACJRNL_CLSF_ID</t>
  </si>
  <si>
    <t>ACJRNL_CPRGT_NM</t>
  </si>
  <si>
    <t>NCBI_ACJRNL_MMCRY_CLSF_CMPTN_YN</t>
  </si>
  <si>
    <t>NCBI_ACJRNL_PMC_ID_CLCT_NO</t>
  </si>
  <si>
    <t>PTNT_CLSF_SYSTEM_INQ_PRST_YM</t>
  </si>
  <si>
    <t>PTNT_CLSF_SYSTEM_CD</t>
  </si>
  <si>
    <t>PTNT_CLSF_SYSTEM_INQ_CNT</t>
  </si>
  <si>
    <t>PTNT_CLSF_SYSTEM_STAY_HR</t>
  </si>
  <si>
    <t>UP_PTNT_CLSF_SYSTEM_CD</t>
  </si>
  <si>
    <t>PTNT_CLSF_SYSTEM_ENG_EXPLN</t>
  </si>
  <si>
    <t>PTNT_CLSF_SYSTEM_KORN_EXPLN</t>
  </si>
  <si>
    <t>PTNT_GRNE_LIST_CN</t>
  </si>
  <si>
    <t>PRDCT_CLSF_SYSTEM_INQ_PRST_YM</t>
  </si>
  <si>
    <t>PRDCT_CLSF_SYSTEM_CD</t>
  </si>
  <si>
    <t>PRDCT_CLSF_SYSTEM_INQ_CNT</t>
  </si>
  <si>
    <t>PRDCT_CLSF_SYSTEM_STAY_HR</t>
  </si>
  <si>
    <t>UP_PRDCT_CLSF_SYSTEM_CD</t>
  </si>
  <si>
    <t>PRDCT_CLSF_SYSTEM_ENG_NM</t>
  </si>
  <si>
    <t>PRDCT_CLSF_SYSTEM_KORN_NM</t>
  </si>
  <si>
    <t>SFE_CLSF_SYSTEM_INQ_PRST_YM</t>
  </si>
  <si>
    <t>SFE_CLSF_SYSTEM_CD</t>
  </si>
  <si>
    <t>SFE_CLSF_SYSTEM_INQ_CNT</t>
  </si>
  <si>
    <t>SFE_CLSF_SYSTEM_STAY_HR</t>
  </si>
  <si>
    <t>UP_SFE_CLSF_SYSTEM_CD</t>
  </si>
  <si>
    <t>CLSF_SYSTEM_SE_NM</t>
  </si>
  <si>
    <t>SFE_CLSF_SYSTEM_WHOL_ENG_NM</t>
  </si>
  <si>
    <t>SFE_CLSF_SYSTEM_ENG_NM</t>
  </si>
  <si>
    <t>SFE_CLSF_SYSTEM_KORN_NM</t>
  </si>
  <si>
    <t>FWK_CTGRY_CD</t>
  </si>
  <si>
    <t>UP_FWK_CTGRY_CD</t>
  </si>
  <si>
    <t>CLSF_SYSTEM_STAY_HR</t>
  </si>
  <si>
    <t>PTNT_GRNE_LIST_CN</t>
    <phoneticPr fontId="19" type="noConversion"/>
  </si>
  <si>
    <t>상관관계</t>
  </si>
  <si>
    <t>생태모방사례 관리</t>
  </si>
  <si>
    <t>설문관리</t>
  </si>
  <si>
    <t>백업_일자</t>
    <phoneticPr fontId="19" type="noConversion"/>
  </si>
  <si>
    <t>자료_쪽_번호</t>
    <phoneticPr fontId="19" type="noConversion"/>
  </si>
  <si>
    <t>최소_연도</t>
    <phoneticPr fontId="19" type="noConversion"/>
  </si>
  <si>
    <t>최대_연도</t>
    <phoneticPr fontId="19" type="noConversion"/>
  </si>
  <si>
    <t>자료_쪽_특허_건수</t>
    <phoneticPr fontId="19" type="noConversion"/>
  </si>
  <si>
    <t>정제_완료_여부</t>
    <phoneticPr fontId="19" type="noConversion"/>
  </si>
  <si>
    <t>backup</t>
    <phoneticPr fontId="19" type="noConversion"/>
  </si>
  <si>
    <t>public</t>
    <phoneticPr fontId="19" type="noConversion"/>
  </si>
  <si>
    <t>문자</t>
    <phoneticPr fontId="19" type="noConversion"/>
  </si>
  <si>
    <t>0 이상의 정수</t>
    <phoneticPr fontId="19" type="noConversion"/>
  </si>
  <si>
    <t>9999999999</t>
    <phoneticPr fontId="19" type="noConversion"/>
  </si>
  <si>
    <t>9999999.999</t>
    <phoneticPr fontId="19" type="noConversion"/>
  </si>
  <si>
    <t>1000자리 이내 문자</t>
    <phoneticPr fontId="19" type="noConversion"/>
  </si>
  <si>
    <t>도메인명</t>
    <phoneticPr fontId="19" type="noConversion"/>
  </si>
  <si>
    <t>bksp.tbl_srvy_qstn.srvy_qstn_id</t>
  </si>
  <si>
    <t>bksp.tbl_srvy_ctgry.srvy_ctgry_id</t>
  </si>
  <si>
    <t>PK04</t>
  </si>
  <si>
    <t>통계</t>
    <phoneticPr fontId="19" type="noConversion"/>
  </si>
  <si>
    <t>TBL_ECLGY_MMCRY_CASE_KYWD_MPNG</t>
  </si>
  <si>
    <t>TBL_CORLN_CONTS_INQ_HSTRY_MNG</t>
  </si>
  <si>
    <t>TBL_DATA_CLCT_STRCT_SRVC_ERR_LOG</t>
  </si>
  <si>
    <t>TBL_DATA_CLCT_STRCT_SRVC_MNG</t>
  </si>
  <si>
    <t>TBL_ECLGY_MMCRY_CASE_CLSF_SYSTEM_MPNG</t>
  </si>
  <si>
    <t>TBL_ECLGY_MMCRY_KNWL_ERR_DCLR_MNG</t>
  </si>
  <si>
    <t>TBL_ECLGY_MMCRY_KNWL_RNK_SRWRD_MPNG</t>
  </si>
  <si>
    <t>TBL_ECLGY_MMCRY_KNWL_RNK_SRWRD_MNG</t>
  </si>
  <si>
    <t>TBL_ECLGY_MMCRY_PTNT_TREND_CLCT_MNG</t>
  </si>
  <si>
    <t>TBL_ECLGY_MMCRY_PTNT_TREND_KYWD_MNG</t>
  </si>
  <si>
    <t>TBL_INDST_CLSF_INQ_CNT_PRST_INFO</t>
  </si>
  <si>
    <t>TBL_INDST_CLSF_SYSTEM_CD_MNG</t>
  </si>
  <si>
    <t>TBL_KCI_ACJRNL_CLCT_HSTRY_MNG</t>
  </si>
  <si>
    <t>TBL_KCI_ACJRNL_THSS_ID_CLCT_HSTRY_MNG</t>
  </si>
  <si>
    <t>TBL_KIPRIS_PTNT_CLCT_HSTRY_MNG</t>
  </si>
  <si>
    <t>TBL_KIPRIS_PTNT_ORGNL_CLCT_HSTRY_MNG</t>
  </si>
  <si>
    <t>TBL_KISTI_ACJRNL_CLCT_HSTRY_MNG</t>
  </si>
  <si>
    <t>TBL_KISTI_ACJRNL_CN_ID_CLCT_HSTRY_MNG</t>
  </si>
  <si>
    <t>TBL_MMCRY_CLSF_INQ_CNT_PRST_INFO</t>
  </si>
  <si>
    <t>TBL_MMCRY_CLSF_SYSTEM_CD_MNG</t>
  </si>
  <si>
    <t>TBL_MMCRY_CLSF_SYSTEM_TRNG_DATA</t>
  </si>
  <si>
    <t>TBL_NCBI_ACJRNL_CLCT_HSTRY_MNG</t>
  </si>
  <si>
    <t>TBL_NCBI_ACJRNL_PMC_ID_CLCT_HSTRY_MNG</t>
  </si>
  <si>
    <t>TBL_PTNT_CLSF_INQ_CNT_PRST_INFO</t>
  </si>
  <si>
    <t>TBL_PTNT_CLSF_SYSTEM_CD_MNG</t>
  </si>
  <si>
    <t>TBL_PTNT_NTN_ABBR_CD_MNG</t>
  </si>
  <si>
    <t>TBL_PTNT_PBLSG_IDNTF_ID_CLCT_HSTRY_MNG</t>
  </si>
  <si>
    <t>TBL_PRDCT_CLSF_INQ_CNT_PRST_INFO</t>
  </si>
  <si>
    <t>TBL_PRDCT_CLSF_SYSTEM_CD_MNG</t>
  </si>
  <si>
    <t>TBL_SFE_CLSF_INQ_CNT_PRST_INFO</t>
  </si>
  <si>
    <t>TBL_SFE_CLSF_SYSTEM_CD_MNG</t>
  </si>
  <si>
    <t>TBL_PTNT_CLSF_MPNG_DEL_CD</t>
  </si>
  <si>
    <t>에코뱅크_권한정보</t>
    <phoneticPr fontId="19" type="noConversion"/>
  </si>
  <si>
    <t>에코뱅크_사용자보안설정</t>
    <phoneticPr fontId="19" type="noConversion"/>
  </si>
  <si>
    <t>에코뱅크_사용자마스터</t>
    <phoneticPr fontId="19" type="noConversion"/>
  </si>
  <si>
    <t>권한_생성_일</t>
  </si>
  <si>
    <t>보안_설정_대상_아이디</t>
  </si>
  <si>
    <t>회원_유형_코드</t>
  </si>
  <si>
    <t>비밀번호</t>
    <phoneticPr fontId="19" type="noConversion"/>
  </si>
  <si>
    <t>사용자_이메일</t>
  </si>
  <si>
    <t>사용자_구분</t>
  </si>
  <si>
    <t>조직_아이디</t>
    <phoneticPr fontId="19" type="noConversion"/>
  </si>
  <si>
    <t>비밀번호_오류_횟수</t>
  </si>
  <si>
    <t>ECOBANK_COMTNAUTHORINFO</t>
  </si>
  <si>
    <t>CHAR</t>
    <phoneticPr fontId="19" type="noConversion"/>
  </si>
  <si>
    <t>TIMESTAMP</t>
    <phoneticPr fontId="19" type="noConversion"/>
  </si>
  <si>
    <t>-</t>
    <phoneticPr fontId="19" type="noConversion"/>
  </si>
  <si>
    <t>Y</t>
    <phoneticPr fontId="19" type="noConversion"/>
  </si>
  <si>
    <t>ECOBANK_COMTNEMPLYRSCRTYESTBS</t>
  </si>
  <si>
    <t>ECOBANK_COMVNUSERMASTER</t>
  </si>
  <si>
    <t>TEXT</t>
    <phoneticPr fontId="19" type="noConversion"/>
  </si>
  <si>
    <t>NUMERIC</t>
    <phoneticPr fontId="19" type="noConversion"/>
  </si>
  <si>
    <t>TIMESTAMPZ</t>
    <phoneticPr fontId="19" type="noConversion"/>
  </si>
  <si>
    <t>DATE</t>
    <phoneticPr fontId="19" type="noConversion"/>
  </si>
  <si>
    <t>USER_EMAIL</t>
  </si>
  <si>
    <t>USER_SE</t>
  </si>
  <si>
    <t>USER_STTUS_CODE</t>
  </si>
  <si>
    <t>EMPLYR_ID_BACK</t>
  </si>
  <si>
    <t>RDK_ORGNZT_ID</t>
  </si>
  <si>
    <t>TBL_ECLGY_MMCRY_PTNT_TREND_PHWRD_MNG</t>
    <phoneticPr fontId="19" type="noConversion"/>
  </si>
  <si>
    <t>ECLGY_MMCRY_PTNT_TREND_PHWRD_ID</t>
    <phoneticPr fontId="19" type="noConversion"/>
  </si>
  <si>
    <t>생태_모방_특허_동향_금칙어_아이디</t>
    <phoneticPr fontId="19" type="noConversion"/>
  </si>
  <si>
    <t>생태_모방_특허_동향_금칙어_관리</t>
    <phoneticPr fontId="19" type="noConversion"/>
  </si>
  <si>
    <t>생태_모방_특허_동향_금칙어_명</t>
    <phoneticPr fontId="19" type="noConversion"/>
  </si>
  <si>
    <t>ECLGY_MMCRY_PTNT_TREND_PHWRD_REG_DT</t>
    <phoneticPr fontId="19" type="noConversion"/>
  </si>
  <si>
    <t>생태_모방_특허_동향_금칙어_등록_일시</t>
    <phoneticPr fontId="19" type="noConversion"/>
  </si>
  <si>
    <t>3</t>
    <phoneticPr fontId="19" type="noConversion"/>
  </si>
  <si>
    <t>3자리 이내 문자</t>
    <phoneticPr fontId="19" type="noConversion"/>
  </si>
  <si>
    <t>1</t>
    <phoneticPr fontId="19" type="noConversion"/>
  </si>
  <si>
    <t>DEFAULT 'N'</t>
  </si>
  <si>
    <t>DEFAULT 'N'</t>
    <phoneticPr fontId="19" type="noConversion"/>
  </si>
  <si>
    <t>KCI_ACJRNL_MMCRY_CLSF_CMPTN_YN</t>
  </si>
  <si>
    <t>KCI_논문_분류_점수</t>
  </si>
  <si>
    <t>KCI_THSS_CLSF_SCR</t>
  </si>
  <si>
    <t>TBL_KCI_THSS_CLSF_MPNG</t>
  </si>
  <si>
    <t>KCI_논문_분류_매핑</t>
  </si>
  <si>
    <t>CHAR</t>
    <phoneticPr fontId="19" type="noConversion"/>
  </si>
  <si>
    <t>TIMESTAMP</t>
    <phoneticPr fontId="19" type="noConversion"/>
  </si>
  <si>
    <t>-</t>
    <phoneticPr fontId="19" type="noConversion"/>
  </si>
  <si>
    <t>PK03</t>
    <phoneticPr fontId="19" type="noConversion"/>
  </si>
  <si>
    <t>DEFAULT now()</t>
    <phoneticPr fontId="19" type="noConversion"/>
  </si>
  <si>
    <t>논문_아이디</t>
    <phoneticPr fontId="19" type="noConversion"/>
  </si>
  <si>
    <t>분류_체계_구분_코드</t>
    <phoneticPr fontId="19" type="noConversion"/>
  </si>
  <si>
    <t>분류_체계_아이디</t>
    <phoneticPr fontId="19" type="noConversion"/>
  </si>
  <si>
    <t>20</t>
    <phoneticPr fontId="19" type="noConversion"/>
  </si>
  <si>
    <t>PK02</t>
    <phoneticPr fontId="19" type="noConversion"/>
  </si>
  <si>
    <t>PK04</t>
    <phoneticPr fontId="19" type="noConversion"/>
  </si>
  <si>
    <t>PTNT_INDX_CMPTN_YN</t>
    <phoneticPr fontId="19" type="noConversion"/>
  </si>
  <si>
    <t>특허_색인_완료_여부</t>
    <phoneticPr fontId="19" type="noConversion"/>
  </si>
  <si>
    <t>학술지_색인_완료_여부</t>
    <phoneticPr fontId="19" type="noConversion"/>
  </si>
  <si>
    <t>ECLGY_MMCRY_PTNT_TREND_RLS_YN</t>
    <phoneticPr fontId="19" type="noConversion"/>
  </si>
  <si>
    <t>생태_모방_특허_동향_공개_여부</t>
  </si>
  <si>
    <t>CHAR</t>
    <phoneticPr fontId="19" type="noConversion"/>
  </si>
  <si>
    <t>-</t>
    <phoneticPr fontId="19" type="noConversion"/>
  </si>
  <si>
    <t>DEFAULT 'N'</t>
    <phoneticPr fontId="19" type="noConversion"/>
  </si>
  <si>
    <t>kci_학술지_모방_분류_완료_여부</t>
    <phoneticPr fontId="19" type="noConversion"/>
  </si>
  <si>
    <t>40</t>
    <phoneticPr fontId="19" type="noConversion"/>
  </si>
  <si>
    <t>TASK_ID</t>
    <phoneticPr fontId="19" type="noConversion"/>
  </si>
  <si>
    <t>ECLGY_MMCRY_PTNT_TREND_RLS_YN</t>
  </si>
  <si>
    <t>CPRGT_ID</t>
  </si>
  <si>
    <t>CPRGT_NM</t>
  </si>
  <si>
    <t>TBL_ECLGY_MMCRY_CASE_CPRGT</t>
    <phoneticPr fontId="19" type="noConversion"/>
  </si>
  <si>
    <t>TBL_ECLGY_MMCRY_CASE_CPRGT_MPNG</t>
    <phoneticPr fontId="19" type="noConversion"/>
  </si>
  <si>
    <t>CPRGT_ID</t>
    <phoneticPr fontId="19" type="noConversion"/>
  </si>
  <si>
    <t>CPRGT_NM</t>
    <phoneticPr fontId="19" type="noConversion"/>
  </si>
  <si>
    <t>저작권_아이디</t>
    <phoneticPr fontId="19" type="noConversion"/>
  </si>
  <si>
    <t>저작권_명</t>
    <phoneticPr fontId="19" type="noConversion"/>
  </si>
  <si>
    <t>생태_모방_사례_저작권</t>
    <phoneticPr fontId="19" type="noConversion"/>
  </si>
  <si>
    <t>생태_모방_사례_저작권_매핑</t>
    <phoneticPr fontId="19" type="noConversion"/>
  </si>
  <si>
    <t>KIPRIS_PTNT_ID</t>
    <phoneticPr fontId="19" type="noConversion"/>
  </si>
  <si>
    <t>KCI_THSS_ID</t>
    <phoneticPr fontId="19" type="noConversion"/>
  </si>
  <si>
    <t>KIPRIS_특허_아이디</t>
    <phoneticPr fontId="19" type="noConversion"/>
  </si>
  <si>
    <t>KCI_논문_아이디</t>
    <phoneticPr fontId="19" type="noConversion"/>
  </si>
  <si>
    <t>50</t>
    <phoneticPr fontId="19" type="noConversion"/>
  </si>
  <si>
    <t>개인정보_동의_일</t>
    <phoneticPr fontId="19" type="noConversion"/>
  </si>
  <si>
    <t>비밀번호_변경_일</t>
    <phoneticPr fontId="19" type="noConversion"/>
  </si>
  <si>
    <t>-</t>
    <phoneticPr fontId="19" type="noConversion"/>
  </si>
  <si>
    <t>N</t>
    <phoneticPr fontId="19" type="noConversion"/>
  </si>
  <si>
    <t>Y</t>
    <phoneticPr fontId="19" type="noConversion"/>
  </si>
  <si>
    <t>PK1</t>
    <phoneticPr fontId="19" type="noConversion"/>
  </si>
  <si>
    <t>PK2</t>
    <phoneticPr fontId="19" type="noConversion"/>
  </si>
  <si>
    <t>PK3</t>
    <phoneticPr fontId="19" type="noConversion"/>
  </si>
  <si>
    <t>PK4</t>
    <phoneticPr fontId="19" type="noConversion"/>
  </si>
  <si>
    <r>
      <t>연월일시분초</t>
    </r>
    <r>
      <rPr>
        <sz val="11"/>
        <color theme="1"/>
        <rFont val="맑은 고딕"/>
        <family val="2"/>
        <charset val="129"/>
        <scheme val="minor"/>
      </rPr>
      <t>TS</t>
    </r>
  </si>
  <si>
    <r>
      <rPr>
        <sz val="11"/>
        <rFont val="맑은 고딕"/>
        <family val="3"/>
        <charset val="129"/>
      </rPr>
      <t>내용</t>
    </r>
    <r>
      <rPr>
        <sz val="11"/>
        <rFont val="Calibri"/>
        <family val="2"/>
      </rPr>
      <t>T</t>
    </r>
    <r>
      <rPr>
        <sz val="11"/>
        <color theme="1"/>
        <rFont val="맑은 고딕"/>
        <family val="2"/>
        <charset val="129"/>
        <scheme val="minor"/>
      </rPr>
      <t>XT</t>
    </r>
    <phoneticPr fontId="21" type="noConversion"/>
  </si>
  <si>
    <r>
      <t>명</t>
    </r>
    <r>
      <rPr>
        <sz val="11"/>
        <color theme="1"/>
        <rFont val="맑은 고딕"/>
        <family val="2"/>
        <charset val="129"/>
        <scheme val="minor"/>
      </rPr>
      <t>TXT</t>
    </r>
  </si>
  <si>
    <t>kci_학술지_특허_모방_분류_완료_여부</t>
  </si>
  <si>
    <t>저작권_아이디</t>
  </si>
  <si>
    <t>저작권_명</t>
  </si>
  <si>
    <t>KIPRIS_특허_아이디</t>
  </si>
  <si>
    <t>KIPRIS_PTNT_ID</t>
  </si>
  <si>
    <t>KCI_논문_아이디</t>
  </si>
  <si>
    <t>KCI_THSS_ID</t>
  </si>
  <si>
    <t>KCI_ACJRNL_MMCRY_CLSF_CMPTN_YN</t>
    <phoneticPr fontId="19" type="noConversion"/>
  </si>
  <si>
    <t>bksp.tbl_srwrd_hstry_mng.srwrd_hstry_id</t>
  </si>
  <si>
    <t>bksp.tbl_corln_srwrd_mng.corln_srwrd_id</t>
  </si>
  <si>
    <t>bksp.tbl_corln_kywd_mng.corln_kywd_id</t>
  </si>
  <si>
    <t>bksp.tbl_eclgy_mmcry_knwl_rnk_srwrd_mng.eclgy_mmcry_case_rnk_id</t>
  </si>
  <si>
    <t>bksp.tbl_srvy_bsc.srvy_id</t>
  </si>
  <si>
    <t>public.comtccmmnclcode.code_id</t>
  </si>
  <si>
    <t>public.comtccmmncode.code_id</t>
  </si>
  <si>
    <t>public.comtnfile.atch_file_id</t>
  </si>
  <si>
    <t>public.comtnemplyrinfo.emplyr_id</t>
  </si>
  <si>
    <t>public.comtnauthorinfo.author_code</t>
  </si>
  <si>
    <t>public.comtnroleinfo.role_code</t>
  </si>
  <si>
    <t>public.comtnorgnztinfo.orgnzt_id</t>
  </si>
  <si>
    <t>public.comtnauthorgroupinfo.group_id</t>
  </si>
  <si>
    <t>public.comtnmenuinfo.menu_no</t>
  </si>
  <si>
    <t>public.comtnprogrmlist.progrm_file_nm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</si>
</sst>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.0"/>
    <numFmt numFmtId="177" formatCode="#,##0.000"/>
    <numFmt numFmtId="178" formatCode="&quot;₩&quot;\!\$#\!\,##0_);[Red]&quot;₩&quot;\!\(&quot;₩&quot;\!\$#\!\,##0&quot;₩&quot;\!\)"/>
    <numFmt numFmtId="179" formatCode="0\!.0000000000000000"/>
    <numFmt numFmtId="180" formatCode="&quot;$&quot;#\!\,##0\!.00_);[Red]&quot;₩&quot;\!\(&quot;$&quot;#\!\,##0\!.00&quot;₩&quot;\!\)"/>
    <numFmt numFmtId="181" formatCode="&quot;(&quot;###.00&quot;)&quot;"/>
    <numFmt numFmtId="182" formatCode="[Red]\+#;[Red]\-#;[Red]0"/>
    <numFmt numFmtId="183" formatCode="#,##0;[Red]&quot;△&quot;#,##0"/>
    <numFmt numFmtId="184" formatCode="#,##0_ ;[Red]&quot;△&quot;#,##0\ "/>
    <numFmt numFmtId="185" formatCode="#."/>
    <numFmt numFmtId="186" formatCode="_(&quot;$&quot;* #,##0_);_(&quot;$&quot;* \(#,##0\);_(&quot;$&quot;* &quot;-&quot;_);_(@_)"/>
    <numFmt numFmtId="187" formatCode="_-* #,##0.0_-;&quot;₩&quot;\!\-* #,##0.0_-;_-* &quot;-&quot;_-;_-@_-"/>
    <numFmt numFmtId="188" formatCode="#,##0_);[Red]\(#,##0\)"/>
    <numFmt numFmtId="189" formatCode="_ * #,##0_ ;_ * \-#,##0_ ;_ * &quot;-&quot;_ ;_ @_ "/>
    <numFmt numFmtId="190" formatCode="&quot;$&quot;#,##0.00_);\(&quot;$&quot;#,##0.00\)"/>
    <numFmt numFmtId="191" formatCode="_ &quot;₩&quot;* #,##0_ ;_ &quot;₩&quot;* \-#,##0_ ;_ &quot;₩&quot;* &quot;-&quot;_ ;_ @_ "/>
    <numFmt numFmtId="192" formatCode="_ &quot;₩&quot;* #,##0.00_ ;_ &quot;₩&quot;* \-#,##0.00_ ;_ &quot;₩&quot;* &quot;-&quot;??_ ;_ @_ "/>
    <numFmt numFmtId="193" formatCode="_(* #,##0_);_(* \(#,##0\);_(* &quot;-&quot;_);_(@_)"/>
    <numFmt numFmtId="194" formatCode="_ * #,##0.00_ ;_ * \-#,##0.00_ ;_ * &quot;-&quot;??_ ;_ @_ "/>
    <numFmt numFmtId="195" formatCode="_-* #,##0&quot;₩&quot;\ _D_M_-;&quot;₩&quot;\-* #,##0&quot;₩&quot;\ _D_M_-;_-* &quot;-&quot;&quot;₩&quot;\ _D_M_-;_-@_-"/>
    <numFmt numFmtId="196" formatCode="* #,##0.0"/>
    <numFmt numFmtId="197" formatCode="#,##0.00000"/>
    <numFmt numFmtId="198" formatCode="_ * #,##0_ ;_ * &quot;₩&quot;\-#,##0_ ;_ * &quot;-&quot;??_ ;_ @_ "/>
    <numFmt numFmtId="199" formatCode="0.0%;[Red]&quot;△&quot;0.0%"/>
    <numFmt numFmtId="200" formatCode="0.00000000"/>
    <numFmt numFmtId="201" formatCode="&quot;₩&quot;#,##0.00;[Red]&quot;₩&quot;&quot;₩&quot;&quot;₩&quot;&quot;₩&quot;&quot;₩&quot;&quot;₩&quot;&quot;₩&quot;&quot;₩&quot;&quot;₩&quot;&quot;₩&quot;&quot;₩&quot;\-&quot;₩&quot;#,##0.00"/>
    <numFmt numFmtId="202" formatCode="0.000&quot;  &quot;"/>
    <numFmt numFmtId="203" formatCode="#,##0."/>
    <numFmt numFmtId="204" formatCode="_ * #,##0_ ;_ * &quot;₩&quot;&quot;₩&quot;&quot;₩&quot;\-#,##0_ ;_ * &quot;-&quot;_ ;_ @_ "/>
    <numFmt numFmtId="205" formatCode="####"/>
    <numFmt numFmtId="206" formatCode="&quot;$&quot;#,##0_);[Red]\(&quot;$&quot;#,##0\)"/>
    <numFmt numFmtId="207" formatCode="0.00000"/>
    <numFmt numFmtId="208" formatCode="_(&quot;$&quot;* #,##0.00_);_(&quot;$&quot;* \(#,##0.00\);_(&quot;$&quot;* &quot;-&quot;??_);_(@_)"/>
    <numFmt numFmtId="209" formatCode="&quot;₩&quot;#,##0.00;&quot;₩&quot;\-#,##0.00"/>
    <numFmt numFmtId="210" formatCode="\$#."/>
    <numFmt numFmtId="211" formatCode="&quot;₩&quot;#,##0;[Red]&quot;₩&quot;&quot;₩&quot;&quot;₩&quot;&quot;₩&quot;&quot;₩&quot;&quot;₩&quot;&quot;₩&quot;&quot;₩&quot;&quot;₩&quot;\-&quot;₩&quot;#,##0"/>
    <numFmt numFmtId="212" formatCode="&quot;₩&quot;#,##0.00;&quot;₩&quot;&quot;₩&quot;&quot;₩&quot;\-#,##0.00"/>
    <numFmt numFmtId="213" formatCode="\,##"/>
    <numFmt numFmtId="214" formatCode="&quot;$&quot;#,##0;[Red]\-&quot;$&quot;#,##0"/>
    <numFmt numFmtId="215" formatCode="_-&quot;₩&quot;* #,##0_-;&quot;₩&quot;&quot;₩&quot;&quot;₩&quot;&quot;₩&quot;&quot;₩&quot;&quot;₩&quot;&quot;₩&quot;&quot;₩&quot;&quot;₩&quot;\-&quot;₩&quot;* #,##0_-;_-&quot;₩&quot;* &quot;-&quot;_-;_-@_-"/>
    <numFmt numFmtId="216" formatCode="_ &quot;₩&quot;* #,##0_ ;_ &quot;₩&quot;* &quot;₩&quot;&quot;₩&quot;\-#,##0_ ;_ &quot;₩&quot;* &quot;-&quot;_ ;_ @_ "/>
    <numFmt numFmtId="217" formatCode="#.00"/>
    <numFmt numFmtId="218" formatCode="0.00000%"/>
    <numFmt numFmtId="219" formatCode="_-* #,##0.0_-;\-* #,##0.0_-;_-* &quot;-&quot;??_-;_-@_-"/>
    <numFmt numFmtId="220" formatCode="##"/>
    <numFmt numFmtId="221" formatCode="&quot;₩&quot;#,##0;[Red]&quot;₩&quot;\-#,##0"/>
    <numFmt numFmtId="222" formatCode="#,##0.0000;[Red]\-#,##0.0000"/>
    <numFmt numFmtId="223" formatCode="###,###,"/>
    <numFmt numFmtId="224" formatCode="#,##0_ "/>
    <numFmt numFmtId="225" formatCode="#,##0&quot; F&quot;_);[Red]\(#,##0&quot; F&quot;\)"/>
    <numFmt numFmtId="226" formatCode="#,##0.00&quot; F&quot;_);\(#,##0.00&quot; F&quot;\)"/>
    <numFmt numFmtId="227" formatCode="_-* #,##0.00_-;&quot;₩&quot;&quot;₩&quot;&quot;₩&quot;&quot;₩&quot;&quot;₩&quot;\-* #,##0.00_-;_-* &quot;-&quot;??_-;_-@_-"/>
    <numFmt numFmtId="228" formatCode="_-* #,##0\ _F_-;\-* #,##0\ _F_-;_-* &quot;-&quot;\ _F_-;_-@_-"/>
    <numFmt numFmtId="229" formatCode="###"/>
    <numFmt numFmtId="230" formatCode="&quot;₩&quot;#,##0;&quot;₩&quot;\-#,##0"/>
    <numFmt numFmtId="231" formatCode="_ &quot;₩&quot;* #,##0.0000000_ ;_ &quot;₩&quot;* &quot;₩&quot;\-#,##0.0000000_ ;_ &quot;₩&quot;* &quot;-&quot;??_ ;_ @_ "/>
    <numFmt numFmtId="232" formatCode="&quot;₩&quot;#,##0.00;[Red]&quot;₩&quot;\-#,##0.00"/>
    <numFmt numFmtId="233" formatCode="0.00_)"/>
    <numFmt numFmtId="234" formatCode="_ * #,##0.000000_ ;_ * &quot;₩&quot;\-#,##0.000000_ ;_ * &quot;-&quot;??_ ;_ @_ "/>
    <numFmt numFmtId="235" formatCode="#,##0\ &quot;DM&quot;;[Red]\-#,##0\ &quot;DM&quot;"/>
    <numFmt numFmtId="236" formatCode="#,##0.00\ &quot;DM&quot;;[Red]\-#,##0.00\ &quot;DM&quot;"/>
    <numFmt numFmtId="237" formatCode="_(&quot;฿&quot;* #,##0_);_(&quot;฿&quot;* \(#,##0\);_(&quot;฿&quot;* &quot;-&quot;_);_(@_)"/>
    <numFmt numFmtId="238" formatCode="_(&quot;฿&quot;* #,##0.00_);_(&quot;฿&quot;* \(#,##0.00\);_(&quot;฿&quot;* &quot;-&quot;??_);_(@_)"/>
    <numFmt numFmtId="239" formatCode="&quot;₩&quot;#,##0;&quot;₩&quot;&quot;₩&quot;&quot;₩&quot;&quot;₩&quot;&quot;₩&quot;&quot;₩&quot;\!\!\-#,##0"/>
    <numFmt numFmtId="240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241" formatCode="0.00%;[Red]&quot;△&quot;0.00%"/>
    <numFmt numFmtId="242" formatCode="#,##0;[Red]&quot;-&quot;#,##0"/>
    <numFmt numFmtId="243" formatCode="#,###&quot;원&quot;"/>
    <numFmt numFmtId="244" formatCode="#\!\,##0;&quot;₩&quot;\!\-#\!\,##0\!.00"/>
    <numFmt numFmtId="245" formatCode="#,##0;\-#,##0.00"/>
    <numFmt numFmtId="246" formatCode="#,##0;&quot;-&quot;#,##0"/>
    <numFmt numFmtId="247" formatCode="&quot;₩&quot;#,##0;[Red]&quot;₩&quot;&quot;₩&quot;&quot;₩&quot;&quot;₩&quot;&quot;₩&quot;&quot;₩&quot;\!\!\-#,##0"/>
    <numFmt numFmtId="248" formatCode="#,##0_-;\-#,##0_-;0_-"/>
    <numFmt numFmtId="249" formatCode="#,##0.00_ "/>
    <numFmt numFmtId="250" formatCode="#,##0.0_);[Red]\(#,##0.0\)"/>
    <numFmt numFmtId="251" formatCode="\+#,##0_-;\-#,##0_-;0_-"/>
    <numFmt numFmtId="252" formatCode="&quot;(&quot;#,##0&quot;)&quot;;&quot;(&quot;\-#,##0&quot;)&quot;;&quot;(&quot;0&quot;)&quot;"/>
    <numFmt numFmtId="253" formatCode="&quot;(&quot;\+#,##0&quot;)&quot;;&quot;(&quot;\-#,##0&quot;)&quot;;&quot;(&quot;0&quot;)&quot;"/>
    <numFmt numFmtId="254" formatCode="#,##0&quot; &quot;;[Red]&quot;△&quot;#,##0&quot; &quot;"/>
    <numFmt numFmtId="255" formatCode="* #,##0&quot; &quot;;[Red]* &quot;△&quot;#,##0&quot; &quot;;* @"/>
    <numFmt numFmtId="256" formatCode="#,##0.####;[Red]&quot;△&quot;#,##0.####"/>
    <numFmt numFmtId="257" formatCode="#,##0.00##;[Red]&quot;△&quot;#,##0.00##"/>
    <numFmt numFmtId="258" formatCode="_-* #,##0.00_-;&quot;₩&quot;&quot;₩&quot;&quot;₩&quot;&quot;₩&quot;\!\!\-* #,##0.00_-;_-* &quot;-&quot;??_-;_-@_-"/>
    <numFmt numFmtId="259" formatCode="_-* #,##0.0_-;\-* #,##0.0_-;_-* &quot;-&quot;_-;_-@_-"/>
    <numFmt numFmtId="260" formatCode="_-&quot;$&quot;* #,##0_-;\-&quot;$&quot;* #,##0_-;_-&quot;$&quot;* &quot;-&quot;_-;_-@_-"/>
    <numFmt numFmtId="261" formatCode="&quot;₩&quot;#,##0.00\ ;\(&quot;₩&quot;#,##0.00\)"/>
    <numFmt numFmtId="262" formatCode="_-&quot;₩&quot;* #,##0.00_-;&quot;₩&quot;&quot;₩&quot;&quot;₩&quot;&quot;₩&quot;\!\!\-&quot;₩&quot;* #,##0.00_-;_-&quot;₩&quot;* &quot;-&quot;??_-;_-@_-"/>
    <numFmt numFmtId="263" formatCode="&quot;₩&quot;#,##0.00;&quot;₩&quot;&quot;₩&quot;&quot;₩&quot;&quot;₩&quot;&quot;₩&quot;&quot;₩&quot;\!\!\-#,##0.00"/>
  </numFmts>
  <fonts count="15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name val="Arial"/>
      <family val="2"/>
    </font>
    <font>
      <sz val="12"/>
      <name val="¹????¼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"/>
      <color indexed="8"/>
      <name val="Courier"/>
      <family val="3"/>
    </font>
    <font>
      <sz val="10"/>
      <name val="돋움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굴림체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1"/>
      <name val="바탕"/>
      <family val="1"/>
      <charset val="129"/>
    </font>
    <font>
      <sz val="12"/>
      <name val="System"/>
      <family val="2"/>
      <charset val="129"/>
    </font>
    <font>
      <sz val="12"/>
      <name val="Tms Rmn"/>
      <family val="1"/>
    </font>
    <font>
      <sz val="8"/>
      <name val="¹UAAA¼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??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0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0"/>
      <name val="Geneva"/>
      <family val="2"/>
    </font>
    <font>
      <u/>
      <sz val="10"/>
      <color indexed="36"/>
      <name val="Arial"/>
      <family val="2"/>
    </font>
    <font>
      <sz val="14"/>
      <name val="AngsanaUPC"/>
      <family val="1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굃굍 굊긕긘긞긏"/>
      <family val="1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color indexed="8"/>
      <name val="굴림"/>
      <family val="3"/>
      <charset val="129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b/>
      <sz val="10"/>
      <color indexed="63"/>
      <name val="Arial"/>
      <family val="2"/>
    </font>
    <font>
      <b/>
      <sz val="10"/>
      <color indexed="63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Calibri"/>
      <family val="2"/>
    </font>
  </fonts>
  <fills count="7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65"/>
        <bgColor indexed="64"/>
      </patternFill>
    </fill>
    <fill>
      <patternFill patternType="solid">
        <fgColor indexed="5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7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1">
      <alignment horizontal="center"/>
    </xf>
    <xf numFmtId="0" fontId="24" fillId="0" borderId="11">
      <alignment horizontal="center"/>
    </xf>
    <xf numFmtId="0" fontId="24" fillId="0" borderId="11">
      <alignment horizontal="center"/>
    </xf>
    <xf numFmtId="0" fontId="24" fillId="0" borderId="11">
      <alignment horizontal="center"/>
    </xf>
    <xf numFmtId="0" fontId="24" fillId="0" borderId="11">
      <alignment horizontal="center"/>
    </xf>
    <xf numFmtId="0" fontId="24" fillId="0" borderId="11">
      <alignment horizontal="center"/>
    </xf>
    <xf numFmtId="0" fontId="24" fillId="0" borderId="11">
      <alignment horizontal="center"/>
    </xf>
    <xf numFmtId="0" fontId="24" fillId="0" borderId="11">
      <alignment horizontal="center"/>
    </xf>
    <xf numFmtId="0" fontId="25" fillId="0" borderId="12">
      <alignment horizontal="centerContinuous" vertical="center"/>
    </xf>
    <xf numFmtId="3" fontId="26" fillId="0" borderId="0">
      <alignment vertical="center"/>
    </xf>
    <xf numFmtId="176" fontId="26" fillId="0" borderId="0">
      <alignment vertical="center"/>
    </xf>
    <xf numFmtId="4" fontId="26" fillId="0" borderId="0">
      <alignment vertical="center"/>
    </xf>
    <xf numFmtId="177" fontId="26" fillId="0" borderId="0">
      <alignment vertical="center"/>
    </xf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9" fontId="20" fillId="0" borderId="0" applyNumberFormat="0" applyFont="0" applyFill="0" applyBorder="0" applyAlignment="0" applyProtection="0"/>
    <xf numFmtId="179" fontId="20" fillId="0" borderId="0" applyNumberFormat="0" applyFont="0" applyFill="0" applyBorder="0" applyAlignment="0" applyProtection="0"/>
    <xf numFmtId="179" fontId="20" fillId="0" borderId="0" applyNumberFormat="0" applyFont="0" applyFill="0" applyBorder="0" applyAlignment="0" applyProtection="0"/>
    <xf numFmtId="179" fontId="20" fillId="0" borderId="0" applyNumberFormat="0" applyFont="0" applyFill="0" applyBorder="0" applyAlignment="0" applyProtection="0"/>
    <xf numFmtId="179" fontId="20" fillId="0" borderId="0" applyNumberFormat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80" fontId="20" fillId="0" borderId="0" applyNumberFormat="0" applyFont="0" applyFill="0" applyBorder="0" applyAlignment="0" applyProtection="0"/>
    <xf numFmtId="180" fontId="20" fillId="0" borderId="0" applyNumberFormat="0" applyFont="0" applyFill="0" applyBorder="0" applyAlignment="0" applyProtection="0"/>
    <xf numFmtId="180" fontId="20" fillId="0" borderId="0" applyNumberFormat="0" applyFont="0" applyFill="0" applyBorder="0" applyAlignment="0" applyProtection="0"/>
    <xf numFmtId="180" fontId="20" fillId="0" borderId="0" applyNumberFormat="0" applyFont="0" applyFill="0" applyBorder="0" applyAlignment="0" applyProtection="0"/>
    <xf numFmtId="180" fontId="20" fillId="0" borderId="0" applyNumberFormat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0" fillId="0" borderId="0" applyNumberFormat="0" applyFont="0" applyFill="0" applyBorder="0" applyAlignment="0" applyProtection="0"/>
    <xf numFmtId="179" fontId="20" fillId="0" borderId="0" applyNumberFormat="0" applyFont="0" applyFill="0" applyBorder="0" applyAlignment="0" applyProtection="0"/>
    <xf numFmtId="179" fontId="20" fillId="0" borderId="0" applyNumberFormat="0" applyFont="0" applyFill="0" applyBorder="0" applyAlignment="0" applyProtection="0"/>
    <xf numFmtId="179" fontId="20" fillId="0" borderId="0" applyNumberFormat="0" applyFont="0" applyFill="0" applyBorder="0" applyAlignment="0" applyProtection="0"/>
    <xf numFmtId="179" fontId="20" fillId="0" borderId="0" applyNumberFormat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80" fontId="20" fillId="0" borderId="0" applyNumberFormat="0" applyFont="0" applyFill="0" applyBorder="0" applyAlignment="0" applyProtection="0"/>
    <xf numFmtId="180" fontId="20" fillId="0" borderId="0" applyNumberFormat="0" applyFont="0" applyFill="0" applyBorder="0" applyAlignment="0" applyProtection="0"/>
    <xf numFmtId="180" fontId="20" fillId="0" borderId="0" applyNumberFormat="0" applyFont="0" applyFill="0" applyBorder="0" applyAlignment="0" applyProtection="0"/>
    <xf numFmtId="180" fontId="20" fillId="0" borderId="0" applyNumberFormat="0" applyFont="0" applyFill="0" applyBorder="0" applyAlignment="0" applyProtection="0"/>
    <xf numFmtId="180" fontId="20" fillId="0" borderId="0" applyNumberFormat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24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1" fontId="27" fillId="0" borderId="0" applyFont="0" applyFill="0" applyBorder="0" applyAlignment="0" applyProtection="0">
      <alignment vertical="center"/>
    </xf>
    <xf numFmtId="38" fontId="26" fillId="0" borderId="13">
      <alignment horizontal="right"/>
    </xf>
    <xf numFmtId="0" fontId="26" fillId="0" borderId="0"/>
    <xf numFmtId="0" fontId="26" fillId="0" borderId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/>
    <xf numFmtId="0" fontId="28" fillId="0" borderId="0" applyNumberFormat="0" applyFill="0" applyBorder="0" applyAlignment="0" applyProtection="0"/>
    <xf numFmtId="0" fontId="30" fillId="0" borderId="14">
      <alignment vertical="center"/>
    </xf>
    <xf numFmtId="0" fontId="30" fillId="0" borderId="14">
      <alignment vertical="center"/>
    </xf>
    <xf numFmtId="0" fontId="20" fillId="0" borderId="14">
      <alignment vertical="center"/>
    </xf>
    <xf numFmtId="0" fontId="20" fillId="0" borderId="14">
      <alignment vertical="center"/>
    </xf>
    <xf numFmtId="0" fontId="20" fillId="0" borderId="14">
      <alignment vertical="center"/>
    </xf>
    <xf numFmtId="0" fontId="20" fillId="0" borderId="14">
      <alignment vertical="center"/>
    </xf>
    <xf numFmtId="0" fontId="20" fillId="0" borderId="14">
      <alignment vertical="center"/>
    </xf>
    <xf numFmtId="0" fontId="31" fillId="0" borderId="0"/>
    <xf numFmtId="0" fontId="26" fillId="0" borderId="0"/>
    <xf numFmtId="0" fontId="28" fillId="0" borderId="0"/>
    <xf numFmtId="0" fontId="26" fillId="0" borderId="0"/>
    <xf numFmtId="0" fontId="32" fillId="0" borderId="0"/>
    <xf numFmtId="0" fontId="28" fillId="0" borderId="0"/>
    <xf numFmtId="0" fontId="26" fillId="0" borderId="0"/>
    <xf numFmtId="0" fontId="32" fillId="0" borderId="0"/>
    <xf numFmtId="0" fontId="28" fillId="0" borderId="0"/>
    <xf numFmtId="0" fontId="32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6" fillId="0" borderId="0"/>
    <xf numFmtId="0" fontId="26" fillId="0" borderId="0"/>
    <xf numFmtId="0" fontId="32" fillId="0" borderId="0"/>
    <xf numFmtId="0" fontId="31" fillId="0" borderId="0" applyFont="0" applyFill="0" applyBorder="0" applyAlignment="0" applyProtection="0"/>
    <xf numFmtId="0" fontId="26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6" fillId="0" borderId="0"/>
    <xf numFmtId="0" fontId="32" fillId="0" borderId="0"/>
    <xf numFmtId="0" fontId="28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6" fillId="0" borderId="0"/>
    <xf numFmtId="0" fontId="28" fillId="0" borderId="0"/>
    <xf numFmtId="0" fontId="28" fillId="0" borderId="0"/>
    <xf numFmtId="0" fontId="26" fillId="0" borderId="0"/>
    <xf numFmtId="0" fontId="32" fillId="0" borderId="0"/>
    <xf numFmtId="0" fontId="32" fillId="0" borderId="0"/>
    <xf numFmtId="0" fontId="26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32" fillId="0" borderId="0"/>
    <xf numFmtId="0" fontId="28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32" fillId="0" borderId="0"/>
    <xf numFmtId="0" fontId="28" fillId="0" borderId="0"/>
    <xf numFmtId="0" fontId="32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8" fillId="0" borderId="0"/>
    <xf numFmtId="0" fontId="32" fillId="0" borderId="0"/>
    <xf numFmtId="0" fontId="26" fillId="0" borderId="0"/>
    <xf numFmtId="0" fontId="2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32" fillId="0" borderId="0"/>
    <xf numFmtId="0" fontId="26" fillId="0" borderId="0"/>
    <xf numFmtId="0" fontId="32" fillId="0" borderId="0"/>
    <xf numFmtId="0" fontId="28" fillId="0" borderId="0"/>
    <xf numFmtId="0" fontId="28" fillId="0" borderId="0"/>
    <xf numFmtId="0" fontId="32" fillId="0" borderId="0"/>
    <xf numFmtId="0" fontId="26" fillId="0" borderId="0"/>
    <xf numFmtId="0" fontId="26" fillId="0" borderId="0"/>
    <xf numFmtId="0" fontId="28" fillId="0" borderId="0"/>
    <xf numFmtId="0" fontId="26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32" fillId="0" borderId="0"/>
    <xf numFmtId="0" fontId="28" fillId="0" borderId="0"/>
    <xf numFmtId="0" fontId="26" fillId="0" borderId="0"/>
    <xf numFmtId="0" fontId="32" fillId="0" borderId="0"/>
    <xf numFmtId="0" fontId="31" fillId="0" borderId="0" applyFont="0" applyFill="0" applyBorder="0" applyAlignment="0" applyProtection="0"/>
    <xf numFmtId="0" fontId="26" fillId="0" borderId="0"/>
    <xf numFmtId="0" fontId="3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28" fillId="0" borderId="0"/>
    <xf numFmtId="0" fontId="28" fillId="0" borderId="0"/>
    <xf numFmtId="0" fontId="26" fillId="0" borderId="0"/>
    <xf numFmtId="0" fontId="26" fillId="0" borderId="0"/>
    <xf numFmtId="0" fontId="32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28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28" fillId="0" borderId="0"/>
    <xf numFmtId="0" fontId="28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32" fillId="0" borderId="0"/>
    <xf numFmtId="0" fontId="28" fillId="0" borderId="0"/>
    <xf numFmtId="0" fontId="26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28" fillId="0" borderId="0"/>
    <xf numFmtId="0" fontId="26" fillId="0" borderId="0"/>
    <xf numFmtId="0" fontId="28" fillId="0" borderId="0"/>
    <xf numFmtId="0" fontId="28" fillId="0" borderId="0"/>
    <xf numFmtId="0" fontId="26" fillId="0" borderId="0"/>
    <xf numFmtId="0" fontId="31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8" fillId="0" borderId="0"/>
    <xf numFmtId="0" fontId="28" fillId="0" borderId="0"/>
    <xf numFmtId="0" fontId="32" fillId="0" borderId="0"/>
    <xf numFmtId="0" fontId="31" fillId="0" borderId="0" applyFont="0" applyFill="0" applyBorder="0" applyAlignment="0" applyProtection="0"/>
    <xf numFmtId="0" fontId="26" fillId="0" borderId="0"/>
    <xf numFmtId="0" fontId="28" fillId="0" borderId="0"/>
    <xf numFmtId="0" fontId="28" fillId="0" borderId="0"/>
    <xf numFmtId="0" fontId="26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6" fillId="0" borderId="0"/>
    <xf numFmtId="0" fontId="32" fillId="0" borderId="0"/>
    <xf numFmtId="0" fontId="28" fillId="0" borderId="0"/>
    <xf numFmtId="0" fontId="26" fillId="0" borderId="0"/>
    <xf numFmtId="0" fontId="31" fillId="0" borderId="0" applyFont="0" applyFill="0" applyBorder="0" applyAlignment="0" applyProtection="0"/>
    <xf numFmtId="0" fontId="26" fillId="0" borderId="0"/>
    <xf numFmtId="0" fontId="32" fillId="0" borderId="0"/>
    <xf numFmtId="0" fontId="26" fillId="0" borderId="0"/>
    <xf numFmtId="0" fontId="26" fillId="0" borderId="0"/>
    <xf numFmtId="0" fontId="31" fillId="0" borderId="0" applyFont="0" applyFill="0" applyBorder="0" applyAlignment="0" applyProtection="0"/>
    <xf numFmtId="0" fontId="32" fillId="0" borderId="0"/>
    <xf numFmtId="0" fontId="26" fillId="0" borderId="0"/>
    <xf numFmtId="0" fontId="31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3" fillId="0" borderId="0"/>
    <xf numFmtId="182" fontId="27" fillId="0" borderId="0" applyFont="0" applyFill="0" applyBorder="0" applyProtection="0">
      <alignment vertical="center"/>
    </xf>
    <xf numFmtId="9" fontId="28" fillId="35" borderId="0"/>
    <xf numFmtId="183" fontId="27" fillId="0" borderId="0">
      <alignment vertical="center"/>
    </xf>
    <xf numFmtId="184" fontId="27" fillId="0" borderId="0" applyFont="0" applyFill="0" applyBorder="0" applyAlignment="0" applyProtection="0">
      <alignment vertical="center"/>
    </xf>
    <xf numFmtId="185" fontId="34" fillId="0" borderId="0">
      <protection locked="0"/>
    </xf>
    <xf numFmtId="1" fontId="25" fillId="0" borderId="15">
      <alignment horizontal="center" vertical="center"/>
    </xf>
    <xf numFmtId="9" fontId="25" fillId="0" borderId="0">
      <alignment vertical="center"/>
    </xf>
    <xf numFmtId="186" fontId="28" fillId="0" borderId="0" applyFont="0" applyFill="0" applyBorder="0" applyAlignment="0" applyProtection="0"/>
    <xf numFmtId="0" fontId="25" fillId="0" borderId="0">
      <alignment vertical="center"/>
    </xf>
    <xf numFmtId="10" fontId="25" fillId="0" borderId="0">
      <alignment vertical="center"/>
    </xf>
    <xf numFmtId="0" fontId="25" fillId="0" borderId="0">
      <alignment vertical="center"/>
    </xf>
    <xf numFmtId="187" fontId="20" fillId="0" borderId="0">
      <alignment vertical="center"/>
    </xf>
    <xf numFmtId="187" fontId="20" fillId="0" borderId="0">
      <alignment vertical="center"/>
    </xf>
    <xf numFmtId="187" fontId="20" fillId="0" borderId="0">
      <alignment vertical="center"/>
    </xf>
    <xf numFmtId="187" fontId="20" fillId="0" borderId="0">
      <alignment vertical="center"/>
    </xf>
    <xf numFmtId="187" fontId="20" fillId="0" borderId="0">
      <alignment vertical="center"/>
    </xf>
    <xf numFmtId="0" fontId="30" fillId="0" borderId="0">
      <alignment horizontal="center" vertical="center"/>
    </xf>
    <xf numFmtId="0" fontId="24" fillId="0" borderId="16"/>
    <xf numFmtId="188" fontId="35" fillId="0" borderId="0" applyNumberFormat="0">
      <alignment vertical="center"/>
    </xf>
    <xf numFmtId="4" fontId="36" fillId="0" borderId="17">
      <alignment vertical="center"/>
    </xf>
    <xf numFmtId="0" fontId="28" fillId="0" borderId="0" applyNumberFormat="0" applyFill="0" applyBorder="0" applyAlignment="0" applyProtection="0"/>
    <xf numFmtId="189" fontId="37" fillId="0" borderId="0" applyFont="0" applyFill="0" applyBorder="0" applyAlignment="0" applyProtection="0"/>
    <xf numFmtId="189" fontId="37" fillId="0" borderId="0" applyFont="0" applyFill="0" applyBorder="0" applyAlignment="0" applyProtection="0"/>
    <xf numFmtId="0" fontId="26" fillId="0" borderId="0"/>
    <xf numFmtId="0" fontId="22" fillId="10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9" fontId="26" fillId="0" borderId="0">
      <protection locked="0"/>
    </xf>
    <xf numFmtId="0" fontId="39" fillId="49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6" fillId="0" borderId="0"/>
    <xf numFmtId="0" fontId="41" fillId="0" borderId="0"/>
    <xf numFmtId="0" fontId="42" fillId="0" borderId="18">
      <alignment horizontal="center" vertical="center"/>
    </xf>
    <xf numFmtId="0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3" fontId="25" fillId="0" borderId="0"/>
    <xf numFmtId="190" fontId="45" fillId="53" borderId="19">
      <alignment horizontal="center" vertical="center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46" fillId="0" borderId="0" applyFont="0" applyFill="0" applyBorder="0" applyAlignment="0" applyProtection="0"/>
    <xf numFmtId="191" fontId="47" fillId="0" borderId="0" applyFont="0" applyFill="0" applyBorder="0" applyAlignment="0" applyProtection="0"/>
    <xf numFmtId="191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34" fillId="0" borderId="0">
      <protection locked="0"/>
    </xf>
    <xf numFmtId="0" fontId="46" fillId="0" borderId="0" applyFont="0" applyFill="0" applyBorder="0" applyAlignment="0" applyProtection="0"/>
    <xf numFmtId="192" fontId="47" fillId="0" borderId="0" applyFont="0" applyFill="0" applyBorder="0" applyAlignment="0" applyProtection="0"/>
    <xf numFmtId="19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4" fillId="0" borderId="0"/>
    <xf numFmtId="0" fontId="46" fillId="0" borderId="0" applyFont="0" applyFill="0" applyBorder="0" applyAlignment="0" applyProtection="0"/>
    <xf numFmtId="189" fontId="47" fillId="0" borderId="0" applyFont="0" applyFill="0" applyBorder="0" applyAlignment="0" applyProtection="0"/>
    <xf numFmtId="189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193" fontId="3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6" fillId="0" borderId="0" applyFont="0" applyFill="0" applyBorder="0" applyAlignment="0" applyProtection="0"/>
    <xf numFmtId="194" fontId="47" fillId="0" borderId="0" applyFont="0" applyFill="0" applyBorder="0" applyAlignment="0" applyProtection="0"/>
    <xf numFmtId="194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9" fillId="0" borderId="0"/>
    <xf numFmtId="0" fontId="28" fillId="0" borderId="0"/>
    <xf numFmtId="0" fontId="28" fillId="0" borderId="0"/>
    <xf numFmtId="0" fontId="50" fillId="0" borderId="0" applyNumberFormat="0" applyFill="0" applyBorder="0" applyAlignment="0" applyProtection="0"/>
    <xf numFmtId="0" fontId="49" fillId="0" borderId="0"/>
    <xf numFmtId="0" fontId="49" fillId="0" borderId="0"/>
    <xf numFmtId="0" fontId="51" fillId="0" borderId="0"/>
    <xf numFmtId="0" fontId="46" fillId="0" borderId="0"/>
    <xf numFmtId="0" fontId="47" fillId="0" borderId="0"/>
    <xf numFmtId="0" fontId="49" fillId="0" borderId="0"/>
    <xf numFmtId="0" fontId="49" fillId="0" borderId="0"/>
    <xf numFmtId="0" fontId="52" fillId="0" borderId="0"/>
    <xf numFmtId="0" fontId="47" fillId="0" borderId="0"/>
    <xf numFmtId="0" fontId="46" fillId="0" borderId="0"/>
    <xf numFmtId="0" fontId="47" fillId="0" borderId="0"/>
    <xf numFmtId="0" fontId="46" fillId="0" borderId="0"/>
    <xf numFmtId="0" fontId="47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6" fontId="20" fillId="0" borderId="0" applyFill="0" applyBorder="0" applyAlignment="0"/>
    <xf numFmtId="196" fontId="20" fillId="0" borderId="0" applyFill="0" applyBorder="0" applyAlignment="0"/>
    <xf numFmtId="196" fontId="20" fillId="0" borderId="0" applyFill="0" applyBorder="0" applyAlignment="0"/>
    <xf numFmtId="196" fontId="20" fillId="0" borderId="0" applyFill="0" applyBorder="0" applyAlignment="0"/>
    <xf numFmtId="196" fontId="20" fillId="0" borderId="0" applyFill="0" applyBorder="0" applyAlignment="0"/>
    <xf numFmtId="197" fontId="20" fillId="0" borderId="0" applyFill="0" applyBorder="0" applyAlignment="0"/>
    <xf numFmtId="197" fontId="20" fillId="0" borderId="0" applyFill="0" applyBorder="0" applyAlignment="0"/>
    <xf numFmtId="197" fontId="20" fillId="0" borderId="0" applyFill="0" applyBorder="0" applyAlignment="0"/>
    <xf numFmtId="197" fontId="20" fillId="0" borderId="0" applyFill="0" applyBorder="0" applyAlignment="0"/>
    <xf numFmtId="197" fontId="20" fillId="0" borderId="0" applyFill="0" applyBorder="0" applyAlignment="0"/>
    <xf numFmtId="198" fontId="20" fillId="0" borderId="0" applyFill="0" applyBorder="0" applyAlignment="0"/>
    <xf numFmtId="198" fontId="20" fillId="0" borderId="0" applyFill="0" applyBorder="0" applyAlignment="0"/>
    <xf numFmtId="198" fontId="20" fillId="0" borderId="0" applyFill="0" applyBorder="0" applyAlignment="0"/>
    <xf numFmtId="198" fontId="20" fillId="0" borderId="0" applyFill="0" applyBorder="0" applyAlignment="0"/>
    <xf numFmtId="198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0" fontId="55" fillId="0" borderId="0"/>
    <xf numFmtId="0" fontId="56" fillId="0" borderId="0" applyNumberFormat="0" applyFill="0" applyBorder="0" applyAlignment="0" applyProtection="0">
      <alignment vertical="top"/>
      <protection locked="0"/>
    </xf>
    <xf numFmtId="189" fontId="37" fillId="0" borderId="0" applyFont="0" applyFill="0" applyBorder="0" applyAlignment="0" applyProtection="0"/>
    <xf numFmtId="4" fontId="34" fillId="0" borderId="0">
      <protection locked="0"/>
    </xf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199" fontId="20" fillId="0" borderId="0" applyFont="0" applyFill="0" applyBorder="0" applyAlignment="0" applyProtection="0"/>
    <xf numFmtId="199" fontId="20" fillId="0" borderId="0" applyFont="0" applyFill="0" applyBorder="0" applyAlignment="0" applyProtection="0"/>
    <xf numFmtId="199" fontId="20" fillId="0" borderId="0" applyFont="0" applyFill="0" applyBorder="0" applyAlignment="0" applyProtection="0"/>
    <xf numFmtId="199" fontId="20" fillId="0" borderId="0" applyFont="0" applyFill="0" applyBorder="0" applyAlignment="0" applyProtection="0"/>
    <xf numFmtId="199" fontId="20" fillId="0" borderId="0" applyFont="0" applyFill="0" applyBorder="0" applyAlignment="0" applyProtection="0"/>
    <xf numFmtId="201" fontId="20" fillId="0" borderId="0"/>
    <xf numFmtId="202" fontId="26" fillId="0" borderId="0"/>
    <xf numFmtId="201" fontId="20" fillId="0" borderId="0"/>
    <xf numFmtId="201" fontId="20" fillId="0" borderId="0"/>
    <xf numFmtId="201" fontId="20" fillId="0" borderId="0"/>
    <xf numFmtId="201" fontId="20" fillId="0" borderId="0"/>
    <xf numFmtId="201" fontId="20" fillId="0" borderId="0"/>
    <xf numFmtId="201" fontId="20" fillId="0" borderId="0"/>
    <xf numFmtId="4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203" fontId="34" fillId="0" borderId="0">
      <protection locked="0"/>
    </xf>
    <xf numFmtId="204" fontId="45" fillId="0" borderId="0" applyFont="0" applyFill="0" applyBorder="0" applyAlignment="0" applyProtection="0"/>
    <xf numFmtId="0" fontId="57" fillId="0" borderId="0" applyNumberFormat="0" applyAlignment="0">
      <alignment horizontal="left"/>
    </xf>
    <xf numFmtId="0" fontId="31" fillId="0" borderId="0" applyFont="0" applyFill="0" applyBorder="0" applyAlignment="0" applyProtection="0"/>
    <xf numFmtId="205" fontId="28" fillId="0" borderId="0">
      <protection locked="0"/>
    </xf>
    <xf numFmtId="206" fontId="28" fillId="0" borderId="0" applyFont="0" applyFill="0" applyBorder="0" applyAlignment="0" applyProtection="0"/>
    <xf numFmtId="206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207" fontId="20" fillId="0" borderId="0">
      <protection locked="0"/>
    </xf>
    <xf numFmtId="0" fontId="26" fillId="0" borderId="0">
      <protection locked="0"/>
    </xf>
    <xf numFmtId="208" fontId="28" fillId="0" borderId="0" applyFont="0" applyFill="0" applyBorder="0" applyAlignment="0" applyProtection="0"/>
    <xf numFmtId="209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210" fontId="34" fillId="0" borderId="0">
      <protection locked="0"/>
    </xf>
    <xf numFmtId="209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211" fontId="20" fillId="0" borderId="0"/>
    <xf numFmtId="212" fontId="26" fillId="0" borderId="0"/>
    <xf numFmtId="211" fontId="20" fillId="0" borderId="0"/>
    <xf numFmtId="211" fontId="20" fillId="0" borderId="0"/>
    <xf numFmtId="211" fontId="20" fillId="0" borderId="0"/>
    <xf numFmtId="211" fontId="20" fillId="0" borderId="0"/>
    <xf numFmtId="211" fontId="20" fillId="0" borderId="0"/>
    <xf numFmtId="211" fontId="20" fillId="0" borderId="0"/>
    <xf numFmtId="213" fontId="28" fillId="0" borderId="0">
      <protection locked="0"/>
    </xf>
    <xf numFmtId="209" fontId="20" fillId="0" borderId="0">
      <protection locked="0"/>
    </xf>
    <xf numFmtId="209" fontId="20" fillId="0" borderId="0">
      <protection locked="0"/>
    </xf>
    <xf numFmtId="209" fontId="20" fillId="0" borderId="0">
      <protection locked="0"/>
    </xf>
    <xf numFmtId="209" fontId="20" fillId="0" borderId="0">
      <protection locked="0"/>
    </xf>
    <xf numFmtId="209" fontId="20" fillId="0" borderId="0">
      <protection locked="0"/>
    </xf>
    <xf numFmtId="214" fontId="58" fillId="0" borderId="0">
      <protection locked="0"/>
    </xf>
    <xf numFmtId="14" fontId="59" fillId="0" borderId="0" applyFill="0" applyBorder="0" applyAlignment="0"/>
    <xf numFmtId="209" fontId="20" fillId="0" borderId="0">
      <protection locked="0"/>
    </xf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215" fontId="20" fillId="0" borderId="0"/>
    <xf numFmtId="216" fontId="26" fillId="0" borderId="0"/>
    <xf numFmtId="215" fontId="20" fillId="0" borderId="0"/>
    <xf numFmtId="215" fontId="20" fillId="0" borderId="0"/>
    <xf numFmtId="215" fontId="20" fillId="0" borderId="0"/>
    <xf numFmtId="215" fontId="20" fillId="0" borderId="0"/>
    <xf numFmtId="215" fontId="20" fillId="0" borderId="0"/>
    <xf numFmtId="215" fontId="20" fillId="0" borderId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0" fontId="60" fillId="0" borderId="0" applyNumberFormat="0" applyAlignment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17" fontId="34" fillId="0" borderId="0">
      <protection locked="0"/>
    </xf>
    <xf numFmtId="218" fontId="20" fillId="0" borderId="0">
      <protection locked="0"/>
    </xf>
    <xf numFmtId="218" fontId="20" fillId="0" borderId="0">
      <protection locked="0"/>
    </xf>
    <xf numFmtId="218" fontId="20" fillId="0" borderId="0">
      <protection locked="0"/>
    </xf>
    <xf numFmtId="218" fontId="20" fillId="0" borderId="0">
      <protection locked="0"/>
    </xf>
    <xf numFmtId="218" fontId="20" fillId="0" borderId="0">
      <protection locked="0"/>
    </xf>
    <xf numFmtId="219" fontId="28" fillId="0" borderId="0">
      <protection locked="0"/>
    </xf>
    <xf numFmtId="218" fontId="20" fillId="0" borderId="0">
      <protection locked="0"/>
    </xf>
    <xf numFmtId="0" fontId="61" fillId="0" borderId="0" applyNumberFormat="0" applyFill="0" applyBorder="0" applyAlignment="0" applyProtection="0"/>
    <xf numFmtId="0" fontId="26" fillId="0" borderId="0"/>
    <xf numFmtId="38" fontId="62" fillId="54" borderId="0" applyNumberFormat="0" applyBorder="0" applyAlignment="0" applyProtection="0"/>
    <xf numFmtId="38" fontId="62" fillId="55" borderId="0" applyNumberFormat="0" applyBorder="0" applyAlignment="0" applyProtection="0"/>
    <xf numFmtId="0" fontId="63" fillId="0" borderId="0" applyAlignment="0">
      <alignment horizontal="right"/>
    </xf>
    <xf numFmtId="0" fontId="64" fillId="0" borderId="0"/>
    <xf numFmtId="0" fontId="65" fillId="0" borderId="0"/>
    <xf numFmtId="0" fontId="66" fillId="0" borderId="0">
      <alignment horizontal="left"/>
    </xf>
    <xf numFmtId="0" fontId="67" fillId="0" borderId="20" applyNumberFormat="0" applyAlignment="0" applyProtection="0">
      <alignment horizontal="left" vertical="center"/>
    </xf>
    <xf numFmtId="0" fontId="67" fillId="0" borderId="21">
      <alignment horizontal="left" vertical="center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>
      <protection locked="0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9" fillId="0" borderId="0">
      <protection locked="0"/>
    </xf>
    <xf numFmtId="220" fontId="28" fillId="0" borderId="0">
      <protection locked="0"/>
    </xf>
    <xf numFmtId="221" fontId="20" fillId="0" borderId="0">
      <protection locked="0"/>
    </xf>
    <xf numFmtId="221" fontId="20" fillId="0" borderId="0">
      <protection locked="0"/>
    </xf>
    <xf numFmtId="221" fontId="20" fillId="0" borderId="0">
      <protection locked="0"/>
    </xf>
    <xf numFmtId="221" fontId="20" fillId="0" borderId="0">
      <protection locked="0"/>
    </xf>
    <xf numFmtId="221" fontId="20" fillId="0" borderId="0">
      <protection locked="0"/>
    </xf>
    <xf numFmtId="222" fontId="45" fillId="0" borderId="0">
      <protection locked="0"/>
    </xf>
    <xf numFmtId="221" fontId="20" fillId="0" borderId="0">
      <protection locked="0"/>
    </xf>
    <xf numFmtId="220" fontId="28" fillId="0" borderId="0">
      <protection locked="0"/>
    </xf>
    <xf numFmtId="221" fontId="20" fillId="0" borderId="0">
      <protection locked="0"/>
    </xf>
    <xf numFmtId="221" fontId="20" fillId="0" borderId="0">
      <protection locked="0"/>
    </xf>
    <xf numFmtId="221" fontId="20" fillId="0" borderId="0">
      <protection locked="0"/>
    </xf>
    <xf numFmtId="221" fontId="20" fillId="0" borderId="0">
      <protection locked="0"/>
    </xf>
    <xf numFmtId="221" fontId="20" fillId="0" borderId="0">
      <protection locked="0"/>
    </xf>
    <xf numFmtId="222" fontId="45" fillId="0" borderId="0">
      <protection locked="0"/>
    </xf>
    <xf numFmtId="221" fontId="20" fillId="0" borderId="0">
      <protection locked="0"/>
    </xf>
    <xf numFmtId="0" fontId="28" fillId="56" borderId="22"/>
    <xf numFmtId="0" fontId="70" fillId="0" borderId="0" applyNumberFormat="0" applyFill="0" applyBorder="0" applyAlignment="0" applyProtection="0"/>
    <xf numFmtId="0" fontId="71" fillId="0" borderId="23" applyNumberFormat="0" applyFill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0" fontId="62" fillId="54" borderId="10" applyNumberFormat="0" applyBorder="0" applyAlignment="0" applyProtection="0"/>
    <xf numFmtId="10" fontId="62" fillId="57" borderId="10" applyNumberFormat="0" applyBorder="0" applyAlignment="0" applyProtection="0"/>
    <xf numFmtId="223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0" fontId="74" fillId="0" borderId="0" applyNumberFormat="0" applyFont="0" applyFill="0" applyBorder="0" applyProtection="0">
      <alignment horizontal="left" vertical="center"/>
    </xf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75" fillId="0" borderId="24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20" fillId="0" borderId="0" applyFont="0" applyFill="0" applyBorder="0" applyAlignment="0" applyProtection="0"/>
    <xf numFmtId="226" fontId="20" fillId="0" borderId="0" applyFont="0" applyFill="0" applyBorder="0" applyAlignment="0" applyProtection="0"/>
    <xf numFmtId="189" fontId="37" fillId="0" borderId="0" applyFont="0" applyFill="0" applyBorder="0" applyAlignment="0" applyProtection="0"/>
    <xf numFmtId="37" fontId="76" fillId="0" borderId="0"/>
    <xf numFmtId="0" fontId="77" fillId="0" borderId="25" applyNumberFormat="0" applyFont="0" applyBorder="0" applyProtection="0">
      <alignment horizontal="center" vertical="center"/>
    </xf>
    <xf numFmtId="227" fontId="20" fillId="0" borderId="0"/>
    <xf numFmtId="228" fontId="26" fillId="0" borderId="0"/>
    <xf numFmtId="227" fontId="20" fillId="0" borderId="0"/>
    <xf numFmtId="227" fontId="20" fillId="0" borderId="0"/>
    <xf numFmtId="227" fontId="20" fillId="0" borderId="0"/>
    <xf numFmtId="227" fontId="20" fillId="0" borderId="0"/>
    <xf numFmtId="227" fontId="20" fillId="0" borderId="0"/>
    <xf numFmtId="225" fontId="26" fillId="0" borderId="0"/>
    <xf numFmtId="227" fontId="20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26" fillId="0" borderId="0"/>
    <xf numFmtId="0" fontId="28" fillId="0" borderId="0"/>
    <xf numFmtId="40" fontId="24" fillId="0" borderId="0"/>
    <xf numFmtId="40" fontId="24" fillId="0" borderId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229" fontId="28" fillId="0" borderId="0">
      <protection locked="0"/>
    </xf>
    <xf numFmtId="198" fontId="20" fillId="0" borderId="0" applyFont="0" applyFill="0" applyBorder="0" applyAlignment="0" applyProtection="0"/>
    <xf numFmtId="198" fontId="20" fillId="0" borderId="0" applyFont="0" applyFill="0" applyBorder="0" applyAlignment="0" applyProtection="0"/>
    <xf numFmtId="198" fontId="20" fillId="0" borderId="0" applyFont="0" applyFill="0" applyBorder="0" applyAlignment="0" applyProtection="0"/>
    <xf numFmtId="198" fontId="20" fillId="0" borderId="0" applyFont="0" applyFill="0" applyBorder="0" applyAlignment="0" applyProtection="0"/>
    <xf numFmtId="198" fontId="20" fillId="0" borderId="0" applyFont="0" applyFill="0" applyBorder="0" applyAlignment="0" applyProtection="0"/>
    <xf numFmtId="218" fontId="20" fillId="0" borderId="0" applyFont="0" applyFill="0" applyBorder="0" applyAlignment="0" applyProtection="0"/>
    <xf numFmtId="218" fontId="20" fillId="0" borderId="0" applyFont="0" applyFill="0" applyBorder="0" applyAlignment="0" applyProtection="0"/>
    <xf numFmtId="218" fontId="20" fillId="0" borderId="0" applyFont="0" applyFill="0" applyBorder="0" applyAlignment="0" applyProtection="0"/>
    <xf numFmtId="218" fontId="20" fillId="0" borderId="0" applyFont="0" applyFill="0" applyBorder="0" applyAlignment="0" applyProtection="0"/>
    <xf numFmtId="218" fontId="20" fillId="0" borderId="0" applyFont="0" applyFill="0" applyBorder="0" applyAlignment="0" applyProtection="0"/>
    <xf numFmtId="10" fontId="28" fillId="0" borderId="0" applyFont="0" applyFill="0" applyBorder="0" applyAlignment="0" applyProtection="0"/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230" fontId="20" fillId="0" borderId="0">
      <protection locked="0"/>
    </xf>
    <xf numFmtId="0" fontId="26" fillId="0" borderId="0">
      <protection locked="0"/>
    </xf>
    <xf numFmtId="231" fontId="20" fillId="0" borderId="0" applyFont="0" applyFill="0" applyBorder="0" applyAlignment="0" applyProtection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200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195" fontId="20" fillId="0" borderId="0" applyFill="0" applyBorder="0" applyAlignment="0"/>
    <xf numFmtId="9" fontId="79" fillId="0" borderId="0" applyFont="0" applyFill="0" applyProtection="0"/>
    <xf numFmtId="30" fontId="80" fillId="0" borderId="0" applyNumberFormat="0" applyFill="0" applyBorder="0" applyAlignment="0" applyProtection="0">
      <alignment horizontal="left"/>
    </xf>
    <xf numFmtId="232" fontId="20" fillId="0" borderId="0" applyNumberFormat="0" applyFill="0" applyBorder="0" applyAlignment="0" applyProtection="0">
      <alignment horizontal="left"/>
    </xf>
    <xf numFmtId="232" fontId="20" fillId="0" borderId="0" applyNumberFormat="0" applyFill="0" applyBorder="0" applyAlignment="0" applyProtection="0">
      <alignment horizontal="left"/>
    </xf>
    <xf numFmtId="232" fontId="20" fillId="0" borderId="0" applyNumberFormat="0" applyFill="0" applyBorder="0" applyAlignment="0" applyProtection="0">
      <alignment horizontal="left"/>
    </xf>
    <xf numFmtId="232" fontId="20" fillId="0" borderId="0" applyNumberFormat="0" applyFill="0" applyBorder="0" applyAlignment="0" applyProtection="0">
      <alignment horizontal="left"/>
    </xf>
    <xf numFmtId="232" fontId="20" fillId="0" borderId="0" applyNumberFormat="0" applyFill="0" applyBorder="0" applyAlignment="0" applyProtection="0">
      <alignment horizontal="left"/>
    </xf>
    <xf numFmtId="30" fontId="80" fillId="0" borderId="0" applyNumberFormat="0" applyFill="0" applyBorder="0" applyAlignment="0" applyProtection="0">
      <alignment horizontal="left"/>
    </xf>
    <xf numFmtId="232" fontId="20" fillId="0" borderId="0" applyNumberFormat="0" applyFill="0" applyBorder="0" applyAlignment="0" applyProtection="0">
      <alignment horizontal="left"/>
    </xf>
    <xf numFmtId="0" fontId="79" fillId="0" borderId="0"/>
    <xf numFmtId="233" fontId="78" fillId="0" borderId="0"/>
    <xf numFmtId="0" fontId="75" fillId="0" borderId="0"/>
    <xf numFmtId="40" fontId="81" fillId="0" borderId="0" applyBorder="0">
      <alignment horizontal="right"/>
    </xf>
    <xf numFmtId="49" fontId="59" fillId="0" borderId="0" applyFill="0" applyBorder="0" applyAlignment="0"/>
    <xf numFmtId="231" fontId="20" fillId="0" borderId="0" applyFill="0" applyBorder="0" applyAlignment="0"/>
    <xf numFmtId="231" fontId="20" fillId="0" borderId="0" applyFill="0" applyBorder="0" applyAlignment="0"/>
    <xf numFmtId="231" fontId="20" fillId="0" borderId="0" applyFill="0" applyBorder="0" applyAlignment="0"/>
    <xf numFmtId="231" fontId="20" fillId="0" borderId="0" applyFill="0" applyBorder="0" applyAlignment="0"/>
    <xf numFmtId="231" fontId="20" fillId="0" borderId="0" applyFill="0" applyBorder="0" applyAlignment="0"/>
    <xf numFmtId="183" fontId="20" fillId="0" borderId="0" applyFill="0" applyBorder="0" applyAlignment="0"/>
    <xf numFmtId="183" fontId="20" fillId="0" borderId="0" applyFill="0" applyBorder="0" applyAlignment="0"/>
    <xf numFmtId="183" fontId="20" fillId="0" borderId="0" applyFill="0" applyBorder="0" applyAlignment="0"/>
    <xf numFmtId="183" fontId="20" fillId="0" borderId="0" applyFill="0" applyBorder="0" applyAlignment="0"/>
    <xf numFmtId="183" fontId="20" fillId="0" borderId="0" applyFill="0" applyBorder="0" applyAlignment="0"/>
    <xf numFmtId="0" fontId="28" fillId="0" borderId="0"/>
    <xf numFmtId="0" fontId="28" fillId="0" borderId="0"/>
    <xf numFmtId="0" fontId="82" fillId="55" borderId="0">
      <alignment horizontal="centerContinuous"/>
    </xf>
    <xf numFmtId="0" fontId="83" fillId="0" borderId="0" applyFill="0" applyBorder="0" applyProtection="0">
      <alignment horizontal="centerContinuous" vertical="center"/>
    </xf>
    <xf numFmtId="0" fontId="45" fillId="54" borderId="0" applyFill="0" applyBorder="0" applyProtection="0">
      <alignment horizontal="center" vertical="center"/>
    </xf>
    <xf numFmtId="49" fontId="84" fillId="0" borderId="0" applyFill="0" applyBorder="0" applyProtection="0">
      <alignment horizontal="centerContinuous" vertical="center"/>
    </xf>
    <xf numFmtId="220" fontId="28" fillId="0" borderId="26">
      <protection locked="0"/>
    </xf>
    <xf numFmtId="221" fontId="20" fillId="0" borderId="26">
      <protection locked="0"/>
    </xf>
    <xf numFmtId="221" fontId="20" fillId="0" borderId="26">
      <protection locked="0"/>
    </xf>
    <xf numFmtId="221" fontId="20" fillId="0" borderId="26">
      <protection locked="0"/>
    </xf>
    <xf numFmtId="221" fontId="20" fillId="0" borderId="26">
      <protection locked="0"/>
    </xf>
    <xf numFmtId="221" fontId="20" fillId="0" borderId="26">
      <protection locked="0"/>
    </xf>
    <xf numFmtId="222" fontId="45" fillId="0" borderId="26">
      <protection locked="0"/>
    </xf>
    <xf numFmtId="221" fontId="20" fillId="0" borderId="26">
      <protection locked="0"/>
    </xf>
    <xf numFmtId="0" fontId="85" fillId="0" borderId="27">
      <alignment horizontal="left"/>
    </xf>
    <xf numFmtId="37" fontId="62" fillId="58" borderId="0" applyNumberFormat="0" applyBorder="0" applyAlignment="0" applyProtection="0"/>
    <xf numFmtId="37" fontId="62" fillId="0" borderId="0"/>
    <xf numFmtId="3" fontId="86" fillId="0" borderId="23" applyProtection="0"/>
    <xf numFmtId="234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235" fontId="24" fillId="0" borderId="0" applyFont="0" applyFill="0" applyBorder="0" applyAlignment="0" applyProtection="0"/>
    <xf numFmtId="236" fontId="24" fillId="0" borderId="0" applyFont="0" applyFill="0" applyBorder="0" applyAlignment="0" applyProtection="0"/>
    <xf numFmtId="0" fontId="87" fillId="0" borderId="0" applyNumberFormat="0" applyFont="0" applyFill="0" applyBorder="0" applyProtection="0">
      <alignment horizontal="center" vertical="center" wrapText="1"/>
    </xf>
    <xf numFmtId="0" fontId="88" fillId="0" borderId="0" applyNumberFormat="0" applyFill="0" applyBorder="0" applyAlignment="0" applyProtection="0">
      <alignment vertical="top"/>
      <protection locked="0"/>
    </xf>
    <xf numFmtId="237" fontId="89" fillId="0" borderId="0" applyFont="0" applyFill="0" applyBorder="0" applyAlignment="0" applyProtection="0"/>
    <xf numFmtId="238" fontId="89" fillId="0" borderId="0" applyFont="0" applyFill="0" applyBorder="0" applyAlignment="0" applyProtection="0"/>
    <xf numFmtId="0" fontId="89" fillId="0" borderId="0"/>
    <xf numFmtId="0" fontId="39" fillId="4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6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61" borderId="0" applyNumberFormat="0" applyBorder="0" applyAlignment="0" applyProtection="0">
      <alignment vertical="center"/>
    </xf>
    <xf numFmtId="0" fontId="39" fillId="6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63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63" borderId="0" applyNumberFormat="0" applyBorder="0" applyAlignment="0" applyProtection="0">
      <alignment vertical="center"/>
    </xf>
    <xf numFmtId="0" fontId="39" fillId="63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188" fontId="45" fillId="0" borderId="0"/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64" borderId="28" applyNumberFormat="0" applyAlignment="0" applyProtection="0">
      <alignment vertical="center"/>
    </xf>
    <xf numFmtId="0" fontId="93" fillId="6" borderId="4" applyNumberFormat="0" applyAlignment="0" applyProtection="0">
      <alignment vertical="center"/>
    </xf>
    <xf numFmtId="0" fontId="92" fillId="64" borderId="28" applyNumberFormat="0" applyAlignment="0" applyProtection="0">
      <alignment vertical="center"/>
    </xf>
    <xf numFmtId="0" fontId="92" fillId="44" borderId="28" applyNumberFormat="0" applyAlignment="0" applyProtection="0">
      <alignment vertical="center"/>
    </xf>
    <xf numFmtId="0" fontId="92" fillId="44" borderId="28" applyNumberFormat="0" applyAlignment="0" applyProtection="0">
      <alignment vertical="center"/>
    </xf>
    <xf numFmtId="0" fontId="92" fillId="64" borderId="28" applyNumberFormat="0" applyAlignment="0" applyProtection="0">
      <alignment vertical="center"/>
    </xf>
    <xf numFmtId="0" fontId="93" fillId="6" borderId="4" applyNumberFormat="0" applyAlignment="0" applyProtection="0">
      <alignment vertical="center"/>
    </xf>
    <xf numFmtId="2" fontId="94" fillId="0" borderId="0" applyFont="0" applyFill="0" applyBorder="0" applyAlignment="0" applyProtection="0"/>
    <xf numFmtId="2" fontId="94" fillId="0" borderId="0" applyFont="0" applyFill="0" applyBorder="0" applyAlignment="0" applyProtection="0"/>
    <xf numFmtId="239" fontId="26" fillId="0" borderId="0">
      <protection locked="0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9" fillId="0" borderId="0">
      <protection locked="0"/>
    </xf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69" fillId="0" borderId="0">
      <protection locked="0"/>
    </xf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240" fontId="20" fillId="0" borderId="0"/>
    <xf numFmtId="0" fontId="20" fillId="0" borderId="10">
      <alignment horizontal="right" vertical="center"/>
    </xf>
    <xf numFmtId="0" fontId="20" fillId="0" borderId="10">
      <alignment horizontal="right" vertical="center"/>
    </xf>
    <xf numFmtId="0" fontId="20" fillId="0" borderId="10">
      <alignment horizontal="right" vertical="center"/>
    </xf>
    <xf numFmtId="0" fontId="20" fillId="0" borderId="10">
      <alignment horizontal="right" vertical="center"/>
    </xf>
    <xf numFmtId="0" fontId="20" fillId="0" borderId="10">
      <alignment horizontal="right" vertical="center"/>
    </xf>
    <xf numFmtId="188" fontId="30" fillId="0" borderId="0"/>
    <xf numFmtId="0" fontId="97" fillId="39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34" fillId="0" borderId="0">
      <protection locked="0"/>
    </xf>
    <xf numFmtId="3" fontId="24" fillId="0" borderId="29">
      <alignment horizontal="center"/>
    </xf>
    <xf numFmtId="0" fontId="26" fillId="65" borderId="0">
      <alignment horizontal="left"/>
    </xf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34" fillId="0" borderId="0"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20" fillId="40" borderId="30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38" fillId="8" borderId="8" applyNumberFormat="0" applyFon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7" fillId="0" borderId="10" applyNumberFormat="0" applyFont="0" applyFill="0" applyBorder="0" applyProtection="0">
      <alignment horizontal="distributed"/>
    </xf>
    <xf numFmtId="199" fontId="27" fillId="0" borderId="0" applyFont="0" applyFill="0" applyBorder="0" applyProtection="0">
      <alignment horizontal="center" vertical="center"/>
    </xf>
    <xf numFmtId="241" fontId="27" fillId="0" borderId="0" applyFont="0" applyFill="0" applyBorder="0" applyProtection="0">
      <alignment horizontal="center" vertical="center"/>
    </xf>
    <xf numFmtId="9" fontId="30" fillId="54" borderId="0" applyFill="0" applyBorder="0" applyProtection="0">
      <alignment horizontal="right"/>
    </xf>
    <xf numFmtId="10" fontId="30" fillId="0" borderId="0" applyFill="0" applyBorder="0" applyProtection="0">
      <alignment horizontal="right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0" fontId="100" fillId="46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0" fillId="46" borderId="0" applyNumberFormat="0" applyBorder="0" applyAlignment="0" applyProtection="0">
      <alignment vertical="center"/>
    </xf>
    <xf numFmtId="0" fontId="100" fillId="46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2" fillId="0" borderId="0"/>
    <xf numFmtId="0" fontId="103" fillId="0" borderId="0"/>
    <xf numFmtId="224" fontId="20" fillId="0" borderId="0" applyNumberFormat="0" applyFont="0" applyFill="0" applyBorder="0" applyProtection="0">
      <alignment horizontal="centerContinuous"/>
    </xf>
    <xf numFmtId="224" fontId="20" fillId="0" borderId="0" applyNumberFormat="0" applyFont="0" applyFill="0" applyBorder="0" applyProtection="0">
      <alignment horizontal="centerContinuous"/>
    </xf>
    <xf numFmtId="224" fontId="20" fillId="0" borderId="0" applyNumberFormat="0" applyFont="0" applyFill="0" applyBorder="0" applyProtection="0">
      <alignment horizontal="centerContinuous"/>
    </xf>
    <xf numFmtId="224" fontId="20" fillId="0" borderId="0" applyNumberFormat="0" applyFont="0" applyFill="0" applyBorder="0" applyProtection="0">
      <alignment horizontal="centerContinuous"/>
    </xf>
    <xf numFmtId="224" fontId="20" fillId="0" borderId="0" applyNumberFormat="0" applyFont="0" applyFill="0" applyBorder="0" applyProtection="0">
      <alignment horizontal="centerContinuous"/>
    </xf>
    <xf numFmtId="224" fontId="104" fillId="0" borderId="31">
      <alignment vertical="center"/>
    </xf>
    <xf numFmtId="3" fontId="27" fillId="0" borderId="10"/>
    <xf numFmtId="0" fontId="27" fillId="0" borderId="10"/>
    <xf numFmtId="3" fontId="27" fillId="0" borderId="32"/>
    <xf numFmtId="3" fontId="27" fillId="0" borderId="33"/>
    <xf numFmtId="0" fontId="105" fillId="0" borderId="10"/>
    <xf numFmtId="0" fontId="106" fillId="0" borderId="0">
      <alignment horizontal="center"/>
    </xf>
    <xf numFmtId="0" fontId="37" fillId="0" borderId="34">
      <alignment horizont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66" borderId="35" applyNumberFormat="0" applyAlignment="0" applyProtection="0">
      <alignment vertical="center"/>
    </xf>
    <xf numFmtId="0" fontId="110" fillId="7" borderId="7" applyNumberFormat="0" applyAlignment="0" applyProtection="0">
      <alignment vertical="center"/>
    </xf>
    <xf numFmtId="0" fontId="109" fillId="66" borderId="35" applyNumberFormat="0" applyAlignment="0" applyProtection="0">
      <alignment vertical="center"/>
    </xf>
    <xf numFmtId="0" fontId="109" fillId="66" borderId="35" applyNumberFormat="0" applyAlignment="0" applyProtection="0">
      <alignment vertical="center"/>
    </xf>
    <xf numFmtId="0" fontId="110" fillId="7" borderId="7" applyNumberFormat="0" applyAlignment="0" applyProtection="0">
      <alignment vertical="center"/>
    </xf>
    <xf numFmtId="4" fontId="111" fillId="0" borderId="0" applyNumberFormat="0" applyFill="0" applyBorder="0" applyAlignment="0">
      <alignment horizontal="centerContinuous" vertical="center"/>
    </xf>
    <xf numFmtId="242" fontId="112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6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224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243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0" fontId="28" fillId="0" borderId="0"/>
    <xf numFmtId="0" fontId="26" fillId="0" borderId="0"/>
    <xf numFmtId="0" fontId="28" fillId="0" borderId="0"/>
    <xf numFmtId="0" fontId="26" fillId="0" borderId="0"/>
    <xf numFmtId="0" fontId="28" fillId="0" borderId="0"/>
    <xf numFmtId="0" fontId="32" fillId="0" borderId="0"/>
    <xf numFmtId="0" fontId="113" fillId="0" borderId="36"/>
    <xf numFmtId="0" fontId="114" fillId="0" borderId="37" applyNumberFormat="0" applyFill="0" applyAlignment="0" applyProtection="0">
      <alignment vertical="center"/>
    </xf>
    <xf numFmtId="0" fontId="115" fillId="0" borderId="6" applyNumberFormat="0" applyFill="0" applyAlignment="0" applyProtection="0">
      <alignment vertical="center"/>
    </xf>
    <xf numFmtId="0" fontId="114" fillId="0" borderId="37" applyNumberFormat="0" applyFill="0" applyAlignment="0" applyProtection="0">
      <alignment vertical="center"/>
    </xf>
    <xf numFmtId="0" fontId="114" fillId="0" borderId="37" applyNumberFormat="0" applyFill="0" applyAlignment="0" applyProtection="0">
      <alignment vertical="center"/>
    </xf>
    <xf numFmtId="0" fontId="115" fillId="0" borderId="6" applyNumberFormat="0" applyFill="0" applyAlignment="0" applyProtection="0">
      <alignment vertical="center"/>
    </xf>
    <xf numFmtId="0" fontId="116" fillId="0" borderId="38" applyNumberFormat="0" applyFill="0" applyAlignment="0" applyProtection="0">
      <alignment vertical="center"/>
    </xf>
    <xf numFmtId="0" fontId="117" fillId="0" borderId="9" applyNumberFormat="0" applyFill="0" applyAlignment="0" applyProtection="0">
      <alignment vertical="center"/>
    </xf>
    <xf numFmtId="0" fontId="116" fillId="0" borderId="38" applyNumberFormat="0" applyFill="0" applyAlignment="0" applyProtection="0">
      <alignment vertical="center"/>
    </xf>
    <xf numFmtId="0" fontId="116" fillId="0" borderId="39" applyNumberFormat="0" applyFill="0" applyAlignment="0" applyProtection="0">
      <alignment vertical="center"/>
    </xf>
    <xf numFmtId="0" fontId="116" fillId="0" borderId="39" applyNumberFormat="0" applyFill="0" applyAlignment="0" applyProtection="0">
      <alignment vertical="center"/>
    </xf>
    <xf numFmtId="0" fontId="116" fillId="0" borderId="38" applyNumberFormat="0" applyFill="0" applyAlignment="0" applyProtection="0">
      <alignment vertical="center"/>
    </xf>
    <xf numFmtId="0" fontId="117" fillId="0" borderId="9" applyNumberFormat="0" applyFill="0" applyAlignment="0" applyProtection="0">
      <alignment vertical="center"/>
    </xf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6" fontId="118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244" fontId="20" fillId="0" borderId="0" applyFont="0" applyFill="0" applyBorder="0" applyAlignment="0" applyProtection="0"/>
    <xf numFmtId="0" fontId="33" fillId="0" borderId="0"/>
    <xf numFmtId="0" fontId="31" fillId="0" borderId="0" applyNumberFormat="0" applyAlignment="0">
      <alignment horizontal="left" vertical="center"/>
    </xf>
    <xf numFmtId="0" fontId="119" fillId="46" borderId="28" applyNumberFormat="0" applyAlignment="0" applyProtection="0">
      <alignment vertical="center"/>
    </xf>
    <xf numFmtId="0" fontId="120" fillId="5" borderId="4" applyNumberFormat="0" applyAlignment="0" applyProtection="0">
      <alignment vertical="center"/>
    </xf>
    <xf numFmtId="0" fontId="119" fillId="46" borderId="28" applyNumberFormat="0" applyAlignment="0" applyProtection="0">
      <alignment vertical="center"/>
    </xf>
    <xf numFmtId="0" fontId="119" fillId="36" borderId="28" applyNumberFormat="0" applyAlignment="0" applyProtection="0">
      <alignment vertical="center"/>
    </xf>
    <xf numFmtId="0" fontId="119" fillId="36" borderId="28" applyNumberFormat="0" applyAlignment="0" applyProtection="0">
      <alignment vertical="center"/>
    </xf>
    <xf numFmtId="0" fontId="119" fillId="46" borderId="28" applyNumberFormat="0" applyAlignment="0" applyProtection="0">
      <alignment vertical="center"/>
    </xf>
    <xf numFmtId="0" fontId="120" fillId="5" borderId="4" applyNumberFormat="0" applyAlignment="0" applyProtection="0">
      <alignment vertical="center"/>
    </xf>
    <xf numFmtId="4" fontId="94" fillId="0" borderId="0" applyFont="0" applyFill="0" applyBorder="0" applyAlignment="0" applyProtection="0"/>
    <xf numFmtId="4" fontId="94" fillId="0" borderId="0" applyFont="0" applyFill="0" applyBorder="0" applyAlignment="0" applyProtection="0"/>
    <xf numFmtId="4" fontId="34" fillId="0" borderId="0">
      <protection locked="0"/>
    </xf>
    <xf numFmtId="3" fontId="94" fillId="0" borderId="0" applyFont="0" applyFill="0" applyBorder="0" applyAlignment="0" applyProtection="0"/>
    <xf numFmtId="3" fontId="94" fillId="0" borderId="0" applyFont="0" applyFill="0" applyBorder="0" applyAlignment="0" applyProtection="0"/>
    <xf numFmtId="247" fontId="26" fillId="0" borderId="0">
      <protection locked="0"/>
    </xf>
    <xf numFmtId="0" fontId="26" fillId="0" borderId="40" applyNumberFormat="0"/>
    <xf numFmtId="0" fontId="121" fillId="0" borderId="41" applyNumberFormat="0" applyFill="0" applyAlignment="0" applyProtection="0">
      <alignment vertical="center"/>
    </xf>
    <xf numFmtId="0" fontId="122" fillId="0" borderId="1" applyNumberFormat="0" applyFill="0" applyAlignment="0" applyProtection="0">
      <alignment vertical="center"/>
    </xf>
    <xf numFmtId="0" fontId="121" fillId="0" borderId="41" applyNumberFormat="0" applyFill="0" applyAlignment="0" applyProtection="0">
      <alignment vertical="center"/>
    </xf>
    <xf numFmtId="0" fontId="123" fillId="0" borderId="42" applyNumberFormat="0" applyFill="0" applyAlignment="0" applyProtection="0">
      <alignment vertical="center"/>
    </xf>
    <xf numFmtId="0" fontId="123" fillId="0" borderId="42" applyNumberFormat="0" applyFill="0" applyAlignment="0" applyProtection="0">
      <alignment vertical="center"/>
    </xf>
    <xf numFmtId="0" fontId="121" fillId="0" borderId="41" applyNumberFormat="0" applyFill="0" applyAlignment="0" applyProtection="0">
      <alignment vertical="center"/>
    </xf>
    <xf numFmtId="0" fontId="122" fillId="0" borderId="1" applyNumberFormat="0" applyFill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0" borderId="43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5" fillId="0" borderId="43" applyNumberFormat="0" applyFill="0" applyAlignment="0" applyProtection="0">
      <alignment vertical="center"/>
    </xf>
    <xf numFmtId="0" fontId="127" fillId="0" borderId="43" applyNumberFormat="0" applyFill="0" applyAlignment="0" applyProtection="0">
      <alignment vertical="center"/>
    </xf>
    <xf numFmtId="0" fontId="127" fillId="0" borderId="43" applyNumberFormat="0" applyFill="0" applyAlignment="0" applyProtection="0">
      <alignment vertical="center"/>
    </xf>
    <xf numFmtId="0" fontId="125" fillId="0" borderId="43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8" fillId="0" borderId="44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0" fontId="128" fillId="0" borderId="44" applyNumberFormat="0" applyFill="0" applyAlignment="0" applyProtection="0">
      <alignment vertical="center"/>
    </xf>
    <xf numFmtId="0" fontId="130" fillId="0" borderId="45" applyNumberFormat="0" applyFill="0" applyAlignment="0" applyProtection="0">
      <alignment vertical="center"/>
    </xf>
    <xf numFmtId="0" fontId="130" fillId="0" borderId="45" applyNumberFormat="0" applyFill="0" applyAlignment="0" applyProtection="0">
      <alignment vertical="center"/>
    </xf>
    <xf numFmtId="0" fontId="128" fillId="0" borderId="44" applyNumberFormat="0" applyFill="0" applyAlignment="0" applyProtection="0">
      <alignment vertical="center"/>
    </xf>
    <xf numFmtId="0" fontId="129" fillId="0" borderId="3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26" fillId="0" borderId="10">
      <alignment horizontal="distributed" vertical="center"/>
    </xf>
    <xf numFmtId="0" fontId="26" fillId="0" borderId="15">
      <alignment horizontal="distributed" vertical="top"/>
    </xf>
    <xf numFmtId="0" fontId="26" fillId="0" borderId="46">
      <alignment horizontal="distributed"/>
    </xf>
    <xf numFmtId="189" fontId="133" fillId="0" borderId="0">
      <alignment vertical="center"/>
    </xf>
    <xf numFmtId="0" fontId="134" fillId="41" borderId="0" applyNumberFormat="0" applyBorder="0" applyAlignment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134" fillId="41" borderId="0" applyNumberFormat="0" applyBorder="0" applyAlignment="0" applyProtection="0">
      <alignment vertical="center"/>
    </xf>
    <xf numFmtId="0" fontId="134" fillId="41" borderId="0" applyNumberFormat="0" applyBorder="0" applyAlignment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26" fillId="0" borderId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36" fillId="64" borderId="47" applyNumberFormat="0" applyAlignment="0" applyProtection="0">
      <alignment vertical="center"/>
    </xf>
    <xf numFmtId="0" fontId="137" fillId="6" borderId="5" applyNumberFormat="0" applyAlignment="0" applyProtection="0">
      <alignment vertical="center"/>
    </xf>
    <xf numFmtId="0" fontId="136" fillId="64" borderId="47" applyNumberFormat="0" applyAlignment="0" applyProtection="0">
      <alignment vertical="center"/>
    </xf>
    <xf numFmtId="0" fontId="136" fillId="44" borderId="47" applyNumberFormat="0" applyAlignment="0" applyProtection="0">
      <alignment vertical="center"/>
    </xf>
    <xf numFmtId="0" fontId="136" fillId="44" borderId="47" applyNumberFormat="0" applyAlignment="0" applyProtection="0">
      <alignment vertical="center"/>
    </xf>
    <xf numFmtId="0" fontId="136" fillId="64" borderId="47" applyNumberFormat="0" applyAlignment="0" applyProtection="0">
      <alignment vertical="center"/>
    </xf>
    <xf numFmtId="0" fontId="137" fillId="6" borderId="5" applyNumberFormat="0" applyAlignment="0" applyProtection="0">
      <alignment vertical="center"/>
    </xf>
    <xf numFmtId="248" fontId="31" fillId="0" borderId="18" applyFill="0" applyBorder="0">
      <alignment vertical="center"/>
    </xf>
    <xf numFmtId="192" fontId="20" fillId="0" borderId="0" applyFont="0" applyFill="0" applyBorder="0" applyProtection="0">
      <alignment vertical="center"/>
    </xf>
    <xf numFmtId="192" fontId="20" fillId="0" borderId="0" applyFont="0" applyFill="0" applyBorder="0" applyProtection="0">
      <alignment vertical="center"/>
    </xf>
    <xf numFmtId="192" fontId="20" fillId="0" borderId="0" applyFont="0" applyFill="0" applyBorder="0" applyProtection="0">
      <alignment vertical="center"/>
    </xf>
    <xf numFmtId="192" fontId="20" fillId="0" borderId="0" applyFont="0" applyFill="0" applyBorder="0" applyProtection="0">
      <alignment vertical="center"/>
    </xf>
    <xf numFmtId="192" fontId="20" fillId="0" borderId="0" applyFont="0" applyFill="0" applyBorder="0" applyProtection="0">
      <alignment vertical="center"/>
    </xf>
    <xf numFmtId="38" fontId="27" fillId="0" borderId="0" applyFont="0" applyFill="0" applyBorder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249" fontId="30" fillId="54" borderId="0" applyFill="0" applyBorder="0" applyProtection="0">
      <alignment horizontal="right"/>
    </xf>
    <xf numFmtId="38" fontId="27" fillId="0" borderId="0" applyFont="0" applyFill="0" applyBorder="0" applyAlignment="0" applyProtection="0">
      <alignment vertical="center"/>
    </xf>
    <xf numFmtId="250" fontId="20" fillId="0" borderId="0" applyFont="0" applyFill="0" applyBorder="0" applyAlignment="0" applyProtection="0">
      <alignment vertical="center"/>
    </xf>
    <xf numFmtId="250" fontId="20" fillId="0" borderId="0" applyFont="0" applyFill="0" applyBorder="0" applyAlignment="0" applyProtection="0">
      <alignment vertical="center"/>
    </xf>
    <xf numFmtId="250" fontId="20" fillId="0" borderId="0" applyFont="0" applyFill="0" applyBorder="0" applyAlignment="0" applyProtection="0">
      <alignment vertical="center"/>
    </xf>
    <xf numFmtId="250" fontId="20" fillId="0" borderId="0" applyFont="0" applyFill="0" applyBorder="0" applyAlignment="0" applyProtection="0">
      <alignment vertical="center"/>
    </xf>
    <xf numFmtId="250" fontId="20" fillId="0" borderId="0" applyFont="0" applyFill="0" applyBorder="0" applyAlignment="0" applyProtection="0">
      <alignment vertical="center"/>
    </xf>
    <xf numFmtId="209" fontId="20" fillId="0" borderId="0" applyFont="0" applyFill="0" applyBorder="0" applyAlignment="0" applyProtection="0">
      <alignment vertical="center"/>
    </xf>
    <xf numFmtId="209" fontId="20" fillId="0" borderId="0" applyFont="0" applyFill="0" applyBorder="0" applyAlignment="0" applyProtection="0">
      <alignment vertical="center"/>
    </xf>
    <xf numFmtId="209" fontId="20" fillId="0" borderId="0" applyFont="0" applyFill="0" applyBorder="0" applyAlignment="0" applyProtection="0">
      <alignment vertical="center"/>
    </xf>
    <xf numFmtId="209" fontId="20" fillId="0" borderId="0" applyFont="0" applyFill="0" applyBorder="0" applyAlignment="0" applyProtection="0">
      <alignment vertical="center"/>
    </xf>
    <xf numFmtId="209" fontId="20" fillId="0" borderId="0" applyFont="0" applyFill="0" applyBorder="0" applyAlignment="0" applyProtection="0">
      <alignment vertical="center"/>
    </xf>
    <xf numFmtId="251" fontId="31" fillId="0" borderId="15">
      <alignment vertical="center"/>
    </xf>
    <xf numFmtId="252" fontId="31" fillId="0" borderId="15" applyFill="0" applyBorder="0" applyProtection="0">
      <alignment vertical="center"/>
    </xf>
    <xf numFmtId="253" fontId="31" fillId="0" borderId="15">
      <alignment vertical="center"/>
    </xf>
    <xf numFmtId="254" fontId="24" fillId="0" borderId="0" applyFont="0" applyFill="0" applyBorder="0" applyAlignment="0" applyProtection="0"/>
    <xf numFmtId="255" fontId="24" fillId="0" borderId="0" applyFont="0" applyFill="0" applyBorder="0" applyAlignment="0" applyProtection="0"/>
    <xf numFmtId="256" fontId="24" fillId="0" borderId="0" applyFont="0" applyFill="0" applyBorder="0" applyAlignment="0" applyProtection="0"/>
    <xf numFmtId="257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/>
    <xf numFmtId="10" fontId="94" fillId="0" borderId="0" applyFont="0" applyFill="0" applyBorder="0" applyAlignment="0" applyProtection="0"/>
    <xf numFmtId="10" fontId="94" fillId="0" borderId="0" applyFont="0" applyFill="0" applyBorder="0" applyAlignment="0" applyProtection="0"/>
    <xf numFmtId="258" fontId="26" fillId="0" borderId="0">
      <protection locked="0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9" fillId="0" borderId="0"/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9" fillId="0" borderId="0"/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8" fillId="0" borderId="0"/>
    <xf numFmtId="0" fontId="20" fillId="0" borderId="0"/>
    <xf numFmtId="0" fontId="20" fillId="0" borderId="0"/>
    <xf numFmtId="0" fontId="20" fillId="0" borderId="0"/>
    <xf numFmtId="0" fontId="28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9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8" fillId="0" borderId="0"/>
    <xf numFmtId="0" fontId="20" fillId="0" borderId="0"/>
    <xf numFmtId="0" fontId="20" fillId="0" borderId="0"/>
    <xf numFmtId="0" fontId="20" fillId="0" borderId="0"/>
    <xf numFmtId="0" fontId="13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/>
    <xf numFmtId="0" fontId="2" fillId="0" borderId="0">
      <alignment vertical="center"/>
    </xf>
    <xf numFmtId="0" fontId="28" fillId="0" borderId="0"/>
    <xf numFmtId="0" fontId="22" fillId="0" borderId="0">
      <alignment vertical="center"/>
    </xf>
    <xf numFmtId="0" fontId="28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2" fillId="0" borderId="0">
      <alignment vertical="center"/>
    </xf>
    <xf numFmtId="0" fontId="5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59" fillId="0" borderId="0"/>
    <xf numFmtId="0" fontId="20" fillId="0" borderId="0"/>
    <xf numFmtId="0" fontId="38" fillId="0" borderId="0">
      <alignment vertical="center"/>
    </xf>
    <xf numFmtId="0" fontId="2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59" fillId="0" borderId="0"/>
    <xf numFmtId="0" fontId="28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5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9" fillId="0" borderId="0"/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59" fillId="0" borderId="0"/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59" fillId="0" borderId="0"/>
    <xf numFmtId="0" fontId="20" fillId="0" borderId="0"/>
    <xf numFmtId="0" fontId="26" fillId="0" borderId="31">
      <alignment vertical="center" wrapText="1"/>
    </xf>
    <xf numFmtId="0" fontId="31" fillId="0" borderId="0"/>
    <xf numFmtId="0" fontId="28" fillId="0" borderId="0"/>
    <xf numFmtId="0" fontId="28" fillId="0" borderId="0"/>
    <xf numFmtId="0" fontId="28" fillId="0" borderId="0"/>
    <xf numFmtId="14" fontId="140" fillId="0" borderId="0" applyFont="0" applyFill="0" applyBorder="0" applyAlignment="0" applyProtection="0"/>
    <xf numFmtId="259" fontId="26" fillId="0" borderId="0" applyFont="0" applyFill="0" applyBorder="0" applyAlignment="0" applyProtection="0"/>
    <xf numFmtId="0" fontId="42" fillId="0" borderId="18">
      <alignment horizontal="center" vertical="center"/>
    </xf>
    <xf numFmtId="0" fontId="141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5" fontId="20" fillId="0" borderId="0" applyBorder="0"/>
    <xf numFmtId="5" fontId="20" fillId="0" borderId="0" applyBorder="0"/>
    <xf numFmtId="5" fontId="20" fillId="0" borderId="0" applyBorder="0"/>
    <xf numFmtId="5" fontId="20" fillId="0" borderId="0" applyBorder="0"/>
    <xf numFmtId="5" fontId="20" fillId="0" borderId="0" applyBorder="0"/>
    <xf numFmtId="0" fontId="94" fillId="0" borderId="48" applyNumberFormat="0" applyFont="0" applyFill="0" applyAlignment="0" applyProtection="0"/>
    <xf numFmtId="0" fontId="94" fillId="0" borderId="48" applyNumberFormat="0" applyFont="0" applyFill="0" applyAlignment="0" applyProtection="0"/>
    <xf numFmtId="0" fontId="34" fillId="0" borderId="48">
      <protection locked="0"/>
    </xf>
    <xf numFmtId="0" fontId="94" fillId="0" borderId="48" applyNumberFormat="0" applyFont="0" applyFill="0" applyAlignment="0" applyProtection="0"/>
    <xf numFmtId="26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261" fontId="94" fillId="0" borderId="0" applyFont="0" applyFill="0" applyBorder="0" applyAlignment="0" applyProtection="0"/>
    <xf numFmtId="261" fontId="94" fillId="0" borderId="0" applyFont="0" applyFill="0" applyBorder="0" applyAlignment="0" applyProtection="0"/>
    <xf numFmtId="262" fontId="26" fillId="0" borderId="0">
      <protection locked="0"/>
    </xf>
    <xf numFmtId="230" fontId="94" fillId="0" borderId="0" applyFont="0" applyFill="0" applyBorder="0" applyAlignment="0" applyProtection="0"/>
    <xf numFmtId="230" fontId="94" fillId="0" borderId="0" applyFont="0" applyFill="0" applyBorder="0" applyAlignment="0" applyProtection="0"/>
    <xf numFmtId="263" fontId="26" fillId="0" borderId="0">
      <protection locked="0"/>
    </xf>
    <xf numFmtId="0" fontId="20" fillId="0" borderId="0">
      <alignment vertical="center"/>
    </xf>
    <xf numFmtId="0" fontId="20" fillId="0" borderId="0"/>
    <xf numFmtId="0" fontId="20" fillId="0" borderId="0"/>
    <xf numFmtId="0" fontId="25" fillId="0" borderId="50">
      <alignment horizontal="centerContinuous" vertical="center"/>
    </xf>
    <xf numFmtId="38" fontId="26" fillId="0" borderId="51">
      <alignment horizontal="right"/>
    </xf>
    <xf numFmtId="38" fontId="35" fillId="0" borderId="0" applyNumberFormat="0">
      <alignment vertical="center"/>
    </xf>
    <xf numFmtId="0" fontId="67" fillId="0" borderId="52">
      <alignment horizontal="left" vertical="center"/>
    </xf>
    <xf numFmtId="10" fontId="62" fillId="54" borderId="49" applyNumberFormat="0" applyBorder="0" applyAlignment="0" applyProtection="0"/>
    <xf numFmtId="10" fontId="62" fillId="57" borderId="49" applyNumberFormat="0" applyBorder="0" applyAlignment="0" applyProtection="0"/>
    <xf numFmtId="38" fontId="45" fillId="0" borderId="0"/>
    <xf numFmtId="0" fontId="92" fillId="64" borderId="53" applyNumberFormat="0" applyAlignment="0" applyProtection="0">
      <alignment vertical="center"/>
    </xf>
    <xf numFmtId="0" fontId="92" fillId="64" borderId="53" applyNumberFormat="0" applyAlignment="0" applyProtection="0">
      <alignment vertical="center"/>
    </xf>
    <xf numFmtId="0" fontId="92" fillId="44" borderId="53" applyNumberFormat="0" applyAlignment="0" applyProtection="0">
      <alignment vertical="center"/>
    </xf>
    <xf numFmtId="0" fontId="92" fillId="44" borderId="53" applyNumberFormat="0" applyAlignment="0" applyProtection="0">
      <alignment vertical="center"/>
    </xf>
    <xf numFmtId="0" fontId="92" fillId="64" borderId="53" applyNumberFormat="0" applyAlignment="0" applyProtection="0">
      <alignment vertical="center"/>
    </xf>
    <xf numFmtId="0" fontId="20" fillId="0" borderId="49">
      <alignment horizontal="right" vertical="center"/>
    </xf>
    <xf numFmtId="0" fontId="20" fillId="0" borderId="49">
      <alignment horizontal="right" vertical="center"/>
    </xf>
    <xf numFmtId="0" fontId="20" fillId="0" borderId="49">
      <alignment horizontal="right" vertical="center"/>
    </xf>
    <xf numFmtId="0" fontId="20" fillId="0" borderId="49">
      <alignment horizontal="right" vertical="center"/>
    </xf>
    <xf numFmtId="0" fontId="20" fillId="0" borderId="49">
      <alignment horizontal="right" vertical="center"/>
    </xf>
    <xf numFmtId="38" fontId="30" fillId="0" borderId="0"/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0" fontId="20" fillId="40" borderId="54" applyNumberFormat="0" applyFont="0" applyAlignment="0" applyProtection="0">
      <alignment vertical="center"/>
    </xf>
    <xf numFmtId="41" fontId="27" fillId="0" borderId="49" applyNumberFormat="0" applyFont="0" applyFill="0" applyBorder="0" applyProtection="0">
      <alignment horizontal="distributed"/>
    </xf>
    <xf numFmtId="3" fontId="27" fillId="0" borderId="49"/>
    <xf numFmtId="0" fontId="27" fillId="0" borderId="49"/>
    <xf numFmtId="0" fontId="105" fillId="0" borderId="49"/>
    <xf numFmtId="0" fontId="109" fillId="66" borderId="55" applyNumberFormat="0" applyAlignment="0" applyProtection="0">
      <alignment vertical="center"/>
    </xf>
    <xf numFmtId="0" fontId="109" fillId="66" borderId="55" applyNumberFormat="0" applyAlignment="0" applyProtection="0">
      <alignment vertical="center"/>
    </xf>
    <xf numFmtId="0" fontId="109" fillId="66" borderId="55" applyNumberForma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116" fillId="0" borderId="56" applyNumberFormat="0" applyFill="0" applyAlignment="0" applyProtection="0">
      <alignment vertical="center"/>
    </xf>
    <xf numFmtId="0" fontId="116" fillId="0" borderId="56" applyNumberFormat="0" applyFill="0" applyAlignment="0" applyProtection="0">
      <alignment vertical="center"/>
    </xf>
    <xf numFmtId="0" fontId="116" fillId="0" borderId="57" applyNumberFormat="0" applyFill="0" applyAlignment="0" applyProtection="0">
      <alignment vertical="center"/>
    </xf>
    <xf numFmtId="0" fontId="116" fillId="0" borderId="57" applyNumberFormat="0" applyFill="0" applyAlignment="0" applyProtection="0">
      <alignment vertical="center"/>
    </xf>
    <xf numFmtId="0" fontId="116" fillId="0" borderId="56" applyNumberFormat="0" applyFill="0" applyAlignment="0" applyProtection="0">
      <alignment vertical="center"/>
    </xf>
    <xf numFmtId="0" fontId="119" fillId="46" borderId="53" applyNumberFormat="0" applyAlignment="0" applyProtection="0">
      <alignment vertical="center"/>
    </xf>
    <xf numFmtId="0" fontId="119" fillId="46" borderId="53" applyNumberFormat="0" applyAlignment="0" applyProtection="0">
      <alignment vertical="center"/>
    </xf>
    <xf numFmtId="0" fontId="119" fillId="36" borderId="53" applyNumberFormat="0" applyAlignment="0" applyProtection="0">
      <alignment vertical="center"/>
    </xf>
    <xf numFmtId="0" fontId="119" fillId="36" borderId="53" applyNumberFormat="0" applyAlignment="0" applyProtection="0">
      <alignment vertical="center"/>
    </xf>
    <xf numFmtId="0" fontId="119" fillId="46" borderId="53" applyNumberFormat="0" applyAlignment="0" applyProtection="0">
      <alignment vertical="center"/>
    </xf>
    <xf numFmtId="0" fontId="26" fillId="0" borderId="49">
      <alignment horizontal="distributed" vertical="center"/>
    </xf>
    <xf numFmtId="0" fontId="26" fillId="0" borderId="58">
      <alignment horizontal="distributed"/>
    </xf>
    <xf numFmtId="0" fontId="136" fillId="64" borderId="59" applyNumberFormat="0" applyAlignment="0" applyProtection="0">
      <alignment vertical="center"/>
    </xf>
    <xf numFmtId="0" fontId="136" fillId="64" borderId="59" applyNumberFormat="0" applyAlignment="0" applyProtection="0">
      <alignment vertical="center"/>
    </xf>
    <xf numFmtId="0" fontId="136" fillId="44" borderId="59" applyNumberFormat="0" applyAlignment="0" applyProtection="0">
      <alignment vertical="center"/>
    </xf>
    <xf numFmtId="0" fontId="136" fillId="44" borderId="59" applyNumberFormat="0" applyAlignment="0" applyProtection="0">
      <alignment vertical="center"/>
    </xf>
    <xf numFmtId="0" fontId="136" fillId="64" borderId="59" applyNumberFormat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5" fontId="20" fillId="0" borderId="0" applyBorder="0"/>
    <xf numFmtId="5" fontId="20" fillId="0" borderId="0" applyBorder="0"/>
    <xf numFmtId="5" fontId="20" fillId="0" borderId="0" applyBorder="0"/>
    <xf numFmtId="5" fontId="20" fillId="0" borderId="0" applyBorder="0"/>
    <xf numFmtId="5" fontId="20" fillId="0" borderId="0" applyBorder="0"/>
    <xf numFmtId="0" fontId="145" fillId="0" borderId="0"/>
    <xf numFmtId="41" fontId="27" fillId="0" borderId="49" applyNumberFormat="0" applyFont="0" applyFill="0" applyBorder="0" applyProtection="0">
      <alignment horizontal="distributed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5" fontId="20" fillId="0" borderId="0" applyBorder="0"/>
    <xf numFmtId="5" fontId="20" fillId="0" borderId="0" applyBorder="0"/>
    <xf numFmtId="5" fontId="20" fillId="0" borderId="0" applyBorder="0"/>
    <xf numFmtId="5" fontId="20" fillId="0" borderId="0" applyBorder="0"/>
    <xf numFmtId="5" fontId="20" fillId="0" borderId="0" applyBorder="0"/>
    <xf numFmtId="0" fontId="94" fillId="0" borderId="60" applyNumberFormat="0" applyFont="0" applyFill="0" applyAlignment="0" applyProtection="0"/>
    <xf numFmtId="0" fontId="94" fillId="0" borderId="60" applyNumberFormat="0" applyFont="0" applyFill="0" applyAlignment="0" applyProtection="0"/>
    <xf numFmtId="0" fontId="34" fillId="0" borderId="60">
      <protection locked="0"/>
    </xf>
    <xf numFmtId="41" fontId="27" fillId="0" borderId="49" applyNumberFormat="0" applyFont="0" applyFill="0" applyBorder="0" applyProtection="0">
      <alignment horizontal="distributed"/>
    </xf>
    <xf numFmtId="0" fontId="109" fillId="66" borderId="61" applyNumberFormat="0" applyAlignment="0" applyProtection="0">
      <alignment vertical="center"/>
    </xf>
    <xf numFmtId="0" fontId="109" fillId="66" borderId="61" applyNumberFormat="0" applyAlignment="0" applyProtection="0">
      <alignment vertical="center"/>
    </xf>
    <xf numFmtId="0" fontId="109" fillId="66" borderId="61" applyNumberForma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5" fontId="20" fillId="0" borderId="0" applyBorder="0"/>
    <xf numFmtId="5" fontId="20" fillId="0" borderId="0" applyBorder="0"/>
    <xf numFmtId="5" fontId="20" fillId="0" borderId="0" applyBorder="0"/>
    <xf numFmtId="5" fontId="20" fillId="0" borderId="0" applyBorder="0"/>
    <xf numFmtId="5" fontId="20" fillId="0" borderId="0" applyBorder="0"/>
    <xf numFmtId="0" fontId="1" fillId="0" borderId="0"/>
  </cellStyleXfs>
  <cellXfs count="59">
    <xf numFmtId="0" fontId="0" fillId="0" borderId="0" xfId="0">
      <alignment vertical="center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143" fillId="0" borderId="10" xfId="0" applyFont="1" applyBorder="1" applyAlignment="1">
      <alignment horizontal="center" vertical="center" wrapText="1"/>
    </xf>
    <xf numFmtId="0" fontId="143" fillId="0" borderId="10" xfId="0" applyFont="1" applyBorder="1" applyAlignment="1">
      <alignment horizontal="left" vertical="center" wrapText="1" indent="1"/>
    </xf>
    <xf numFmtId="0" fontId="143" fillId="0" borderId="46" xfId="0" applyFont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0" fontId="144" fillId="34" borderId="49" xfId="0" applyFont="1" applyFill="1" applyBorder="1" applyAlignment="1">
      <alignment horizontal="center" vertical="center"/>
    </xf>
    <xf numFmtId="0" fontId="0" fillId="0" borderId="49" xfId="0" applyFill="1" applyBorder="1">
      <alignment vertical="center"/>
    </xf>
    <xf numFmtId="0" fontId="0" fillId="0" borderId="49" xfId="0" applyFill="1" applyBorder="1" applyAlignment="1">
      <alignment horizontal="center" vertical="center"/>
    </xf>
    <xf numFmtId="0" fontId="144" fillId="34" borderId="49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46" fillId="0" borderId="49" xfId="0" applyFont="1" applyBorder="1" applyAlignment="1">
      <alignment horizontal="center" vertical="center" wrapText="1"/>
    </xf>
    <xf numFmtId="49" fontId="147" fillId="0" borderId="49" xfId="0" applyNumberFormat="1" applyFont="1" applyBorder="1" applyAlignment="1">
      <alignment vertical="center" wrapText="1"/>
    </xf>
    <xf numFmtId="0" fontId="147" fillId="0" borderId="49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Fill="1" applyAlignment="1"/>
    <xf numFmtId="0" fontId="148" fillId="0" borderId="0" xfId="0" applyFont="1" applyFill="1" applyAlignme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Fill="1" applyAlignment="1">
      <alignment horizontal="left" vertical="center" wrapText="1"/>
    </xf>
    <xf numFmtId="0" fontId="0" fillId="67" borderId="49" xfId="0" applyFill="1" applyBorder="1">
      <alignment vertical="center"/>
    </xf>
    <xf numFmtId="0" fontId="144" fillId="34" borderId="49" xfId="0" applyFont="1" applyFill="1" applyBorder="1" applyAlignment="1">
      <alignment vertical="center"/>
    </xf>
    <xf numFmtId="0" fontId="0" fillId="0" borderId="49" xfId="0" applyNumberFormat="1" applyFill="1" applyBorder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49" xfId="0" applyFill="1" applyBorder="1" applyAlignment="1">
      <alignment vertical="center"/>
    </xf>
    <xf numFmtId="0" fontId="0" fillId="0" borderId="49" xfId="0" applyFill="1" applyBorder="1">
      <alignment vertical="center"/>
    </xf>
    <xf numFmtId="0" fontId="0" fillId="0" borderId="49" xfId="0" applyFill="1" applyBorder="1" applyAlignment="1">
      <alignment horizontal="center" vertical="center"/>
    </xf>
    <xf numFmtId="0" fontId="28" fillId="0" borderId="49" xfId="0" applyFont="1" applyFill="1" applyBorder="1" applyAlignment="1">
      <alignment horizontal="center" vertical="center"/>
    </xf>
    <xf numFmtId="0" fontId="0" fillId="0" borderId="49" xfId="0" applyBorder="1">
      <alignment vertical="center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0" fontId="0" fillId="0" borderId="49" xfId="0" applyBorder="1" applyAlignment="1">
      <alignment horizontal="right" vertical="center"/>
    </xf>
    <xf numFmtId="0" fontId="0" fillId="0" borderId="49" xfId="0" applyFill="1" applyBorder="1" applyAlignment="1">
      <alignment horizontal="left" vertical="center"/>
    </xf>
    <xf numFmtId="0" fontId="0" fillId="0" borderId="49" xfId="0" quotePrefix="1" applyBorder="1">
      <alignment vertical="center"/>
    </xf>
    <xf numFmtId="0" fontId="152" fillId="0" borderId="49" xfId="0" applyFont="1" applyFill="1" applyBorder="1" applyAlignment="1">
      <alignment horizontal="left" vertical="center"/>
    </xf>
    <xf numFmtId="0" fontId="152" fillId="0" borderId="49" xfId="0" applyFont="1" applyFill="1" applyBorder="1">
      <alignment vertical="center"/>
    </xf>
    <xf numFmtId="0" fontId="152" fillId="0" borderId="49" xfId="4001" applyFont="1" applyFill="1" applyBorder="1">
      <alignment vertical="center"/>
    </xf>
    <xf numFmtId="0" fontId="0" fillId="68" borderId="49" xfId="0" applyFill="1" applyBorder="1">
      <alignment vertical="center"/>
    </xf>
    <xf numFmtId="0" fontId="0" fillId="0" borderId="49" xfId="0" quotePrefix="1" applyFill="1" applyBorder="1" applyAlignment="1">
      <alignment vertical="center"/>
    </xf>
    <xf numFmtId="0" fontId="22" fillId="0" borderId="49" xfId="4001" applyBorder="1" applyAlignment="1">
      <alignment horizontal="left" vertical="center"/>
    </xf>
    <xf numFmtId="0" fontId="22" fillId="68" borderId="49" xfId="4001" applyFill="1" applyBorder="1">
      <alignment vertical="center"/>
    </xf>
    <xf numFmtId="0" fontId="0" fillId="0" borderId="49" xfId="0" applyBorder="1" applyAlignment="1">
      <alignment vertical="center"/>
    </xf>
    <xf numFmtId="0" fontId="152" fillId="0" borderId="49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69" borderId="49" xfId="0" applyFill="1" applyBorder="1">
      <alignment vertical="center"/>
    </xf>
    <xf numFmtId="0" fontId="0" fillId="69" borderId="49" xfId="0" applyFill="1" applyBorder="1" applyAlignment="1">
      <alignment vertical="center"/>
    </xf>
    <xf numFmtId="0" fontId="0" fillId="69" borderId="49" xfId="0" applyFill="1" applyBorder="1" applyAlignment="1">
      <alignment horizontal="center" vertical="center"/>
    </xf>
    <xf numFmtId="0" fontId="0" fillId="69" borderId="0" xfId="0" applyFill="1">
      <alignment vertical="center"/>
    </xf>
    <xf numFmtId="0" fontId="0" fillId="69" borderId="49" xfId="0" applyFill="1" applyBorder="1" applyAlignment="1">
      <alignment horizontal="right" vertical="center"/>
    </xf>
    <xf numFmtId="0" fontId="0" fillId="0" borderId="49" xfId="0" applyFill="1" applyBorder="1" applyAlignment="1">
      <alignment horizontal="right" vertical="center"/>
    </xf>
    <xf numFmtId="0" fontId="22" fillId="0" borderId="49" xfId="4001" applyFill="1" applyBorder="1">
      <alignment vertical="center"/>
    </xf>
    <xf numFmtId="49" fontId="0" fillId="0" borderId="49" xfId="0" applyNumberFormat="1" applyFill="1" applyBorder="1" applyAlignment="1">
      <alignment horizontal="right" vertical="center"/>
    </xf>
    <xf numFmtId="0" fontId="0" fillId="0" borderId="62" xfId="0" applyFill="1" applyBorder="1">
      <alignment vertical="center"/>
    </xf>
    <xf numFmtId="0" fontId="0" fillId="0" borderId="49" xfId="0" applyFill="1" applyBorder="1" applyAlignment="1">
      <alignment horizontal="left" vertical="center" wrapText="1"/>
    </xf>
    <xf numFmtId="0" fontId="0" fillId="0" borderId="0" xfId="0" applyFill="1" applyBorder="1">
      <alignment vertical="center"/>
    </xf>
  </cellXfs>
  <cellStyles count="6272">
    <cellStyle name="_x000a_386grabber=M" xfId="44" xr:uid="{00000000-0005-0000-0000-000000000000}"/>
    <cellStyle name="_x000a_386grabber=M 10" xfId="45" xr:uid="{00000000-0005-0000-0000-000001000000}"/>
    <cellStyle name="_x000a_386grabber=M 2" xfId="46" xr:uid="{00000000-0005-0000-0000-000002000000}"/>
    <cellStyle name="_x000a_386grabber=M 3" xfId="47" xr:uid="{00000000-0005-0000-0000-000003000000}"/>
    <cellStyle name="_x000a_386grabber=M 4" xfId="48" xr:uid="{00000000-0005-0000-0000-000004000000}"/>
    <cellStyle name="_x000a_386grabber=M 5" xfId="49" xr:uid="{00000000-0005-0000-0000-000005000000}"/>
    <cellStyle name="_x000a_386grabber=M 6" xfId="50" xr:uid="{00000000-0005-0000-0000-000006000000}"/>
    <cellStyle name="_x000a_386grabber=M 7" xfId="51" xr:uid="{00000000-0005-0000-0000-000007000000}"/>
    <cellStyle name="_x000a_386grabber=M 8" xfId="52" xr:uid="{00000000-0005-0000-0000-000008000000}"/>
    <cellStyle name="_x000a_386grabber=M 9" xfId="53" xr:uid="{00000000-0005-0000-0000-000009000000}"/>
    <cellStyle name="&quot;" xfId="54" xr:uid="{00000000-0005-0000-0000-00000A000000}"/>
    <cellStyle name="&quot;_11년 자료정비_시험사업_시스템-산출내역서_V1.3" xfId="55" xr:uid="{00000000-0005-0000-0000-00000B000000}"/>
    <cellStyle name="&quot;_11년 자료정비_시험사업_시스템-산출내역서_V1.4" xfId="56" xr:uid="{00000000-0005-0000-0000-00000C000000}"/>
    <cellStyle name="&quot;_11년 자료정비_시험사업_시스템-산출내역서_V1.4_부동산행정정보일원화 12년사업 내역서-1.0_전승표" xfId="57" xr:uid="{00000000-0005-0000-0000-00000D000000}"/>
    <cellStyle name="&quot;_2010년_설계변경_설계내역서" xfId="58" xr:uid="{00000000-0005-0000-0000-00000E000000}"/>
    <cellStyle name="&quot;_2010년_설계변경_설계내역서_11년 자료정비_시험사업_시스템-산출내역서_V1.4" xfId="59" xr:uid="{00000000-0005-0000-0000-00000F000000}"/>
    <cellStyle name="&quot;_2010년_설계변경_설계내역서_11년 자료정비_시험사업_시스템-산출내역서_V1.4_부동산행정정보일원화 12년사업 내역서-1.0_전승표" xfId="60" xr:uid="{00000000-0005-0000-0000-000010000000}"/>
    <cellStyle name="&quot;_부동산행정정보일원화 설계서(총괄) 0212" xfId="61" xr:uid="{00000000-0005-0000-0000-000011000000}"/>
    <cellStyle name="#" xfId="62" xr:uid="{00000000-0005-0000-0000-000012000000}"/>
    <cellStyle name="# 2" xfId="4597" xr:uid="{00000000-0005-0000-0000-000012000000}"/>
    <cellStyle name="#,##0" xfId="63" xr:uid="{00000000-0005-0000-0000-000013000000}"/>
    <cellStyle name="#,##0.0" xfId="64" xr:uid="{00000000-0005-0000-0000-000014000000}"/>
    <cellStyle name="#,##0.00" xfId="65" xr:uid="{00000000-0005-0000-0000-000015000000}"/>
    <cellStyle name="#,##0.000" xfId="66" xr:uid="{00000000-0005-0000-0000-000016000000}"/>
    <cellStyle name="$" xfId="67" xr:uid="{00000000-0005-0000-0000-000017000000}"/>
    <cellStyle name="$_0008금감원통합감독검사정보시스템" xfId="68" xr:uid="{00000000-0005-0000-0000-000018000000}"/>
    <cellStyle name="$_0009김포공항LED교체공사(광일)" xfId="69" xr:uid="{00000000-0005-0000-0000-000019000000}"/>
    <cellStyle name="$_0011KIST소각설비제작설치" xfId="70" xr:uid="{00000000-0005-0000-0000-00001A000000}"/>
    <cellStyle name="$_0011긴급전화기정산(99년형광일)" xfId="71" xr:uid="{00000000-0005-0000-0000-00001B000000}"/>
    <cellStyle name="$_0011부산종합경기장전광판" xfId="72" xr:uid="{00000000-0005-0000-0000-00001C000000}"/>
    <cellStyle name="$_0012문화유적지표석제작설치" xfId="73" xr:uid="{00000000-0005-0000-0000-00001D000000}"/>
    <cellStyle name="$_0102국제조명신공항분수조명" xfId="74" xr:uid="{00000000-0005-0000-0000-00001E000000}"/>
    <cellStyle name="$_0103회전식현수막게시대제작설치" xfId="75" xr:uid="{00000000-0005-0000-0000-00001F000000}"/>
    <cellStyle name="$_0104포항시침출수처리시스템" xfId="76" xr:uid="{00000000-0005-0000-0000-000020000000}"/>
    <cellStyle name="$_0105담배자판기개조원가" xfId="77" xr:uid="{00000000-0005-0000-0000-000021000000}"/>
    <cellStyle name="$_0106LG인버터냉난방기제작-1" xfId="78" xr:uid="{00000000-0005-0000-0000-000022000000}"/>
    <cellStyle name="$_0107광전송장비구매설치" xfId="79" xr:uid="{00000000-0005-0000-0000-000023000000}"/>
    <cellStyle name="$_0107도공IBS설비SW부문(참조)" xfId="80" xr:uid="{00000000-0005-0000-0000-000024000000}"/>
    <cellStyle name="$_0107문화재복원용목재-8월6일" xfId="81" xr:uid="{00000000-0005-0000-0000-000025000000}"/>
    <cellStyle name="$_0107포천영중수배전반(제조,설치)" xfId="82" xr:uid="{00000000-0005-0000-0000-000026000000}"/>
    <cellStyle name="$_0108농기반미곡건조기제작설치" xfId="83" xr:uid="{00000000-0005-0000-0000-000027000000}"/>
    <cellStyle name="$_0108담배인삼공사영업춘추복" xfId="84" xr:uid="{00000000-0005-0000-0000-000028000000}"/>
    <cellStyle name="$_0108한국전기교통-LED교통신호등((원본))" xfId="85" xr:uid="{00000000-0005-0000-0000-000029000000}"/>
    <cellStyle name="$_0111해양수산부등명기제작" xfId="86" xr:uid="{00000000-0005-0000-0000-00002A000000}"/>
    <cellStyle name="$_0111핸디소프트-전자표준문서시스템" xfId="87" xr:uid="{00000000-0005-0000-0000-00002B000000}"/>
    <cellStyle name="$_0112금감원사무자동화시스템" xfId="88" xr:uid="{00000000-0005-0000-0000-00002C000000}"/>
    <cellStyle name="$_0112수도권매립지SW원가" xfId="89" xr:uid="{00000000-0005-0000-0000-00002D000000}"/>
    <cellStyle name="$_0112중고원-HRD종합정보망구축(完)" xfId="90" xr:uid="{00000000-0005-0000-0000-00002E000000}"/>
    <cellStyle name="$_0201종합예술회관의자제작설치-1" xfId="91" xr:uid="{00000000-0005-0000-0000-00002F000000}"/>
    <cellStyle name="$_0202마사회근무복" xfId="92" xr:uid="{00000000-0005-0000-0000-000030000000}"/>
    <cellStyle name="$_0202부경교재-승강칠판" xfId="93" xr:uid="{00000000-0005-0000-0000-000031000000}"/>
    <cellStyle name="$_0204한국석묘납골함-1규격" xfId="94" xr:uid="{00000000-0005-0000-0000-000032000000}"/>
    <cellStyle name="$_0206금감원금융정보교환망재구축" xfId="95" xr:uid="{00000000-0005-0000-0000-000033000000}"/>
    <cellStyle name="$_0206정통부수납장표기기제작설치" xfId="96" xr:uid="{00000000-0005-0000-0000-000034000000}"/>
    <cellStyle name="$_0207담배인삼공사-담요" xfId="97" xr:uid="{00000000-0005-0000-0000-000035000000}"/>
    <cellStyle name="$_0208레비텍-다층여과기설계변경" xfId="98" xr:uid="{00000000-0005-0000-0000-000036000000}"/>
    <cellStyle name="$_0209이산화염소발생기-설치(50K)" xfId="99" xr:uid="{00000000-0005-0000-0000-000037000000}"/>
    <cellStyle name="$_0210현대정보기술-TD이중계" xfId="100" xr:uid="{00000000-0005-0000-0000-000038000000}"/>
    <cellStyle name="$_0211조달청-#1대북지원사업정산(1월7일)" xfId="101" xr:uid="{00000000-0005-0000-0000-000039000000}"/>
    <cellStyle name="$_0212금감원-법규정보시스템(完)" xfId="102" xr:uid="{00000000-0005-0000-0000-00003A000000}"/>
    <cellStyle name="$_0301교통방송-CCTV유지보수" xfId="103" xr:uid="{00000000-0005-0000-0000-00003B000000}"/>
    <cellStyle name="$_0302인천경찰청-무인단속기위탁관리" xfId="104" xr:uid="{00000000-0005-0000-0000-00003C000000}"/>
    <cellStyle name="$_0302조달청-대북지원2차(안성연)" xfId="105" xr:uid="{00000000-0005-0000-0000-00003D000000}"/>
    <cellStyle name="$_0302조달청-대북지원2차(최수현)" xfId="106" xr:uid="{00000000-0005-0000-0000-00003E000000}"/>
    <cellStyle name="$_0302표준문서-쌍용정보통신(신)" xfId="107" xr:uid="{00000000-0005-0000-0000-00003F000000}"/>
    <cellStyle name="$_0304소프트파워-정부표준전자문서시스템" xfId="108" xr:uid="{00000000-0005-0000-0000-000040000000}"/>
    <cellStyle name="$_0304소프트파워-정부표준전자문서시스템(完)" xfId="109" xr:uid="{00000000-0005-0000-0000-000041000000}"/>
    <cellStyle name="$_0304철도청-주변환장치-1" xfId="110" xr:uid="{00000000-0005-0000-0000-000042000000}"/>
    <cellStyle name="$_0305금감원-금융통계정보시스템구축(完)" xfId="111" xr:uid="{00000000-0005-0000-0000-000043000000}"/>
    <cellStyle name="$_0305제낭조합-면범포지" xfId="112" xr:uid="{00000000-0005-0000-0000-000044000000}"/>
    <cellStyle name="$_0306제낭공업협동조합-면범포지원단(경비까지)" xfId="113" xr:uid="{00000000-0005-0000-0000-000045000000}"/>
    <cellStyle name="$_0307경찰청-무인교통단속표준SW개발용역(完)" xfId="114" xr:uid="{00000000-0005-0000-0000-000046000000}"/>
    <cellStyle name="$_0308조달청-#8대북지원사업정산" xfId="115" xr:uid="{00000000-0005-0000-0000-000047000000}"/>
    <cellStyle name="$_0309두합크린텍-설치원가" xfId="116" xr:uid="{00000000-0005-0000-0000-000048000000}"/>
    <cellStyle name="$_0309조달청-#9대북지원사업정산" xfId="117" xr:uid="{00000000-0005-0000-0000-000049000000}"/>
    <cellStyle name="$_0310여주상수도-탈수기(유천ENG)" xfId="118" xr:uid="{00000000-0005-0000-0000-00004A000000}"/>
    <cellStyle name="$_0311대기해양작업시간" xfId="119" xr:uid="{00000000-0005-0000-0000-00004B000000}"/>
    <cellStyle name="$_0311대기해양중형등명기" xfId="120" xr:uid="{00000000-0005-0000-0000-00004C000000}"/>
    <cellStyle name="$_0312국민체육진흥공단-전기부문" xfId="121" xr:uid="{00000000-0005-0000-0000-00004D000000}"/>
    <cellStyle name="$_0312대기해양-중형등명기제작설치" xfId="122" xr:uid="{00000000-0005-0000-0000-00004E000000}"/>
    <cellStyle name="$_0312라이준-칼라아스콘4규격" xfId="123" xr:uid="{00000000-0005-0000-0000-00004F000000}"/>
    <cellStyle name="$_0401집진기프로그램SW개발비산정" xfId="124" xr:uid="{00000000-0005-0000-0000-000050000000}"/>
    <cellStyle name="$_0404도로공사-전자지불(SW부문)" xfId="125" xr:uid="{00000000-0005-0000-0000-000051000000}"/>
    <cellStyle name="$_2001-06조달청신성-한냉지형" xfId="126" xr:uid="{00000000-0005-0000-0000-000052000000}"/>
    <cellStyle name="$_2002-03경찰대학-졸업식" xfId="127" xr:uid="{00000000-0005-0000-0000-000053000000}"/>
    <cellStyle name="$_2002-03경찰청-경찰표지장" xfId="128" xr:uid="{00000000-0005-0000-0000-000054000000}"/>
    <cellStyle name="$_2002-03반디-가로등(열주형)" xfId="129" xr:uid="{00000000-0005-0000-0000-000055000000}"/>
    <cellStyle name="$_2002-03신화전자-감지기" xfId="130" xr:uid="{00000000-0005-0000-0000-000056000000}"/>
    <cellStyle name="$_2002-04강원랜드-슬러트머신" xfId="131" xr:uid="{00000000-0005-0000-0000-000057000000}"/>
    <cellStyle name="$_2002-04메가컴-외주무대" xfId="132" xr:uid="{00000000-0005-0000-0000-000058000000}"/>
    <cellStyle name="$_2002-04엘지애드-무대" xfId="133" xr:uid="{00000000-0005-0000-0000-000059000000}"/>
    <cellStyle name="$_2002-05강원랜드-슬러트머신(넥스터)" xfId="134" xr:uid="{00000000-0005-0000-0000-00005A000000}"/>
    <cellStyle name="$_2002-05경기경찰청-냉온수기공사" xfId="135" xr:uid="{00000000-0005-0000-0000-00005B000000}"/>
    <cellStyle name="$_2002-05대통령비서실-카페트" xfId="136" xr:uid="{00000000-0005-0000-0000-00005C000000}"/>
    <cellStyle name="$_2002결과표" xfId="137" xr:uid="{00000000-0005-0000-0000-00005D000000}"/>
    <cellStyle name="$_2002결과표1" xfId="138" xr:uid="{00000000-0005-0000-0000-00005E000000}"/>
    <cellStyle name="$_2003-01정일사-표창5종" xfId="139" xr:uid="{00000000-0005-0000-0000-00005F000000}"/>
    <cellStyle name="$_db진흥" xfId="140" xr:uid="{00000000-0005-0000-0000-000060000000}"/>
    <cellStyle name="$_db진흥 2" xfId="141" xr:uid="{00000000-0005-0000-0000-000061000000}"/>
    <cellStyle name="$_db진흥 3" xfId="142" xr:uid="{00000000-0005-0000-0000-000062000000}"/>
    <cellStyle name="$_db진흥 4" xfId="143" xr:uid="{00000000-0005-0000-0000-000063000000}"/>
    <cellStyle name="$_db진흥 5" xfId="144" xr:uid="{00000000-0005-0000-0000-000064000000}"/>
    <cellStyle name="$_Pilot플랜트-계변경" xfId="145" xr:uid="{00000000-0005-0000-0000-000065000000}"/>
    <cellStyle name="$_Pilot플랜트이전설치-변경최종" xfId="146" xr:uid="{00000000-0005-0000-0000-000066000000}"/>
    <cellStyle name="$_SE40" xfId="147" xr:uid="{00000000-0005-0000-0000-000067000000}"/>
    <cellStyle name="$_SE40 2" xfId="148" xr:uid="{00000000-0005-0000-0000-000068000000}"/>
    <cellStyle name="$_SE40 3" xfId="149" xr:uid="{00000000-0005-0000-0000-000069000000}"/>
    <cellStyle name="$_SE40 4" xfId="150" xr:uid="{00000000-0005-0000-0000-00006A000000}"/>
    <cellStyle name="$_SE40 5" xfId="151" xr:uid="{00000000-0005-0000-0000-00006B000000}"/>
    <cellStyle name="$_SW(케이비)" xfId="152" xr:uid="{00000000-0005-0000-0000-00006C000000}"/>
    <cellStyle name="$_간지,목차,페이지,표지" xfId="153" xr:uid="{00000000-0005-0000-0000-00006D000000}"/>
    <cellStyle name="$_견적2" xfId="154" xr:uid="{00000000-0005-0000-0000-00006E000000}"/>
    <cellStyle name="$_견적2 2" xfId="155" xr:uid="{00000000-0005-0000-0000-00006F000000}"/>
    <cellStyle name="$_견적2 3" xfId="156" xr:uid="{00000000-0005-0000-0000-000070000000}"/>
    <cellStyle name="$_견적2 4" xfId="157" xr:uid="{00000000-0005-0000-0000-000071000000}"/>
    <cellStyle name="$_견적2 5" xfId="158" xr:uid="{00000000-0005-0000-0000-000072000000}"/>
    <cellStyle name="$_경찰청-근무,기동복" xfId="159" xr:uid="{00000000-0005-0000-0000-000073000000}"/>
    <cellStyle name="$_공사일반관리비양식" xfId="160" xr:uid="{00000000-0005-0000-0000-000074000000}"/>
    <cellStyle name="$_기아" xfId="161" xr:uid="{00000000-0005-0000-0000-000075000000}"/>
    <cellStyle name="$_기아 2" xfId="162" xr:uid="{00000000-0005-0000-0000-000076000000}"/>
    <cellStyle name="$_기아 3" xfId="163" xr:uid="{00000000-0005-0000-0000-000077000000}"/>
    <cellStyle name="$_기아 4" xfId="164" xr:uid="{00000000-0005-0000-0000-000078000000}"/>
    <cellStyle name="$_기아 5" xfId="165" xr:uid="{00000000-0005-0000-0000-000079000000}"/>
    <cellStyle name="$_기초공사" xfId="166" xr:uid="{00000000-0005-0000-0000-00007A000000}"/>
    <cellStyle name="$_네인텍정보기술-회로카드(수현)" xfId="167" xr:uid="{00000000-0005-0000-0000-00007B000000}"/>
    <cellStyle name="$_대기해양노무비" xfId="168" xr:uid="{00000000-0005-0000-0000-00007C000000}"/>
    <cellStyle name="$_대북자재8월분" xfId="169" xr:uid="{00000000-0005-0000-0000-00007D000000}"/>
    <cellStyle name="$_대북자재8월분-1" xfId="170" xr:uid="{00000000-0005-0000-0000-00007E000000}"/>
    <cellStyle name="$_도로공사MM" xfId="171" xr:uid="{00000000-0005-0000-0000-00007F000000}"/>
    <cellStyle name="$_도로공사tcssw" xfId="172" xr:uid="{00000000-0005-0000-0000-000080000000}"/>
    <cellStyle name="$_동산용사촌수현(원본)" xfId="173" xr:uid="{00000000-0005-0000-0000-000081000000}"/>
    <cellStyle name="$_백제군사전시1" xfId="174" xr:uid="{00000000-0005-0000-0000-000082000000}"/>
    <cellStyle name="$_수초제거기(대양기계)" xfId="175" xr:uid="{00000000-0005-0000-0000-000083000000}"/>
    <cellStyle name="$_시설용역" xfId="176" xr:uid="{00000000-0005-0000-0000-000084000000}"/>
    <cellStyle name="$_오리엔탈" xfId="177" xr:uid="{00000000-0005-0000-0000-000085000000}"/>
    <cellStyle name="$_원본 - 한국전기교통-개선형신호등 4종" xfId="178" xr:uid="{00000000-0005-0000-0000-000086000000}"/>
    <cellStyle name="$_제경비율모음" xfId="179" xr:uid="{00000000-0005-0000-0000-000087000000}"/>
    <cellStyle name="$_제조원가" xfId="180" xr:uid="{00000000-0005-0000-0000-000088000000}"/>
    <cellStyle name="$_조달청-B판사천강교제작(최종본)" xfId="181" xr:uid="{00000000-0005-0000-0000-000089000000}"/>
    <cellStyle name="$_조달청-대북지원3차(최수현)" xfId="182" xr:uid="{00000000-0005-0000-0000-00008A000000}"/>
    <cellStyle name="$_조달청-대북지원4차(최수현)" xfId="183" xr:uid="{00000000-0005-0000-0000-00008B000000}"/>
    <cellStyle name="$_조달청-대북지원5차(최수현)" xfId="184" xr:uid="{00000000-0005-0000-0000-00008C000000}"/>
    <cellStyle name="$_조달청-대북지원6차(번호)" xfId="185" xr:uid="{00000000-0005-0000-0000-00008D000000}"/>
    <cellStyle name="$_조달청-대북지원6차(최수현)" xfId="186" xr:uid="{00000000-0005-0000-0000-00008E000000}"/>
    <cellStyle name="$_조달청-대북지원7차(최수현)" xfId="187" xr:uid="{00000000-0005-0000-0000-00008F000000}"/>
    <cellStyle name="$_조달청-대북지원8차(최수현)" xfId="188" xr:uid="{00000000-0005-0000-0000-000090000000}"/>
    <cellStyle name="$_조달청-대북지원9차(최수현)" xfId="189" xr:uid="{00000000-0005-0000-0000-000091000000}"/>
    <cellStyle name="$_중앙선관위(투표,개표)" xfId="190" xr:uid="{00000000-0005-0000-0000-000092000000}"/>
    <cellStyle name="$_중앙선관위(투표,개표)-사본" xfId="191" xr:uid="{00000000-0005-0000-0000-000093000000}"/>
    <cellStyle name="$_철공가공조립" xfId="192" xr:uid="{00000000-0005-0000-0000-000094000000}"/>
    <cellStyle name="$_최종-한국전기교통-개선형신호등 4종(공수조정)" xfId="193" xr:uid="{00000000-0005-0000-0000-000095000000}"/>
    <cellStyle name="$_코솔라-제조원가" xfId="194" xr:uid="{00000000-0005-0000-0000-000096000000}"/>
    <cellStyle name="$_토지공사-간접비" xfId="195" xr:uid="{00000000-0005-0000-0000-000097000000}"/>
    <cellStyle name="$_한국도로공사" xfId="196" xr:uid="{00000000-0005-0000-0000-000098000000}"/>
    <cellStyle name="$_한전내역서-최종" xfId="197" xr:uid="{00000000-0005-0000-0000-000099000000}"/>
    <cellStyle name="(##.00)" xfId="198" xr:uid="{00000000-0005-0000-0000-00009A000000}"/>
    <cellStyle name="(표준)" xfId="199" xr:uid="{00000000-0005-0000-0000-00009B000000}"/>
    <cellStyle name="(표준) 2" xfId="4598" xr:uid="{00000000-0005-0000-0000-00009B000000}"/>
    <cellStyle name="??&amp;O?&amp;H?_x0008__x000f__x0007_?_x0007__x0001__x0001_" xfId="200" xr:uid="{00000000-0005-0000-0000-00009C000000}"/>
    <cellStyle name="??&amp;O?&amp;H?_x0008_??_x0007__x0001__x0001_" xfId="201" xr:uid="{00000000-0005-0000-0000-00009D000000}"/>
    <cellStyle name="??&amp;쏗?뷐9_x0008__x0011__x0007_?_x0007__x0001__x0001_" xfId="202" xr:uid="{00000000-0005-0000-0000-00009E000000}"/>
    <cellStyle name="???­ [0]_¸ð??¸·" xfId="203" xr:uid="{00000000-0005-0000-0000-00009F000000}"/>
    <cellStyle name="???­_¸ð??¸·" xfId="204" xr:uid="{00000000-0005-0000-0000-0000A0000000}"/>
    <cellStyle name="???Ø_¸ð??¸·" xfId="205" xr:uid="{00000000-0005-0000-0000-0000A1000000}"/>
    <cellStyle name="?Þ¸¶ [0]_¸ð??¸·" xfId="206" xr:uid="{00000000-0005-0000-0000-0000A2000000}"/>
    <cellStyle name="?Þ¸¶_¸ð??¸·" xfId="207" xr:uid="{00000000-0005-0000-0000-0000A3000000}"/>
    <cellStyle name="?W?_laroux" xfId="208" xr:uid="{00000000-0005-0000-0000-0000A4000000}"/>
    <cellStyle name="?曹%U?&amp;H?_x0008_?s_x000a__x0007__x0001__x0001_" xfId="209" xr:uid="{00000000-0005-0000-0000-0000A5000000}"/>
    <cellStyle name="@_laroux" xfId="210" xr:uid="{00000000-0005-0000-0000-0000A6000000}"/>
    <cellStyle name="@_laroux_제트베인" xfId="211" xr:uid="{00000000-0005-0000-0000-0000A7000000}"/>
    <cellStyle name="@_laroux_제트베인_1" xfId="212" xr:uid="{00000000-0005-0000-0000-0000A8000000}"/>
    <cellStyle name="@_laroux_제트베인_1 2" xfId="213" xr:uid="{00000000-0005-0000-0000-0000A9000000}"/>
    <cellStyle name="@_laroux_제트베인_1 3" xfId="214" xr:uid="{00000000-0005-0000-0000-0000AA000000}"/>
    <cellStyle name="@_laroux_제트베인_1 4" xfId="215" xr:uid="{00000000-0005-0000-0000-0000AB000000}"/>
    <cellStyle name="@_laroux_제트베인_1 5" xfId="216" xr:uid="{00000000-0005-0000-0000-0000AC000000}"/>
    <cellStyle name="_0106-06-007 금속 및 수장공사 단가견적- 대림" xfId="217" xr:uid="{00000000-0005-0000-0000-0000AD000000}"/>
    <cellStyle name="_015_LGPOWER" xfId="218" xr:uid="{00000000-0005-0000-0000-0000AE000000}"/>
    <cellStyle name="_021126_목포시청(총괄)" xfId="219" xr:uid="{00000000-0005-0000-0000-0000AF000000}"/>
    <cellStyle name="_060614_포천시(총괄설계안)ver4.0" xfId="220" xr:uid="{00000000-0005-0000-0000-0000B0000000}"/>
    <cellStyle name="_07-0319-시도시스템 및 공간자료관리 FP (2007)" xfId="221" xr:uid="{00000000-0005-0000-0000-0000B1000000}"/>
    <cellStyle name="_1220-원가조사-전자지불" xfId="222" xr:uid="{00000000-0005-0000-0000-0000B2000000}"/>
    <cellStyle name="_1차도로(통영1105)" xfId="223" xr:uid="{00000000-0005-0000-0000-0000B3000000}"/>
    <cellStyle name="_2001 장애조치" xfId="224" xr:uid="{00000000-0005-0000-0000-0000B4000000}"/>
    <cellStyle name="_2002결과표1" xfId="225" xr:uid="{00000000-0005-0000-0000-0000B5000000}"/>
    <cellStyle name="_2003년 설계서(서울시-기준점측량1)" xfId="226" xr:uid="{00000000-0005-0000-0000-0000B6000000}"/>
    <cellStyle name="_2003년설계품v2.1" xfId="227" xr:uid="{00000000-0005-0000-0000-0000B7000000}"/>
    <cellStyle name="_2004_가격산출 근거서" xfId="228" xr:uid="{00000000-0005-0000-0000-0000B8000000}"/>
    <cellStyle name="_2004_가격산출 근거서_수정" xfId="229" xr:uid="{00000000-0005-0000-0000-0000B9000000}"/>
    <cellStyle name="_2004_산출내역서(최종)_검토_041013" xfId="230" xr:uid="{00000000-0005-0000-0000-0000BA000000}"/>
    <cellStyle name="_20050510(지노시스템_서울시청 도로 굴착,복구)" xfId="231" xr:uid="{00000000-0005-0000-0000-0000BB000000}"/>
    <cellStyle name="_2005년 사업 시스템 부문 설계내역서_2.0" xfId="232" xr:uid="{00000000-0005-0000-0000-0000BC000000}"/>
    <cellStyle name="_2005년 사업 시스템 부문 설계내역서_2.3" xfId="233" xr:uid="{00000000-0005-0000-0000-0000BD000000}"/>
    <cellStyle name="_2006 가격제안서_지노" xfId="234" xr:uid="{00000000-0005-0000-0000-0000BE000000}"/>
    <cellStyle name="_2차분최종" xfId="235" xr:uid="{00000000-0005-0000-0000-0000BF000000}"/>
    <cellStyle name="_Book1" xfId="236" xr:uid="{00000000-0005-0000-0000-0000C0000000}"/>
    <cellStyle name="_Book3" xfId="237" xr:uid="{00000000-0005-0000-0000-0000C1000000}"/>
    <cellStyle name="_C앤C" xfId="238" xr:uid="{00000000-0005-0000-0000-0000C2000000}"/>
    <cellStyle name="_C앤C(네트웍)" xfId="239" xr:uid="{00000000-0005-0000-0000-0000C3000000}"/>
    <cellStyle name="_C앤C원가계산" xfId="240" xr:uid="{00000000-0005-0000-0000-0000C4000000}"/>
    <cellStyle name="_DB구축설계서(남양주0816)" xfId="241" xr:uid="{00000000-0005-0000-0000-0000C5000000}"/>
    <cellStyle name="_DB설계" xfId="242" xr:uid="{00000000-0005-0000-0000-0000C6000000}"/>
    <cellStyle name="_DL760(엑사큐뷰-김상현) 0304 mail" xfId="243" xr:uid="{00000000-0005-0000-0000-0000C7000000}"/>
    <cellStyle name="_E280R외(2-4)발송" xfId="244" xr:uid="{00000000-0005-0000-0000-0000C8000000}"/>
    <cellStyle name="_E280R외(2-4)발송-수정" xfId="245" xr:uid="{00000000-0005-0000-0000-0000C9000000}"/>
    <cellStyle name="_FP_설계내역샘플_(가중치직접산정방식)_New" xfId="246" xr:uid="{00000000-0005-0000-0000-0000CA000000}"/>
    <cellStyle name="_FP_설계내역샘플_(평균가중치방식)_New" xfId="247" xr:uid="{00000000-0005-0000-0000-0000CB000000}"/>
    <cellStyle name="_GIS포털시스템기능고도화 용역예산설계서(050406)" xfId="248" xr:uid="{00000000-0005-0000-0000-0000CC000000}"/>
    <cellStyle name="_IBM" xfId="249" xr:uid="{00000000-0005-0000-0000-0000CD000000}"/>
    <cellStyle name="_ISP설계_선도소프트" xfId="250" xr:uid="{00000000-0005-0000-0000-0000CE000000}"/>
    <cellStyle name="_ms(엑사큐뷰-김상현) 0411" xfId="251" xr:uid="{00000000-0005-0000-0000-0000CF000000}"/>
    <cellStyle name="_QHP40000514-DY1(엑사큐브)1" xfId="252" xr:uid="{00000000-0005-0000-0000-0000D0000000}"/>
    <cellStyle name="_SDQ031036캐드랜드(거제시청)" xfId="253" xr:uid="{00000000-0005-0000-0000-0000D1000000}"/>
    <cellStyle name="_Sheet1_1" xfId="254" xr:uid="{00000000-0005-0000-0000-0000D2000000}"/>
    <cellStyle name="_SI부문_김천시" xfId="255" xr:uid="{00000000-0005-0000-0000-0000D3000000}"/>
    <cellStyle name="_UIS설계내역서_1차년도(우대칼스_041029_v1)" xfId="256" xr:uid="{00000000-0005-0000-0000-0000D4000000}"/>
    <cellStyle name="_WebGIS기능_본수_데이터(ver1.0)" xfId="257" xr:uid="{00000000-0005-0000-0000-0000D5000000}"/>
    <cellStyle name="_X" xfId="258" xr:uid="{00000000-0005-0000-0000-0000D6000000}"/>
    <cellStyle name="_X440 0410" xfId="259" xr:uid="{00000000-0005-0000-0000-0000D7000000}"/>
    <cellStyle name="_X440 0506" xfId="260" xr:uid="{00000000-0005-0000-0000-0000D8000000}"/>
    <cellStyle name="_가격산출내역서_93" xfId="261" xr:uid="{00000000-0005-0000-0000-0000D9000000}"/>
    <cellStyle name="_간지,목차,페이지,표지" xfId="262" xr:uid="{00000000-0005-0000-0000-0000DA000000}"/>
    <cellStyle name="_감가상각(01년도) (2)" xfId="263" xr:uid="{00000000-0005-0000-0000-0000DB000000}"/>
    <cellStyle name="_감가상각(01년도) (2) 2" xfId="264" xr:uid="{00000000-0005-0000-0000-0000DC000000}"/>
    <cellStyle name="_감가상각(01년도) (2) 3" xfId="265" xr:uid="{00000000-0005-0000-0000-0000DD000000}"/>
    <cellStyle name="_감가상각(01년도) (2) 4" xfId="266" xr:uid="{00000000-0005-0000-0000-0000DE000000}"/>
    <cellStyle name="_감가상각(01년도) (2) 5" xfId="267" xr:uid="{00000000-0005-0000-0000-0000DF000000}"/>
    <cellStyle name="_감가상각(01년도) (3)" xfId="268" xr:uid="{00000000-0005-0000-0000-0000E0000000}"/>
    <cellStyle name="_감가상각(01년도) (3) 2" xfId="269" xr:uid="{00000000-0005-0000-0000-0000E1000000}"/>
    <cellStyle name="_감가상각(01년도) (3) 3" xfId="270" xr:uid="{00000000-0005-0000-0000-0000E2000000}"/>
    <cellStyle name="_감가상각(01년도) (3) 4" xfId="271" xr:uid="{00000000-0005-0000-0000-0000E3000000}"/>
    <cellStyle name="_감가상각(01년도) (3) 5" xfId="272" xr:uid="{00000000-0005-0000-0000-0000E4000000}"/>
    <cellStyle name="_강남대_네트웍_컴스(시스코쓰리콤견적)" xfId="273" xr:uid="{00000000-0005-0000-0000-0000E5000000}"/>
    <cellStyle name="_강산FRP" xfId="274" xr:uid="{00000000-0005-0000-0000-0000E6000000}"/>
    <cellStyle name="_건교부_과천server내역서3" xfId="275" xr:uid="{00000000-0005-0000-0000-0000E7000000}"/>
    <cellStyle name="_건국대학교 매체제작실 견적서 03.0929" xfId="276" xr:uid="{00000000-0005-0000-0000-0000E8000000}"/>
    <cellStyle name="_견적서_한강시민공원GIS_지노시스템_051207" xfId="277" xr:uid="{00000000-0005-0000-0000-0000E9000000}"/>
    <cellStyle name="_경북영주시1124" xfId="278" xr:uid="{00000000-0005-0000-0000-0000EA000000}"/>
    <cellStyle name="_고속도로 영업소 시뮬레이터 개발2" xfId="279" xr:uid="{00000000-0005-0000-0000-0000EB000000}"/>
    <cellStyle name="_공간정보기술(ML570)-1" xfId="280" xr:uid="{00000000-0005-0000-0000-0000EC000000}"/>
    <cellStyle name="_공사비 증감 대비표" xfId="281" xr:uid="{00000000-0005-0000-0000-0000ED000000}"/>
    <cellStyle name="_공주시 도로와 지하시설물도 공동구축사업(SI부문)" xfId="282" xr:uid="{00000000-0005-0000-0000-0000EE000000}"/>
    <cellStyle name="_공주시_도로와_지하시설물도_공동구축사업(SI부문)_산출내역서_절감반영__3(1).0" xfId="283" xr:uid="{00000000-0005-0000-0000-0000EF000000}"/>
    <cellStyle name="_공주시_범용설계서" xfId="284" xr:uid="{00000000-0005-0000-0000-0000F0000000}"/>
    <cellStyle name="_과기원재료비" xfId="285" xr:uid="{00000000-0005-0000-0000-0000F1000000}"/>
    <cellStyle name="_광가입자전송장비(FLC)삼성" xfId="286" xr:uid="{00000000-0005-0000-0000-0000F2000000}"/>
    <cellStyle name="_광명시GIS_조달청_지노_2" xfId="287" xr:uid="{00000000-0005-0000-0000-0000F3000000}"/>
    <cellStyle name="_광안리내역서(구도)" xfId="288" xr:uid="{00000000-0005-0000-0000-0000F4000000}"/>
    <cellStyle name="_광주광역시_Web GIS_설계내역_5(3억)" xfId="289" xr:uid="{00000000-0005-0000-0000-0000F5000000}"/>
    <cellStyle name="_광주시 2차 시스템" xfId="290" xr:uid="{00000000-0005-0000-0000-0000F6000000}"/>
    <cellStyle name="_광주시 도로와 지하시설물도 공동구축사업(2차) 설계내역서_1.0" xfId="291" xr:uid="{00000000-0005-0000-0000-0000F7000000}"/>
    <cellStyle name="_광주시 도로와 지하시설물도 공동구축사업(2차) 설계내역서_2.0" xfId="292" xr:uid="{00000000-0005-0000-0000-0000F8000000}"/>
    <cellStyle name="_광주시도로와지하시설물도공동구축사업_04072" xfId="293" xr:uid="{00000000-0005-0000-0000-0000F9000000}"/>
    <cellStyle name="_국토지리정보원 홈페이지 개선용역 예산설계_v2.1" xfId="294" xr:uid="{00000000-0005-0000-0000-0000FA000000}"/>
    <cellStyle name="_군산시_UIS설계서(0308)" xfId="295" xr:uid="{00000000-0005-0000-0000-0000FB000000}"/>
    <cellStyle name="_군포시 지하시설물통합정보시스템 구축사업 설계내역서_2.3" xfId="296" xr:uid="{00000000-0005-0000-0000-0000FC000000}"/>
    <cellStyle name="_기준점성과발급시스템_설계예산서(최종)" xfId="297" xr:uid="{00000000-0005-0000-0000-0000FD000000}"/>
    <cellStyle name="_기초공사" xfId="298" xr:uid="{00000000-0005-0000-0000-0000FE000000}"/>
    <cellStyle name="_김제시 GIS 구축사업 설계내역서_시스템부문_4" xfId="299" xr:uid="{00000000-0005-0000-0000-0000FF000000}"/>
    <cellStyle name="_김제시 도로와 지하시설물 공동구축사업 설계서_계약(1차년도)_1" xfId="300" xr:uid="{00000000-0005-0000-0000-000000010000}"/>
    <cellStyle name="_김제시 도로와 지하시설물 공동구축사업 설계서_계약(총괄)" xfId="301" xr:uid="{00000000-0005-0000-0000-000001010000}"/>
    <cellStyle name="_김제시_UIS설계서(0706)" xfId="302" xr:uid="{00000000-0005-0000-0000-000002010000}"/>
    <cellStyle name="_김천시설계서(제출용)" xfId="303" xr:uid="{00000000-0005-0000-0000-000003010000}"/>
    <cellStyle name="_김포GIS설계1차(최종본.01.05)" xfId="304" xr:uid="{00000000-0005-0000-0000-000004010000}"/>
    <cellStyle name="_김포시 UIS 시스템부문 설계내역서_1.2" xfId="305" xr:uid="{00000000-0005-0000-0000-000005010000}"/>
    <cellStyle name="_김포시 UIS-설계내역서" xfId="306" xr:uid="{00000000-0005-0000-0000-000006010000}"/>
    <cellStyle name="_김해시 도로및지하시설물도공동구축사업 설계내역서.2.8" xfId="307" xr:uid="{00000000-0005-0000-0000-000007010000}"/>
    <cellStyle name="_김해시_도로와지하시설물도공동구축사업 설계내역서.2.9" xfId="308" xr:uid="{00000000-0005-0000-0000-000008010000}"/>
    <cellStyle name="_나노엔텍(임금)" xfId="309" xr:uid="{00000000-0005-0000-0000-000009010000}"/>
    <cellStyle name="_남원시_UIS설계서(0624)" xfId="310" xr:uid="{00000000-0005-0000-0000-00000A010000}"/>
    <cellStyle name="_남원시_설계서_v2" xfId="311" xr:uid="{00000000-0005-0000-0000-00000B010000}"/>
    <cellStyle name="_내역서" xfId="312" xr:uid="{00000000-0005-0000-0000-00000C010000}"/>
    <cellStyle name="_농수로3종외-최종" xfId="313" xr:uid="{00000000-0005-0000-0000-00000D010000}"/>
    <cellStyle name="_다우SW(1023)" xfId="314" xr:uid="{00000000-0005-0000-0000-00000E010000}"/>
    <cellStyle name="_데이터변환 설계품" xfId="315" xr:uid="{00000000-0005-0000-0000-00000F010000}"/>
    <cellStyle name="_도로 DB 보완구축_산출내역" xfId="316" xr:uid="{00000000-0005-0000-0000-000010010000}"/>
    <cellStyle name="_도로,상,하수 DB구축설계서(2,4급)_2005" xfId="317" xr:uid="{00000000-0005-0000-0000-000011010000}"/>
    <cellStyle name="_도로+상수+하수(2003년진주시)-1차-최종" xfId="318" xr:uid="{00000000-0005-0000-0000-000012010000}"/>
    <cellStyle name="_도로+상수+하수총괄분(진주시)" xfId="319" xr:uid="{00000000-0005-0000-0000-000013010000}"/>
    <cellStyle name="_도로+상수+하수총괄분(진주시)-총괄-최종" xfId="320" xr:uid="{00000000-0005-0000-0000-000014010000}"/>
    <cellStyle name="_도로공사 예산설계(통합교통정보시스템)" xfId="321" xr:uid="{00000000-0005-0000-0000-000015010000}"/>
    <cellStyle name="_도로명 통합시스템 예산설계(051130" xfId="322" xr:uid="{00000000-0005-0000-0000-000016010000}"/>
    <cellStyle name="_도로명주소 DB이행 필요예산(안)" xfId="323" xr:uid="{00000000-0005-0000-0000-000017010000}"/>
    <cellStyle name="_도로및지하시설물도공동구축사업 설계내역서.1.0" xfId="324" xr:uid="{00000000-0005-0000-0000-000018010000}"/>
    <cellStyle name="_도로시설물020517총괄" xfId="325" xr:uid="{00000000-0005-0000-0000-000019010000}"/>
    <cellStyle name="_도로와 지하시설물 공동구축사업 설계서" xfId="326" xr:uid="{00000000-0005-0000-0000-00001A010000}"/>
    <cellStyle name="_도로와 지하시설물도 구축사업(2차) 설계내역서_v4" xfId="327" xr:uid="{00000000-0005-0000-0000-00001B010000}"/>
    <cellStyle name="_도로와 지하시설물도 시범사업 설계내역서_1.2" xfId="328" xr:uid="{00000000-0005-0000-0000-00001C010000}"/>
    <cellStyle name="_디지털산업단지견적서" xfId="329" xr:uid="{00000000-0005-0000-0000-00001D010000}"/>
    <cellStyle name="_모바일 지리정보 현장관리시스템 설계서" xfId="330" xr:uid="{00000000-0005-0000-0000-00001E010000}"/>
    <cellStyle name="_무안군_UIS설계서(1013)" xfId="331" xr:uid="{00000000-0005-0000-0000-00001F010000}"/>
    <cellStyle name="_문화재GIS_설계내역_040718_v3" xfId="332" xr:uid="{00000000-0005-0000-0000-000020010000}"/>
    <cellStyle name="_물건조사" xfId="333" xr:uid="{00000000-0005-0000-0000-000021010000}"/>
    <cellStyle name="_물량기본내역및조사탐사내역" xfId="334" xr:uid="{00000000-0005-0000-0000-000022010000}"/>
    <cellStyle name="_범용 공동구축사업 설계내역서_샘플1.3" xfId="335" xr:uid="{00000000-0005-0000-0000-000023010000}"/>
    <cellStyle name="_범용 공동구축사업 설계내역서_샘플1.4" xfId="336" xr:uid="{00000000-0005-0000-0000-000024010000}"/>
    <cellStyle name="_범용추가개발 설계내역서(평균가중치방식)" xfId="337" xr:uid="{00000000-0005-0000-0000-000025010000}"/>
    <cellStyle name="_범용추가개발내역" xfId="338" xr:uid="{00000000-0005-0000-0000-000026010000}"/>
    <cellStyle name="_범용프로그램도입 예산설계서(2003기준)_1.6" xfId="339" xr:uid="{00000000-0005-0000-0000-000027010000}"/>
    <cellStyle name="_범용프로그램도입 예산설계서_1.2" xfId="340" xr:uid="{00000000-0005-0000-0000-000028010000}"/>
    <cellStyle name="_보령시 GIS 기본계획 산출내역서" xfId="341" xr:uid="{00000000-0005-0000-0000-000029010000}"/>
    <cellStyle name="_보령시 ISP 예산설계서_v1" xfId="342" xr:uid="{00000000-0005-0000-0000-00002A010000}"/>
    <cellStyle name="_보령시_설계서_01(20070116)" xfId="343" xr:uid="{00000000-0005-0000-0000-00002B010000}"/>
    <cellStyle name="_보령시gis기본계획설계-최종2안" xfId="344" xr:uid="{00000000-0005-0000-0000-00002C010000}"/>
    <cellStyle name="_보완측량_시설물" xfId="345" xr:uid="{00000000-0005-0000-0000-00002D010000}"/>
    <cellStyle name="_부천시 지하시설물통합정보시스템 구축사업 설계내역서_0514(FP)" xfId="346" xr:uid="{00000000-0005-0000-0000-00002E010000}"/>
    <cellStyle name="_부천시 지하시설물통합정보시스템 구축사업 설계내역서_2.1(FP)" xfId="347" xr:uid="{00000000-0005-0000-0000-00002F010000}"/>
    <cellStyle name="_부천시 현장시설물관리시스템 구축사업 설계내역서_1.2" xfId="348" xr:uid="{00000000-0005-0000-0000-000030010000}"/>
    <cellStyle name="_부천시 현장시설물관리시스템 구축사업 설계내역서_2.1(FP)" xfId="349" xr:uid="{00000000-0005-0000-0000-000031010000}"/>
    <cellStyle name="_사업대가기준(최신자료)" xfId="350" xr:uid="{00000000-0005-0000-0000-000032010000}"/>
    <cellStyle name="_사천시 2차사업 설계내역서_최종(2004.6.10)" xfId="351" xr:uid="{00000000-0005-0000-0000-000033010000}"/>
    <cellStyle name="_사천시_인트라넷설계서(0316)" xfId="352" xr:uid="{00000000-0005-0000-0000-000034010000}"/>
    <cellStyle name="_산출내역서_설계변경(최종수정) KLIS확산사업 - 복사본" xfId="353" xr:uid="{00000000-0005-0000-0000-000035010000}"/>
    <cellStyle name="_삼척시GIS구축사업장비견적_기준가_0731" xfId="354" xr:uid="{00000000-0005-0000-0000-000036010000}"/>
    <cellStyle name="_상수도시설물관리시스템 견적서" xfId="355" xr:uid="{00000000-0005-0000-0000-000037010000}"/>
    <cellStyle name="_상주시 지리정보시스템(GIS) 기본계획수립용역 설계내역서" xfId="356" xr:uid="{00000000-0005-0000-0000-000038010000}"/>
    <cellStyle name="_상하수도 범용도입 설계내역서2.0" xfId="357" xr:uid="{00000000-0005-0000-0000-000039010000}"/>
    <cellStyle name="_새주소웹서버" xfId="358" xr:uid="{00000000-0005-0000-0000-00003A010000}"/>
    <cellStyle name="_서울과학관의장" xfId="359" xr:uid="{00000000-0005-0000-0000-00003B010000}"/>
    <cellStyle name="_서울시 도로굴착복구관리시스템 구축사업 예산설계서_v5" xfId="360" xr:uid="{00000000-0005-0000-0000-00003C010000}"/>
    <cellStyle name="_서울시 도로굴착복구관리시스템 구축용역사업 설계서(FP방식)_최종" xfId="361" xr:uid="{00000000-0005-0000-0000-00003D010000}"/>
    <cellStyle name="_서울시 도로굴착복구관리시스템(2단계) 가격산출내역서_계약" xfId="362" xr:uid="{00000000-0005-0000-0000-00003E010000}"/>
    <cellStyle name="_서울시 도로굴착복구관리시스템(2단계) 설계내역서_v6" xfId="363" xr:uid="{00000000-0005-0000-0000-00003F010000}"/>
    <cellStyle name="_서울시 웹환경 도로관리시스템 전환구축사업 설계서_1" xfId="364" xr:uid="{00000000-0005-0000-0000-000040010000}"/>
    <cellStyle name="_서울시 주차장관리시스템 설계내역서_2" xfId="365" xr:uid="{00000000-0005-0000-0000-000041010000}"/>
    <cellStyle name="_서울시_측량기준점관리시스템_설계내역서_v5" xfId="366" xr:uid="{00000000-0005-0000-0000-000042010000}"/>
    <cellStyle name="_설계내역서(중앙_2006.11.8)" xfId="367" xr:uid="{00000000-0005-0000-0000-000043010000}"/>
    <cellStyle name="_설계서 -20050123" xfId="368" xr:uid="{00000000-0005-0000-0000-000044010000}"/>
    <cellStyle name="_설계서(2004년 sample)" xfId="369" xr:uid="{00000000-0005-0000-0000-000045010000}"/>
    <cellStyle name="_설계서(재재재수정)" xfId="370" xr:uid="{00000000-0005-0000-0000-000046010000}"/>
    <cellStyle name="_설계서00_연기" xfId="371" xr:uid="{00000000-0005-0000-0000-000047010000}"/>
    <cellStyle name="_세움터4차 범위(도정법개발-080403)" xfId="372" xr:uid="{00000000-0005-0000-0000-000048010000}"/>
    <cellStyle name="_소프트웨어개발규모산정(기능점수)" xfId="373" xr:uid="{00000000-0005-0000-0000-000049010000}"/>
    <cellStyle name="_소프트웨어사업비 설계의 예_060427" xfId="374" xr:uid="{00000000-0005-0000-0000-00004A010000}"/>
    <cellStyle name="_수원시 지하시설물통합정보시스템 구축사업 설계내역서(직접경비)" xfId="375" xr:uid="{00000000-0005-0000-0000-00004B010000}"/>
    <cellStyle name="_수원시_장기미집행관리프록그램_설계내역_v1" xfId="376" xr:uid="{00000000-0005-0000-0000-00004C010000}"/>
    <cellStyle name="_수전설비내역" xfId="377" xr:uid="{00000000-0005-0000-0000-00004D010000}"/>
    <cellStyle name="_승정원일기원가계산표" xfId="378" xr:uid="{00000000-0005-0000-0000-00004E010000}"/>
    <cellStyle name="_시스템" xfId="379" xr:uid="{00000000-0005-0000-0000-00004F010000}"/>
    <cellStyle name="_시스템 부문(전체)" xfId="380" xr:uid="{00000000-0005-0000-0000-000050010000}"/>
    <cellStyle name="_시스템개발산출양식_2003" xfId="381" xr:uid="{00000000-0005-0000-0000-000051010000}"/>
    <cellStyle name="_시스템개발세부내역서" xfId="382" xr:uid="{00000000-0005-0000-0000-000052010000}"/>
    <cellStyle name="_시흥시견적" xfId="383" xr:uid="{00000000-0005-0000-0000-000053010000}"/>
    <cellStyle name="_안성시 GIS 총괄 설계내역서_1.0" xfId="384" xr:uid="{00000000-0005-0000-0000-000054010000}"/>
    <cellStyle name="_양산시 가격설계내역서_1" xfId="385" xr:uid="{00000000-0005-0000-0000-000055010000}"/>
    <cellStyle name="_엑사큐브- 건기원납품업체" xfId="386" xr:uid="{00000000-0005-0000-0000-000056010000}"/>
    <cellStyle name="_엑사큐브한국건설기술협회" xfId="387" xr:uid="{00000000-0005-0000-0000-000057010000}"/>
    <cellStyle name="_엑셀문서표준_양식(가로)" xfId="388" xr:uid="{00000000-0005-0000-0000-000058010000}"/>
    <cellStyle name="_영광군설계서_전체" xfId="389" xr:uid="{00000000-0005-0000-0000-000059010000}"/>
    <cellStyle name="_영주시-계약용_설계내역서" xfId="390" xr:uid="{00000000-0005-0000-0000-00005A010000}"/>
    <cellStyle name="_예산설계(서울시 GIS포털시스템 추가 구축)" xfId="391" xr:uid="{00000000-0005-0000-0000-00005B010000}"/>
    <cellStyle name="_오송생명과학단지 항공사진측량용역" xfId="392" xr:uid="{00000000-0005-0000-0000-00005C010000}"/>
    <cellStyle name="_요구사항추적매트릭스(CS)_보기" xfId="393" xr:uid="{00000000-0005-0000-0000-00005D010000}"/>
    <cellStyle name="_요구사항추적표(웹)_양식" xfId="394" xr:uid="{00000000-0005-0000-0000-00005E010000}"/>
    <cellStyle name="_울산시_현장관리시스템_설계내역서_v1" xfId="395" xr:uid="{00000000-0005-0000-0000-00005F010000}"/>
    <cellStyle name="_울산시총괄안-20030509v1" xfId="396" xr:uid="{00000000-0005-0000-0000-000060010000}"/>
    <cellStyle name="_웹기반 범용프로그램 기본설계용역 예산설계서_050322" xfId="397" xr:uid="{00000000-0005-0000-0000-000061010000}"/>
    <cellStyle name="_웹기반 범용프로그램 기본설계용역 예산설계서_051006" xfId="398" xr:uid="{00000000-0005-0000-0000-000062010000}"/>
    <cellStyle name="_웹기반 수치지도 관리시스템 개발 용역 산출내역서_1.2" xfId="399" xr:uid="{00000000-0005-0000-0000-000063010000}"/>
    <cellStyle name="_웹기반 수치지도 활용시스템 도입 설계서_1.1" xfId="400" xr:uid="{00000000-0005-0000-0000-000064010000}"/>
    <cellStyle name="_웹기반 수치지도 활용시스템 도입 설계서_2.0" xfId="401" xr:uid="{00000000-0005-0000-0000-000065010000}"/>
    <cellStyle name="_웹기반 지리정보 공동활용체계 구축 설계서(성남시)" xfId="402" xr:uid="{00000000-0005-0000-0000-000066010000}"/>
    <cellStyle name="_의정부  상하수도 설계내역서_1.2" xfId="403" xr:uid="{00000000-0005-0000-0000-000067010000}"/>
    <cellStyle name="_의정부_설계내역서" xfId="404" xr:uid="{00000000-0005-0000-0000-000068010000}"/>
    <cellStyle name="_의정부_설계내역서(제출용)" xfId="405" xr:uid="{00000000-0005-0000-0000-000069010000}"/>
    <cellStyle name="_이담지리지 보완확장사업 설계내역서_1.1" xfId="406" xr:uid="{00000000-0005-0000-0000-00006A010000}"/>
    <cellStyle name="_인쇄산정기준표" xfId="407" xr:uid="{00000000-0005-0000-0000-00006B010000}"/>
    <cellStyle name="_인증견적자료" xfId="408" xr:uid="{00000000-0005-0000-0000-00006C010000}"/>
    <cellStyle name="_인천광역시GIS고도화사업설계서_20070327" xfId="409" xr:uid="{00000000-0005-0000-0000-00006D010000}"/>
    <cellStyle name="_인천시 지하시설물통합정보시스템 구축사업 설계내역서_0514(FP)" xfId="410" xr:uid="{00000000-0005-0000-0000-00006E010000}"/>
    <cellStyle name="_인터넷서버 " xfId="411" xr:uid="{00000000-0005-0000-0000-00006F010000}"/>
    <cellStyle name="_인트라넷개발내역" xfId="412" xr:uid="{00000000-0005-0000-0000-000070010000}"/>
    <cellStyle name="_장비" xfId="413" xr:uid="{00000000-0005-0000-0000-000071010000}"/>
    <cellStyle name="_장비견적분석" xfId="414" xr:uid="{00000000-0005-0000-0000-000072010000}"/>
    <cellStyle name="_재료비" xfId="415" xr:uid="{00000000-0005-0000-0000-000073010000}"/>
    <cellStyle name="_전자지불(삼성SDS)" xfId="416" xr:uid="{00000000-0005-0000-0000-000074010000}"/>
    <cellStyle name="_전자지불-(케이비)" xfId="417" xr:uid="{00000000-0005-0000-0000-000075010000}"/>
    <cellStyle name="_전주시_UIS 확장사업 설계내역서_2" xfId="418" xr:uid="{00000000-0005-0000-0000-000076010000}"/>
    <cellStyle name="_정사사진제작및웹서비스" xfId="419" xr:uid="{00000000-0005-0000-0000-000077010000}"/>
    <cellStyle name="_정읍시_UIS설계서(0302)" xfId="420" xr:uid="{00000000-0005-0000-0000-000078010000}"/>
    <cellStyle name="_정읍시GIS 견적서_지노시스템1" xfId="421" xr:uid="{00000000-0005-0000-0000-000079010000}"/>
    <cellStyle name="_제안첨부 상세0411" xfId="422" xr:uid="{00000000-0005-0000-0000-00007A010000}"/>
    <cellStyle name="_제주시_운용소프트웨어개발" xfId="423" xr:uid="{00000000-0005-0000-0000-00007B010000}"/>
    <cellStyle name="_조달청_계약내역(기성1차)" xfId="424" xr:uid="{00000000-0005-0000-0000-00007C010000}"/>
    <cellStyle name="_지하시설물 통합정보시스템 구축 사업 예산내역서_1.1" xfId="425" xr:uid="{00000000-0005-0000-0000-00007D010000}"/>
    <cellStyle name="_지하시설물관리현장지원시스템구축 산출내역서_1.0" xfId="426" xr:uid="{00000000-0005-0000-0000-00007E010000}"/>
    <cellStyle name="_지하시설물구축" xfId="427" xr:uid="{00000000-0005-0000-0000-00007F010000}"/>
    <cellStyle name="_지하시설물구축총괄분" xfId="428" xr:uid="{00000000-0005-0000-0000-000080010000}"/>
    <cellStyle name="_지하시설물구축총괄분-기준" xfId="429" xr:uid="{00000000-0005-0000-0000-000081010000}"/>
    <cellStyle name="_지하시설물통합관리설계내역서_1.0" xfId="430" xr:uid="{00000000-0005-0000-0000-000082010000}"/>
    <cellStyle name="_지하시설물통합및굴착복구관리 설계내역서_1.1" xfId="431" xr:uid="{00000000-0005-0000-0000-000083010000}"/>
    <cellStyle name="_직접경비" xfId="432" xr:uid="{00000000-0005-0000-0000-000084010000}"/>
    <cellStyle name="_참고_설계내역서" xfId="433" xr:uid="{00000000-0005-0000-0000-000085010000}"/>
    <cellStyle name="_참조-원가분석_시군구3차_최종1(1)" xfId="434" xr:uid="{00000000-0005-0000-0000-000086010000}"/>
    <cellStyle name="_창(에리트(설치제외)" xfId="435" xr:uid="{00000000-0005-0000-0000-000087010000}"/>
    <cellStyle name="_창(에리트-최종)" xfId="436" xr:uid="{00000000-0005-0000-0000-000088010000}"/>
    <cellStyle name="_총괄설계내역서" xfId="437" xr:uid="{00000000-0005-0000-0000-000089010000}"/>
    <cellStyle name="_총괄설계내역서(통영11(1).8)" xfId="438" xr:uid="{00000000-0005-0000-0000-00008A010000}"/>
    <cellStyle name="_추가물량" xfId="439" xr:uid="{00000000-0005-0000-0000-00008B010000}"/>
    <cellStyle name="_측량성과관리시스템개선_초안(0703)" xfId="440" xr:uid="{00000000-0005-0000-0000-00008C010000}"/>
    <cellStyle name="_코마스HW(1023)" xfId="441" xr:uid="{00000000-0005-0000-0000-00008D010000}"/>
    <cellStyle name="_테마공사새로03" xfId="442" xr:uid="{00000000-0005-0000-0000-00008E010000}"/>
    <cellStyle name="_통합테스트빌드목록" xfId="443" xr:uid="{00000000-0005-0000-0000-00008F010000}"/>
    <cellStyle name="_파주 GIS 시스템설계서(도로,상,하수 시스템)_050406" xfId="444" xr:uid="{00000000-0005-0000-0000-000090010000}"/>
    <cellStyle name="_포스장비" xfId="445" xr:uid="{00000000-0005-0000-0000-000091010000}"/>
    <cellStyle name="_포천GIS설계_전체" xfId="446" xr:uid="{00000000-0005-0000-0000-000092010000}"/>
    <cellStyle name="_포천시 UIS 시스템부문 설계내역서_1.0" xfId="447" xr:uid="{00000000-0005-0000-0000-000093010000}"/>
    <cellStyle name="_포천시 산출내역서(최종본)" xfId="448" xr:uid="{00000000-0005-0000-0000-000094010000}"/>
    <cellStyle name="_표시핀설치(ok)" xfId="449" xr:uid="{00000000-0005-0000-0000-000095010000}"/>
    <cellStyle name="_플로터dsj5500" xfId="450" xr:uid="{00000000-0005-0000-0000-000096010000}"/>
    <cellStyle name="_한강시민공원통합시스템_산출내역서_050617" xfId="451" xr:uid="{00000000-0005-0000-0000-000097010000}"/>
    <cellStyle name="_항측-ok" xfId="452" xr:uid="{00000000-0005-0000-0000-000098010000}"/>
    <cellStyle name="_회의록관리대장_#.업무영역명" xfId="453" xr:uid="{00000000-0005-0000-0000-000099010000}"/>
    <cellStyle name="’E‰Y [0.00]_laroux" xfId="454" xr:uid="{00000000-0005-0000-0000-00009A010000}"/>
    <cellStyle name="’E‰Y_laroux" xfId="455" xr:uid="{00000000-0005-0000-0000-00009B010000}"/>
    <cellStyle name="¤@?e_TEST-1 " xfId="456" xr:uid="{00000000-0005-0000-0000-00009C010000}"/>
    <cellStyle name="+,-,0" xfId="457" xr:uid="{00000000-0005-0000-0000-00009D010000}"/>
    <cellStyle name="=C:\WINDOWS\SYSTEM32\COMMAND.COM" xfId="458" xr:uid="{00000000-0005-0000-0000-00009E010000}"/>
    <cellStyle name="△ []" xfId="459" xr:uid="{00000000-0005-0000-0000-00009F010000}"/>
    <cellStyle name="△ [0]" xfId="460" xr:uid="{00000000-0005-0000-0000-0000A0010000}"/>
    <cellStyle name="" xfId="461" xr:uid="{00000000-0005-0000-0000-0000A1010000}"/>
    <cellStyle name="0" xfId="462" xr:uid="{00000000-0005-0000-0000-0000A2010000}"/>
    <cellStyle name="0%" xfId="463" xr:uid="{00000000-0005-0000-0000-0000A3010000}"/>
    <cellStyle name="0,0_x000d__x000a_NA_x000d__x000a_" xfId="464" xr:uid="{00000000-0005-0000-0000-0000A4010000}"/>
    <cellStyle name="0.0%" xfId="465" xr:uid="{00000000-0005-0000-0000-0000A5010000}"/>
    <cellStyle name="0.00%" xfId="466" xr:uid="{00000000-0005-0000-0000-0000A6010000}"/>
    <cellStyle name="0.000%" xfId="467" xr:uid="{00000000-0005-0000-0000-0000A7010000}"/>
    <cellStyle name="0.0000%" xfId="468" xr:uid="{00000000-0005-0000-0000-0000A8010000}"/>
    <cellStyle name="0.0000% 2" xfId="469" xr:uid="{00000000-0005-0000-0000-0000A9010000}"/>
    <cellStyle name="0.0000% 3" xfId="470" xr:uid="{00000000-0005-0000-0000-0000AA010000}"/>
    <cellStyle name="0.0000% 4" xfId="471" xr:uid="{00000000-0005-0000-0000-0000AB010000}"/>
    <cellStyle name="0.0000% 5" xfId="472" xr:uid="{00000000-0005-0000-0000-0000AC010000}"/>
    <cellStyle name="1" xfId="473" xr:uid="{00000000-0005-0000-0000-0000AD010000}"/>
    <cellStyle name="10" xfId="474" xr:uid="{00000000-0005-0000-0000-0000AE010000}"/>
    <cellStyle name="1-1" xfId="475" xr:uid="{00000000-0005-0000-0000-0000AF010000}"/>
    <cellStyle name="1-1 2" xfId="4599" xr:uid="{00000000-0005-0000-0000-0000AF010000}"/>
    <cellStyle name="120" xfId="476" xr:uid="{00000000-0005-0000-0000-0000B0010000}"/>
    <cellStyle name="19990216" xfId="477" xr:uid="{00000000-0005-0000-0000-0000B1010000}"/>
    <cellStyle name="1월" xfId="478" xr:uid="{00000000-0005-0000-0000-0000B2010000}"/>
    <cellStyle name="1월 2" xfId="479" xr:uid="{00000000-0005-0000-0000-0000B3010000}"/>
    <cellStyle name="1월 3" xfId="480" xr:uid="{00000000-0005-0000-0000-0000B4010000}"/>
    <cellStyle name="20% - 강조색1" xfId="19" builtinId="30" customBuiltin="1"/>
    <cellStyle name="20% - 강조색1 10" xfId="481" xr:uid="{00000000-0005-0000-0000-0000B6010000}"/>
    <cellStyle name="20% - 강조색1 2" xfId="482" xr:uid="{00000000-0005-0000-0000-0000B7010000}"/>
    <cellStyle name="20% - 강조색1 2 2" xfId="483" xr:uid="{00000000-0005-0000-0000-0000B8010000}"/>
    <cellStyle name="20% - 강조색1 2 3" xfId="484" xr:uid="{00000000-0005-0000-0000-0000B9010000}"/>
    <cellStyle name="20% - 강조색1 2 4" xfId="485" xr:uid="{00000000-0005-0000-0000-0000BA010000}"/>
    <cellStyle name="20% - 강조색1 2 5" xfId="486" xr:uid="{00000000-0005-0000-0000-0000BB010000}"/>
    <cellStyle name="20% - 강조색1 2 6" xfId="487" xr:uid="{00000000-0005-0000-0000-0000BC010000}"/>
    <cellStyle name="20% - 강조색1 2_1.부동산행정정보일원화 12년사업 내역서-1_5" xfId="488" xr:uid="{00000000-0005-0000-0000-0000BD010000}"/>
    <cellStyle name="20% - 강조색1 3" xfId="489" xr:uid="{00000000-0005-0000-0000-0000BE010000}"/>
    <cellStyle name="20% - 강조색1 4" xfId="490" xr:uid="{00000000-0005-0000-0000-0000BF010000}"/>
    <cellStyle name="20% - 강조색1 5" xfId="491" xr:uid="{00000000-0005-0000-0000-0000C0010000}"/>
    <cellStyle name="20% - 강조색1 6" xfId="492" xr:uid="{00000000-0005-0000-0000-0000C1010000}"/>
    <cellStyle name="20% - 강조색1 7" xfId="493" xr:uid="{00000000-0005-0000-0000-0000C2010000}"/>
    <cellStyle name="20% - 강조색1 8" xfId="494" xr:uid="{00000000-0005-0000-0000-0000C3010000}"/>
    <cellStyle name="20% - 강조색1 9" xfId="495" xr:uid="{00000000-0005-0000-0000-0000C4010000}"/>
    <cellStyle name="20% - 강조색2" xfId="23" builtinId="34" customBuiltin="1"/>
    <cellStyle name="20% - 강조색2 10" xfId="496" xr:uid="{00000000-0005-0000-0000-0000C6010000}"/>
    <cellStyle name="20% - 강조색2 2" xfId="497" xr:uid="{00000000-0005-0000-0000-0000C7010000}"/>
    <cellStyle name="20% - 강조색2 2 2" xfId="498" xr:uid="{00000000-0005-0000-0000-0000C8010000}"/>
    <cellStyle name="20% - 강조색2 2 3" xfId="499" xr:uid="{00000000-0005-0000-0000-0000C9010000}"/>
    <cellStyle name="20% - 강조색2 2 4" xfId="500" xr:uid="{00000000-0005-0000-0000-0000CA010000}"/>
    <cellStyle name="20% - 강조색2 2 5" xfId="501" xr:uid="{00000000-0005-0000-0000-0000CB010000}"/>
    <cellStyle name="20% - 강조색2 2 6" xfId="502" xr:uid="{00000000-0005-0000-0000-0000CC010000}"/>
    <cellStyle name="20% - 강조색2 2_1.부동산행정정보일원화 12년사업 내역서-1_5" xfId="503" xr:uid="{00000000-0005-0000-0000-0000CD010000}"/>
    <cellStyle name="20% - 강조색2 3" xfId="504" xr:uid="{00000000-0005-0000-0000-0000CE010000}"/>
    <cellStyle name="20% - 강조색2 4" xfId="505" xr:uid="{00000000-0005-0000-0000-0000CF010000}"/>
    <cellStyle name="20% - 강조색2 5" xfId="506" xr:uid="{00000000-0005-0000-0000-0000D0010000}"/>
    <cellStyle name="20% - 강조색2 6" xfId="507" xr:uid="{00000000-0005-0000-0000-0000D1010000}"/>
    <cellStyle name="20% - 강조색2 7" xfId="508" xr:uid="{00000000-0005-0000-0000-0000D2010000}"/>
    <cellStyle name="20% - 강조색2 8" xfId="509" xr:uid="{00000000-0005-0000-0000-0000D3010000}"/>
    <cellStyle name="20% - 강조색2 9" xfId="510" xr:uid="{00000000-0005-0000-0000-0000D4010000}"/>
    <cellStyle name="20% - 강조색3" xfId="27" builtinId="38" customBuiltin="1"/>
    <cellStyle name="20% - 강조색3 10" xfId="511" xr:uid="{00000000-0005-0000-0000-0000D6010000}"/>
    <cellStyle name="20% - 강조색3 2" xfId="512" xr:uid="{00000000-0005-0000-0000-0000D7010000}"/>
    <cellStyle name="20% - 강조색3 2 2" xfId="513" xr:uid="{00000000-0005-0000-0000-0000D8010000}"/>
    <cellStyle name="20% - 강조색3 2 3" xfId="514" xr:uid="{00000000-0005-0000-0000-0000D9010000}"/>
    <cellStyle name="20% - 강조색3 2 4" xfId="515" xr:uid="{00000000-0005-0000-0000-0000DA010000}"/>
    <cellStyle name="20% - 강조색3 2 5" xfId="516" xr:uid="{00000000-0005-0000-0000-0000DB010000}"/>
    <cellStyle name="20% - 강조색3 2 6" xfId="517" xr:uid="{00000000-0005-0000-0000-0000DC010000}"/>
    <cellStyle name="20% - 강조색3 2_1.부동산행정정보일원화 12년사업 내역서-1_5" xfId="518" xr:uid="{00000000-0005-0000-0000-0000DD010000}"/>
    <cellStyle name="20% - 강조색3 3" xfId="519" xr:uid="{00000000-0005-0000-0000-0000DE010000}"/>
    <cellStyle name="20% - 강조색3 4" xfId="520" xr:uid="{00000000-0005-0000-0000-0000DF010000}"/>
    <cellStyle name="20% - 강조색3 5" xfId="521" xr:uid="{00000000-0005-0000-0000-0000E0010000}"/>
    <cellStyle name="20% - 강조색3 6" xfId="522" xr:uid="{00000000-0005-0000-0000-0000E1010000}"/>
    <cellStyle name="20% - 강조색3 7" xfId="523" xr:uid="{00000000-0005-0000-0000-0000E2010000}"/>
    <cellStyle name="20% - 강조색3 8" xfId="524" xr:uid="{00000000-0005-0000-0000-0000E3010000}"/>
    <cellStyle name="20% - 강조색3 9" xfId="525" xr:uid="{00000000-0005-0000-0000-0000E4010000}"/>
    <cellStyle name="20% - 강조색4" xfId="31" builtinId="42" customBuiltin="1"/>
    <cellStyle name="20% - 강조색4 10" xfId="526" xr:uid="{00000000-0005-0000-0000-0000E6010000}"/>
    <cellStyle name="20% - 강조색4 2" xfId="527" xr:uid="{00000000-0005-0000-0000-0000E7010000}"/>
    <cellStyle name="20% - 강조색4 2 2" xfId="528" xr:uid="{00000000-0005-0000-0000-0000E8010000}"/>
    <cellStyle name="20% - 강조색4 2 3" xfId="529" xr:uid="{00000000-0005-0000-0000-0000E9010000}"/>
    <cellStyle name="20% - 강조색4 2 4" xfId="530" xr:uid="{00000000-0005-0000-0000-0000EA010000}"/>
    <cellStyle name="20% - 강조색4 2 5" xfId="531" xr:uid="{00000000-0005-0000-0000-0000EB010000}"/>
    <cellStyle name="20% - 강조색4 2 6" xfId="532" xr:uid="{00000000-0005-0000-0000-0000EC010000}"/>
    <cellStyle name="20% - 강조색4 2_1.부동산행정정보일원화 12년사업 내역서-1_5" xfId="533" xr:uid="{00000000-0005-0000-0000-0000ED010000}"/>
    <cellStyle name="20% - 강조색4 3" xfId="534" xr:uid="{00000000-0005-0000-0000-0000EE010000}"/>
    <cellStyle name="20% - 강조색4 4" xfId="535" xr:uid="{00000000-0005-0000-0000-0000EF010000}"/>
    <cellStyle name="20% - 강조색4 5" xfId="536" xr:uid="{00000000-0005-0000-0000-0000F0010000}"/>
    <cellStyle name="20% - 강조색4 6" xfId="537" xr:uid="{00000000-0005-0000-0000-0000F1010000}"/>
    <cellStyle name="20% - 강조색4 7" xfId="538" xr:uid="{00000000-0005-0000-0000-0000F2010000}"/>
    <cellStyle name="20% - 강조색4 8" xfId="539" xr:uid="{00000000-0005-0000-0000-0000F3010000}"/>
    <cellStyle name="20% - 강조색4 9" xfId="540" xr:uid="{00000000-0005-0000-0000-0000F4010000}"/>
    <cellStyle name="20% - 강조색5" xfId="35" builtinId="46" customBuiltin="1"/>
    <cellStyle name="20% - 강조색5 10" xfId="541" xr:uid="{00000000-0005-0000-0000-0000F6010000}"/>
    <cellStyle name="20% - 강조색5 2" xfId="542" xr:uid="{00000000-0005-0000-0000-0000F7010000}"/>
    <cellStyle name="20% - 강조색5 2 2" xfId="543" xr:uid="{00000000-0005-0000-0000-0000F8010000}"/>
    <cellStyle name="20% - 강조색5 2 3" xfId="544" xr:uid="{00000000-0005-0000-0000-0000F9010000}"/>
    <cellStyle name="20% - 강조색5 2 4" xfId="545" xr:uid="{00000000-0005-0000-0000-0000FA010000}"/>
    <cellStyle name="20% - 강조색5 2 5" xfId="546" xr:uid="{00000000-0005-0000-0000-0000FB010000}"/>
    <cellStyle name="20% - 강조색5 2 6" xfId="547" xr:uid="{00000000-0005-0000-0000-0000FC010000}"/>
    <cellStyle name="20% - 강조색5 2_1.부동산행정정보일원화 12년사업 내역서-1_5" xfId="548" xr:uid="{00000000-0005-0000-0000-0000FD010000}"/>
    <cellStyle name="20% - 강조색5 3" xfId="549" xr:uid="{00000000-0005-0000-0000-0000FE010000}"/>
    <cellStyle name="20% - 강조색5 4" xfId="550" xr:uid="{00000000-0005-0000-0000-0000FF010000}"/>
    <cellStyle name="20% - 강조색5 5" xfId="551" xr:uid="{00000000-0005-0000-0000-000000020000}"/>
    <cellStyle name="20% - 강조색5 6" xfId="552" xr:uid="{00000000-0005-0000-0000-000001020000}"/>
    <cellStyle name="20% - 강조색5 7" xfId="553" xr:uid="{00000000-0005-0000-0000-000002020000}"/>
    <cellStyle name="20% - 강조색5 8" xfId="554" xr:uid="{00000000-0005-0000-0000-000003020000}"/>
    <cellStyle name="20% - 강조색5 9" xfId="555" xr:uid="{00000000-0005-0000-0000-000004020000}"/>
    <cellStyle name="20% - 강조색6" xfId="39" builtinId="50" customBuiltin="1"/>
    <cellStyle name="20% - 강조색6 10" xfId="556" xr:uid="{00000000-0005-0000-0000-000006020000}"/>
    <cellStyle name="20% - 강조색6 2" xfId="557" xr:uid="{00000000-0005-0000-0000-000007020000}"/>
    <cellStyle name="20% - 강조색6 2 2" xfId="558" xr:uid="{00000000-0005-0000-0000-000008020000}"/>
    <cellStyle name="20% - 강조색6 2 3" xfId="559" xr:uid="{00000000-0005-0000-0000-000009020000}"/>
    <cellStyle name="20% - 강조색6 2 4" xfId="560" xr:uid="{00000000-0005-0000-0000-00000A020000}"/>
    <cellStyle name="20% - 강조색6 2 5" xfId="561" xr:uid="{00000000-0005-0000-0000-00000B020000}"/>
    <cellStyle name="20% - 강조색6 2 6" xfId="562" xr:uid="{00000000-0005-0000-0000-00000C020000}"/>
    <cellStyle name="20% - 강조색6 2_1.부동산행정정보일원화 12년사업 내역서-1_5" xfId="563" xr:uid="{00000000-0005-0000-0000-00000D020000}"/>
    <cellStyle name="20% - 강조색6 3" xfId="564" xr:uid="{00000000-0005-0000-0000-00000E020000}"/>
    <cellStyle name="20% - 강조색6 4" xfId="565" xr:uid="{00000000-0005-0000-0000-00000F020000}"/>
    <cellStyle name="20% - 강조색6 5" xfId="566" xr:uid="{00000000-0005-0000-0000-000010020000}"/>
    <cellStyle name="20% - 강조색6 6" xfId="567" xr:uid="{00000000-0005-0000-0000-000011020000}"/>
    <cellStyle name="20% - 강조색6 7" xfId="568" xr:uid="{00000000-0005-0000-0000-000012020000}"/>
    <cellStyle name="20% - 강조색6 8" xfId="569" xr:uid="{00000000-0005-0000-0000-000013020000}"/>
    <cellStyle name="20% - 강조색6 9" xfId="570" xr:uid="{00000000-0005-0000-0000-000014020000}"/>
    <cellStyle name="40% - 강조색1" xfId="20" builtinId="31" customBuiltin="1"/>
    <cellStyle name="40% - 강조색1 10" xfId="571" xr:uid="{00000000-0005-0000-0000-000016020000}"/>
    <cellStyle name="40% - 강조색1 2" xfId="572" xr:uid="{00000000-0005-0000-0000-000017020000}"/>
    <cellStyle name="40% - 강조색1 2 2" xfId="573" xr:uid="{00000000-0005-0000-0000-000018020000}"/>
    <cellStyle name="40% - 강조색1 2 3" xfId="574" xr:uid="{00000000-0005-0000-0000-000019020000}"/>
    <cellStyle name="40% - 강조색1 2 4" xfId="575" xr:uid="{00000000-0005-0000-0000-00001A020000}"/>
    <cellStyle name="40% - 강조색1 2 5" xfId="576" xr:uid="{00000000-0005-0000-0000-00001B020000}"/>
    <cellStyle name="40% - 강조색1 2 6" xfId="577" xr:uid="{00000000-0005-0000-0000-00001C020000}"/>
    <cellStyle name="40% - 강조색1 2_1.부동산행정정보일원화 12년사업 내역서-1_5" xfId="578" xr:uid="{00000000-0005-0000-0000-00001D020000}"/>
    <cellStyle name="40% - 강조색1 3" xfId="579" xr:uid="{00000000-0005-0000-0000-00001E020000}"/>
    <cellStyle name="40% - 강조색1 4" xfId="580" xr:uid="{00000000-0005-0000-0000-00001F020000}"/>
    <cellStyle name="40% - 강조색1 5" xfId="581" xr:uid="{00000000-0005-0000-0000-000020020000}"/>
    <cellStyle name="40% - 강조색1 6" xfId="582" xr:uid="{00000000-0005-0000-0000-000021020000}"/>
    <cellStyle name="40% - 강조색1 7" xfId="583" xr:uid="{00000000-0005-0000-0000-000022020000}"/>
    <cellStyle name="40% - 강조색1 8" xfId="584" xr:uid="{00000000-0005-0000-0000-000023020000}"/>
    <cellStyle name="40% - 강조색1 9" xfId="585" xr:uid="{00000000-0005-0000-0000-000024020000}"/>
    <cellStyle name="40% - 강조색2" xfId="24" builtinId="35" customBuiltin="1"/>
    <cellStyle name="40% - 강조색2 10" xfId="586" xr:uid="{00000000-0005-0000-0000-000026020000}"/>
    <cellStyle name="40% - 강조색2 2" xfId="587" xr:uid="{00000000-0005-0000-0000-000027020000}"/>
    <cellStyle name="40% - 강조색2 2 2" xfId="588" xr:uid="{00000000-0005-0000-0000-000028020000}"/>
    <cellStyle name="40% - 강조색2 2 3" xfId="589" xr:uid="{00000000-0005-0000-0000-000029020000}"/>
    <cellStyle name="40% - 강조색2 2 4" xfId="590" xr:uid="{00000000-0005-0000-0000-00002A020000}"/>
    <cellStyle name="40% - 강조색2 2 5" xfId="591" xr:uid="{00000000-0005-0000-0000-00002B020000}"/>
    <cellStyle name="40% - 강조색2 2 6" xfId="592" xr:uid="{00000000-0005-0000-0000-00002C020000}"/>
    <cellStyle name="40% - 강조색2 2_1.부동산행정정보일원화 12년사업 내역서-1_5" xfId="593" xr:uid="{00000000-0005-0000-0000-00002D020000}"/>
    <cellStyle name="40% - 강조색2 3" xfId="594" xr:uid="{00000000-0005-0000-0000-00002E020000}"/>
    <cellStyle name="40% - 강조색2 4" xfId="595" xr:uid="{00000000-0005-0000-0000-00002F020000}"/>
    <cellStyle name="40% - 강조색2 5" xfId="596" xr:uid="{00000000-0005-0000-0000-000030020000}"/>
    <cellStyle name="40% - 강조색2 6" xfId="597" xr:uid="{00000000-0005-0000-0000-000031020000}"/>
    <cellStyle name="40% - 강조색2 7" xfId="598" xr:uid="{00000000-0005-0000-0000-000032020000}"/>
    <cellStyle name="40% - 강조색2 8" xfId="599" xr:uid="{00000000-0005-0000-0000-000033020000}"/>
    <cellStyle name="40% - 강조색2 9" xfId="600" xr:uid="{00000000-0005-0000-0000-000034020000}"/>
    <cellStyle name="40% - 강조색3" xfId="28" builtinId="39" customBuiltin="1"/>
    <cellStyle name="40% - 강조색3 10" xfId="601" xr:uid="{00000000-0005-0000-0000-000036020000}"/>
    <cellStyle name="40% - 강조색3 2" xfId="602" xr:uid="{00000000-0005-0000-0000-000037020000}"/>
    <cellStyle name="40% - 강조색3 2 2" xfId="603" xr:uid="{00000000-0005-0000-0000-000038020000}"/>
    <cellStyle name="40% - 강조색3 2 3" xfId="604" xr:uid="{00000000-0005-0000-0000-000039020000}"/>
    <cellStyle name="40% - 강조색3 2 4" xfId="605" xr:uid="{00000000-0005-0000-0000-00003A020000}"/>
    <cellStyle name="40% - 강조색3 2 5" xfId="606" xr:uid="{00000000-0005-0000-0000-00003B020000}"/>
    <cellStyle name="40% - 강조색3 2 6" xfId="607" xr:uid="{00000000-0005-0000-0000-00003C020000}"/>
    <cellStyle name="40% - 강조색3 2_1.부동산행정정보일원화 12년사업 내역서-1_5" xfId="608" xr:uid="{00000000-0005-0000-0000-00003D020000}"/>
    <cellStyle name="40% - 강조색3 3" xfId="609" xr:uid="{00000000-0005-0000-0000-00003E020000}"/>
    <cellStyle name="40% - 강조색3 4" xfId="610" xr:uid="{00000000-0005-0000-0000-00003F020000}"/>
    <cellStyle name="40% - 강조색3 5" xfId="611" xr:uid="{00000000-0005-0000-0000-000040020000}"/>
    <cellStyle name="40% - 강조색3 6" xfId="612" xr:uid="{00000000-0005-0000-0000-000041020000}"/>
    <cellStyle name="40% - 강조색3 7" xfId="613" xr:uid="{00000000-0005-0000-0000-000042020000}"/>
    <cellStyle name="40% - 강조색3 8" xfId="614" xr:uid="{00000000-0005-0000-0000-000043020000}"/>
    <cellStyle name="40% - 강조색3 9" xfId="615" xr:uid="{00000000-0005-0000-0000-000044020000}"/>
    <cellStyle name="40% - 강조색4" xfId="32" builtinId="43" customBuiltin="1"/>
    <cellStyle name="40% - 강조색4 10" xfId="616" xr:uid="{00000000-0005-0000-0000-000046020000}"/>
    <cellStyle name="40% - 강조색4 2" xfId="617" xr:uid="{00000000-0005-0000-0000-000047020000}"/>
    <cellStyle name="40% - 강조색4 2 2" xfId="618" xr:uid="{00000000-0005-0000-0000-000048020000}"/>
    <cellStyle name="40% - 강조색4 2 3" xfId="619" xr:uid="{00000000-0005-0000-0000-000049020000}"/>
    <cellStyle name="40% - 강조색4 2 4" xfId="620" xr:uid="{00000000-0005-0000-0000-00004A020000}"/>
    <cellStyle name="40% - 강조색4 2 5" xfId="621" xr:uid="{00000000-0005-0000-0000-00004B020000}"/>
    <cellStyle name="40% - 강조색4 2 6" xfId="622" xr:uid="{00000000-0005-0000-0000-00004C020000}"/>
    <cellStyle name="40% - 강조색4 2_1.부동산행정정보일원화 12년사업 내역서-1_5" xfId="623" xr:uid="{00000000-0005-0000-0000-00004D020000}"/>
    <cellStyle name="40% - 강조색4 3" xfId="624" xr:uid="{00000000-0005-0000-0000-00004E020000}"/>
    <cellStyle name="40% - 강조색4 4" xfId="625" xr:uid="{00000000-0005-0000-0000-00004F020000}"/>
    <cellStyle name="40% - 강조색4 5" xfId="626" xr:uid="{00000000-0005-0000-0000-000050020000}"/>
    <cellStyle name="40% - 강조색4 6" xfId="627" xr:uid="{00000000-0005-0000-0000-000051020000}"/>
    <cellStyle name="40% - 강조색4 7" xfId="628" xr:uid="{00000000-0005-0000-0000-000052020000}"/>
    <cellStyle name="40% - 강조색4 8" xfId="629" xr:uid="{00000000-0005-0000-0000-000053020000}"/>
    <cellStyle name="40% - 강조색4 9" xfId="630" xr:uid="{00000000-0005-0000-0000-000054020000}"/>
    <cellStyle name="40% - 강조색5" xfId="36" builtinId="47" customBuiltin="1"/>
    <cellStyle name="40% - 강조색5 10" xfId="631" xr:uid="{00000000-0005-0000-0000-000056020000}"/>
    <cellStyle name="40% - 강조색5 2" xfId="632" xr:uid="{00000000-0005-0000-0000-000057020000}"/>
    <cellStyle name="40% - 강조색5 2 2" xfId="633" xr:uid="{00000000-0005-0000-0000-000058020000}"/>
    <cellStyle name="40% - 강조색5 2 3" xfId="634" xr:uid="{00000000-0005-0000-0000-000059020000}"/>
    <cellStyle name="40% - 강조색5 2 4" xfId="635" xr:uid="{00000000-0005-0000-0000-00005A020000}"/>
    <cellStyle name="40% - 강조색5 2 5" xfId="636" xr:uid="{00000000-0005-0000-0000-00005B020000}"/>
    <cellStyle name="40% - 강조색5 2 6" xfId="637" xr:uid="{00000000-0005-0000-0000-00005C020000}"/>
    <cellStyle name="40% - 강조색5 2_1.부동산행정정보일원화 12년사업 내역서-1_5" xfId="638" xr:uid="{00000000-0005-0000-0000-00005D020000}"/>
    <cellStyle name="40% - 강조색5 3" xfId="639" xr:uid="{00000000-0005-0000-0000-00005E020000}"/>
    <cellStyle name="40% - 강조색5 4" xfId="640" xr:uid="{00000000-0005-0000-0000-00005F020000}"/>
    <cellStyle name="40% - 강조색5 5" xfId="641" xr:uid="{00000000-0005-0000-0000-000060020000}"/>
    <cellStyle name="40% - 강조색5 6" xfId="642" xr:uid="{00000000-0005-0000-0000-000061020000}"/>
    <cellStyle name="40% - 강조색5 7" xfId="643" xr:uid="{00000000-0005-0000-0000-000062020000}"/>
    <cellStyle name="40% - 강조색5 8" xfId="644" xr:uid="{00000000-0005-0000-0000-000063020000}"/>
    <cellStyle name="40% - 강조색5 9" xfId="645" xr:uid="{00000000-0005-0000-0000-000064020000}"/>
    <cellStyle name="40% - 강조색6" xfId="40" builtinId="51" customBuiltin="1"/>
    <cellStyle name="40% - 강조색6 10" xfId="646" xr:uid="{00000000-0005-0000-0000-000066020000}"/>
    <cellStyle name="40% - 강조색6 2" xfId="647" xr:uid="{00000000-0005-0000-0000-000067020000}"/>
    <cellStyle name="40% - 강조색6 2 2" xfId="648" xr:uid="{00000000-0005-0000-0000-000068020000}"/>
    <cellStyle name="40% - 강조색6 2 3" xfId="649" xr:uid="{00000000-0005-0000-0000-000069020000}"/>
    <cellStyle name="40% - 강조색6 2 4" xfId="650" xr:uid="{00000000-0005-0000-0000-00006A020000}"/>
    <cellStyle name="40% - 강조색6 2 5" xfId="651" xr:uid="{00000000-0005-0000-0000-00006B020000}"/>
    <cellStyle name="40% - 강조색6 2 6" xfId="652" xr:uid="{00000000-0005-0000-0000-00006C020000}"/>
    <cellStyle name="40% - 강조색6 2_1.부동산행정정보일원화 12년사업 내역서-1_5" xfId="653" xr:uid="{00000000-0005-0000-0000-00006D020000}"/>
    <cellStyle name="40% - 강조색6 3" xfId="654" xr:uid="{00000000-0005-0000-0000-00006E020000}"/>
    <cellStyle name="40% - 강조색6 4" xfId="655" xr:uid="{00000000-0005-0000-0000-00006F020000}"/>
    <cellStyle name="40% - 강조색6 5" xfId="656" xr:uid="{00000000-0005-0000-0000-000070020000}"/>
    <cellStyle name="40% - 강조색6 6" xfId="657" xr:uid="{00000000-0005-0000-0000-000071020000}"/>
    <cellStyle name="40% - 강조색6 7" xfId="658" xr:uid="{00000000-0005-0000-0000-000072020000}"/>
    <cellStyle name="40% - 강조색6 8" xfId="659" xr:uid="{00000000-0005-0000-0000-000073020000}"/>
    <cellStyle name="40% - 강조색6 9" xfId="660" xr:uid="{00000000-0005-0000-0000-000074020000}"/>
    <cellStyle name="60" xfId="661" xr:uid="{00000000-0005-0000-0000-000075020000}"/>
    <cellStyle name="60% - 강조색1" xfId="21" builtinId="32" customBuiltin="1"/>
    <cellStyle name="60% - 강조색1 2" xfId="662" xr:uid="{00000000-0005-0000-0000-000077020000}"/>
    <cellStyle name="60% - 강조색1 2 2" xfId="663" xr:uid="{00000000-0005-0000-0000-000078020000}"/>
    <cellStyle name="60% - 강조색1 3" xfId="664" xr:uid="{00000000-0005-0000-0000-000079020000}"/>
    <cellStyle name="60% - 강조색1 4" xfId="665" xr:uid="{00000000-0005-0000-0000-00007A020000}"/>
    <cellStyle name="60% - 강조색1 5" xfId="666" xr:uid="{00000000-0005-0000-0000-00007B020000}"/>
    <cellStyle name="60% - 강조색1 6" xfId="667" xr:uid="{00000000-0005-0000-0000-00007C020000}"/>
    <cellStyle name="60% - 강조색1 7" xfId="668" xr:uid="{00000000-0005-0000-0000-00007D020000}"/>
    <cellStyle name="60% - 강조색2" xfId="25" builtinId="36" customBuiltin="1"/>
    <cellStyle name="60% - 강조색2 2" xfId="669" xr:uid="{00000000-0005-0000-0000-00007F020000}"/>
    <cellStyle name="60% - 강조색2 2 2" xfId="670" xr:uid="{00000000-0005-0000-0000-000080020000}"/>
    <cellStyle name="60% - 강조색2 3" xfId="671" xr:uid="{00000000-0005-0000-0000-000081020000}"/>
    <cellStyle name="60% - 강조색2 4" xfId="672" xr:uid="{00000000-0005-0000-0000-000082020000}"/>
    <cellStyle name="60% - 강조색2 5" xfId="673" xr:uid="{00000000-0005-0000-0000-000083020000}"/>
    <cellStyle name="60% - 강조색3" xfId="29" builtinId="40" customBuiltin="1"/>
    <cellStyle name="60% - 강조색3 2" xfId="674" xr:uid="{00000000-0005-0000-0000-000085020000}"/>
    <cellStyle name="60% - 강조색3 2 2" xfId="675" xr:uid="{00000000-0005-0000-0000-000086020000}"/>
    <cellStyle name="60% - 강조색3 3" xfId="676" xr:uid="{00000000-0005-0000-0000-000087020000}"/>
    <cellStyle name="60% - 강조색3 4" xfId="677" xr:uid="{00000000-0005-0000-0000-000088020000}"/>
    <cellStyle name="60% - 강조색3 5" xfId="678" xr:uid="{00000000-0005-0000-0000-000089020000}"/>
    <cellStyle name="60% - 강조색3 6" xfId="679" xr:uid="{00000000-0005-0000-0000-00008A020000}"/>
    <cellStyle name="60% - 강조색3 7" xfId="680" xr:uid="{00000000-0005-0000-0000-00008B020000}"/>
    <cellStyle name="60% - 강조색4" xfId="33" builtinId="44" customBuiltin="1"/>
    <cellStyle name="60% - 강조색4 2" xfId="681" xr:uid="{00000000-0005-0000-0000-00008D020000}"/>
    <cellStyle name="60% - 강조색4 2 2" xfId="682" xr:uid="{00000000-0005-0000-0000-00008E020000}"/>
    <cellStyle name="60% - 강조색4 3" xfId="683" xr:uid="{00000000-0005-0000-0000-00008F020000}"/>
    <cellStyle name="60% - 강조색4 4" xfId="684" xr:uid="{00000000-0005-0000-0000-000090020000}"/>
    <cellStyle name="60% - 강조색4 5" xfId="685" xr:uid="{00000000-0005-0000-0000-000091020000}"/>
    <cellStyle name="60% - 강조색4 6" xfId="686" xr:uid="{00000000-0005-0000-0000-000092020000}"/>
    <cellStyle name="60% - 강조색4 7" xfId="687" xr:uid="{00000000-0005-0000-0000-000093020000}"/>
    <cellStyle name="60% - 강조색5" xfId="37" builtinId="48" customBuiltin="1"/>
    <cellStyle name="60% - 강조색5 2" xfId="688" xr:uid="{00000000-0005-0000-0000-000095020000}"/>
    <cellStyle name="60% - 강조색5 2 2" xfId="689" xr:uid="{00000000-0005-0000-0000-000096020000}"/>
    <cellStyle name="60% - 강조색5 3" xfId="690" xr:uid="{00000000-0005-0000-0000-000097020000}"/>
    <cellStyle name="60% - 강조색5 4" xfId="691" xr:uid="{00000000-0005-0000-0000-000098020000}"/>
    <cellStyle name="60% - 강조색5 5" xfId="692" xr:uid="{00000000-0005-0000-0000-000099020000}"/>
    <cellStyle name="60% - 강조색6" xfId="41" builtinId="52" customBuiltin="1"/>
    <cellStyle name="60% - 강조색6 2" xfId="693" xr:uid="{00000000-0005-0000-0000-00009B020000}"/>
    <cellStyle name="60% - 강조색6 2 2" xfId="694" xr:uid="{00000000-0005-0000-0000-00009C020000}"/>
    <cellStyle name="60% - 강조색6 3" xfId="695" xr:uid="{00000000-0005-0000-0000-00009D020000}"/>
    <cellStyle name="60% - 강조색6 4" xfId="696" xr:uid="{00000000-0005-0000-0000-00009E020000}"/>
    <cellStyle name="60% - 강조색6 5" xfId="697" xr:uid="{00000000-0005-0000-0000-00009F020000}"/>
    <cellStyle name="60% - 강조색6 6" xfId="698" xr:uid="{00000000-0005-0000-0000-0000A0020000}"/>
    <cellStyle name="60% - 강조색6 7" xfId="699" xr:uid="{00000000-0005-0000-0000-0000A1020000}"/>
    <cellStyle name="_x0014_7." xfId="700" xr:uid="{00000000-0005-0000-0000-0000A2020000}"/>
    <cellStyle name="82" xfId="701" xr:uid="{00000000-0005-0000-0000-0000A3020000}"/>
    <cellStyle name="90" xfId="702" xr:uid="{00000000-0005-0000-0000-0000A4020000}"/>
    <cellStyle name="A¨­￠￢￠O [0]_INQUIRY ￠?￥i¨u¡AAⓒ￢Aⓒª " xfId="703" xr:uid="{00000000-0005-0000-0000-0000A5020000}"/>
    <cellStyle name="A¨­￠￢￠O_INQUIRY ￠?￥i¨u¡AAⓒ￢Aⓒª " xfId="704" xr:uid="{00000000-0005-0000-0000-0000A6020000}"/>
    <cellStyle name="aa" xfId="705" xr:uid="{00000000-0005-0000-0000-0000A7020000}"/>
    <cellStyle name="Actual Date" xfId="706" xr:uid="{00000000-0005-0000-0000-0000A8020000}"/>
    <cellStyle name="Aee­ " xfId="707" xr:uid="{00000000-0005-0000-0000-0000A9020000}"/>
    <cellStyle name="Aee­  2" xfId="708" xr:uid="{00000000-0005-0000-0000-0000AA020000}"/>
    <cellStyle name="Aee­  3" xfId="709" xr:uid="{00000000-0005-0000-0000-0000AB020000}"/>
    <cellStyle name="Aee­  4" xfId="710" xr:uid="{00000000-0005-0000-0000-0000AC020000}"/>
    <cellStyle name="Aee­  5" xfId="711" xr:uid="{00000000-0005-0000-0000-0000AD020000}"/>
    <cellStyle name="ÅëÈ­ [0]_¸ðÇü¸·" xfId="712" xr:uid="{00000000-0005-0000-0000-0000AE020000}"/>
    <cellStyle name="AeE­ [0]_¿u°￡" xfId="713" xr:uid="{00000000-0005-0000-0000-0000AF020000}"/>
    <cellStyle name="ÅëÈ­ [0]_Á¤»ê¼­°©Áö" xfId="714" xr:uid="{00000000-0005-0000-0000-0000B0020000}"/>
    <cellStyle name="AeE­ [0]_A¾CO½A¼³ " xfId="715" xr:uid="{00000000-0005-0000-0000-0000B1020000}"/>
    <cellStyle name="ÅëÈ­ [0]_INQUIRY ¿µ¾÷ÃßÁø " xfId="716" xr:uid="{00000000-0005-0000-0000-0000B2020000}"/>
    <cellStyle name="AeE­ [0]_INQUIRY ¿μ¾÷AßAø " xfId="717" xr:uid="{00000000-0005-0000-0000-0000B3020000}"/>
    <cellStyle name="Aee­ _국토지리정보원 홈페이지 개선용역 예산설계_v2.1" xfId="718" xr:uid="{00000000-0005-0000-0000-0000B4020000}"/>
    <cellStyle name="ÅëÈ­_¸ðÇü¸·" xfId="719" xr:uid="{00000000-0005-0000-0000-0000B5020000}"/>
    <cellStyle name="AeE­_¿u°￡" xfId="720" xr:uid="{00000000-0005-0000-0000-0000B6020000}"/>
    <cellStyle name="ÅëÈ­_Á¤»ê¼­°©Áö" xfId="721" xr:uid="{00000000-0005-0000-0000-0000B7020000}"/>
    <cellStyle name="AeE­_A¾CO½A¼³ " xfId="722" xr:uid="{00000000-0005-0000-0000-0000B8020000}"/>
    <cellStyle name="ÅëÈ­_INQUIRY ¿µ¾÷ÃßÁø " xfId="723" xr:uid="{00000000-0005-0000-0000-0000B9020000}"/>
    <cellStyle name="AeE­_INQUIRY ¿μ¾÷AßAø " xfId="724" xr:uid="{00000000-0005-0000-0000-0000BA020000}"/>
    <cellStyle name="AeE¡ⓒ [0]_INQUIRY ￠?￥i¨u¡AAⓒ￢Aⓒª " xfId="725" xr:uid="{00000000-0005-0000-0000-0000BB020000}"/>
    <cellStyle name="AeE¡ⓒ_INQUIRY ￠?￥i¨u¡AAⓒ￢Aⓒª " xfId="726" xr:uid="{00000000-0005-0000-0000-0000BC020000}"/>
    <cellStyle name="ALIGNMENT" xfId="727" xr:uid="{00000000-0005-0000-0000-0000BD020000}"/>
    <cellStyle name="ÄÞ¸¶ [0]_¸ðÇü¸·" xfId="728" xr:uid="{00000000-0005-0000-0000-0000BE020000}"/>
    <cellStyle name="AÞ¸¶ [0]_¿u°￡" xfId="729" xr:uid="{00000000-0005-0000-0000-0000BF020000}"/>
    <cellStyle name="ÄÞ¸¶ [0]_Á¤»ê¼­°©Áö" xfId="730" xr:uid="{00000000-0005-0000-0000-0000C0020000}"/>
    <cellStyle name="AÞ¸¶ [0]_A¾CO½A¼³ " xfId="731" xr:uid="{00000000-0005-0000-0000-0000C1020000}"/>
    <cellStyle name="ÄÞ¸¶ [0]_Budget Forecast 20001011" xfId="732" xr:uid="{00000000-0005-0000-0000-0000C2020000}"/>
    <cellStyle name="AÞ¸¶ [0]_INQUIRY ¿μ¾÷AßAø " xfId="733" xr:uid="{00000000-0005-0000-0000-0000C3020000}"/>
    <cellStyle name="ÄÞ¸¶_¸ðÇü¸·" xfId="734" xr:uid="{00000000-0005-0000-0000-0000C4020000}"/>
    <cellStyle name="AÞ¸¶_¿u°￡" xfId="735" xr:uid="{00000000-0005-0000-0000-0000C5020000}"/>
    <cellStyle name="ÄÞ¸¶_Á¤»ê¼­°©Áö" xfId="736" xr:uid="{00000000-0005-0000-0000-0000C6020000}"/>
    <cellStyle name="AÞ¸¶_A¾CO½A¼³ " xfId="737" xr:uid="{00000000-0005-0000-0000-0000C7020000}"/>
    <cellStyle name="ÄÞ¸¶_INQUIRY ¿µ¾÷ÃßÁø " xfId="738" xr:uid="{00000000-0005-0000-0000-0000C8020000}"/>
    <cellStyle name="AÞ¸¶_INQUIRY ¿μ¾÷AßAø " xfId="739" xr:uid="{00000000-0005-0000-0000-0000C9020000}"/>
    <cellStyle name="_x0001_b" xfId="740" xr:uid="{00000000-0005-0000-0000-0000CA020000}"/>
    <cellStyle name="_x0001_b 2" xfId="741" xr:uid="{00000000-0005-0000-0000-0000CB020000}"/>
    <cellStyle name="_x0001_b 3" xfId="742" xr:uid="{00000000-0005-0000-0000-0000CC020000}"/>
    <cellStyle name="_x0001_b 4" xfId="743" xr:uid="{00000000-0005-0000-0000-0000CD020000}"/>
    <cellStyle name="_x0001_b 5" xfId="744" xr:uid="{00000000-0005-0000-0000-0000CE020000}"/>
    <cellStyle name="b?þ?b?þ?b?þ?b?þ?b?þ?b?þ?b?þ?b?þ?b?þ?b?þ?b灌þ?b?þ?&lt;?b?þ?b濬þ?b?þ?b?þ昰_x0018_?þ????_x0008_" xfId="745" xr:uid="{00000000-0005-0000-0000-0000CF020000}"/>
    <cellStyle name="b?þ?b?þ?b?þ?b灌þ?b?þ?&lt;?b?þ?b濬þ?b?þ?b?þ昰_x0018_?þ????_x0008_" xfId="746" xr:uid="{00000000-0005-0000-0000-0000D0020000}"/>
    <cellStyle name="b␌þකb濰þඪb瀠þයb灌þ්b炈þ宐&lt;෢b濈þෲb濬þขb瀐þฒb瀰þ昰_x0018_⋸þ㤕䰀ጤܕ_x0008_" xfId="747" xr:uid="{00000000-0005-0000-0000-0000D1020000}"/>
    <cellStyle name="Body" xfId="748" xr:uid="{00000000-0005-0000-0000-0000D2020000}"/>
    <cellStyle name="b嬜þപb嬼þഺb孬þൊb⍜þ൚b⍼þ൪b⎨þൺb⏜þඊb␌þකb濰þඪb瀠þයb灌þ්b炈þ宐&lt;෢b濈þෲb濬þขb瀐þฒb瀰þ昰_x0018_⋸þ㤕䰀ጤܕ_x0008_" xfId="749" xr:uid="{00000000-0005-0000-0000-0000D3020000}"/>
    <cellStyle name="C¡IA¨ª_¡ic¨u¡A¨￢I¨￢¡Æ AN¡Æe " xfId="750" xr:uid="{00000000-0005-0000-0000-0000D4020000}"/>
    <cellStyle name="C￥AØ_  FAB AIA¤  " xfId="751" xr:uid="{00000000-0005-0000-0000-0000D5020000}"/>
    <cellStyle name="Ç¥ÁØ_¸ðÇü¸·" xfId="752" xr:uid="{00000000-0005-0000-0000-0000D6020000}"/>
    <cellStyle name="C￥AØ_¿μ¾÷CoE² " xfId="753" xr:uid="{00000000-0005-0000-0000-0000D7020000}"/>
    <cellStyle name="Ç¥ÁØ_»ç¾÷ºÎº° ÃÑ°è " xfId="754" xr:uid="{00000000-0005-0000-0000-0000D8020000}"/>
    <cellStyle name="C￥AØ_≫c¾÷ºIº° AN°e " xfId="755" xr:uid="{00000000-0005-0000-0000-0000D9020000}"/>
    <cellStyle name="Ç¥ÁØ_°¡¼³" xfId="756" xr:uid="{00000000-0005-0000-0000-0000DA020000}"/>
    <cellStyle name="C￥AØ_5-1±¤°i " xfId="757" xr:uid="{00000000-0005-0000-0000-0000DB020000}"/>
    <cellStyle name="Ç¥ÁØ_5-1±¤°í " xfId="758" xr:uid="{00000000-0005-0000-0000-0000DC020000}"/>
    <cellStyle name="C￥AØ_Ay°eC￥(2¿u) " xfId="759" xr:uid="{00000000-0005-0000-0000-0000DD020000}"/>
    <cellStyle name="Ç¥ÁØ_Áý°èÇ¥(2¿ù) " xfId="760" xr:uid="{00000000-0005-0000-0000-0000DE020000}"/>
    <cellStyle name="C￥AØ_CoAo¹yAI °A¾×¿ⓒ½A " xfId="761" xr:uid="{00000000-0005-0000-0000-0000DF020000}"/>
    <cellStyle name="Ç¥ÁØ_Sheet1_¿µ¾÷ÇöÈ² " xfId="762" xr:uid="{00000000-0005-0000-0000-0000E0020000}"/>
    <cellStyle name="C￥AØ_Sheet1_¿μ¾÷CoE² " xfId="763" xr:uid="{00000000-0005-0000-0000-0000E1020000}"/>
    <cellStyle name="Ç¥ÁØ_Sheet1_0N-HANDLING " xfId="764" xr:uid="{00000000-0005-0000-0000-0000E2020000}"/>
    <cellStyle name="C￥AØ_Sheet1_Ay°eC￥(2¿u) " xfId="765" xr:uid="{00000000-0005-0000-0000-0000E3020000}"/>
    <cellStyle name="Ç¥ÁØ_Sheet1_Áý°èÇ¥(2¿ù) " xfId="766" xr:uid="{00000000-0005-0000-0000-0000E4020000}"/>
    <cellStyle name="Calc Currency (0)" xfId="767" xr:uid="{00000000-0005-0000-0000-0000E5020000}"/>
    <cellStyle name="Calc Currency (0) 2" xfId="768" xr:uid="{00000000-0005-0000-0000-0000E6020000}"/>
    <cellStyle name="Calc Currency (0) 3" xfId="769" xr:uid="{00000000-0005-0000-0000-0000E7020000}"/>
    <cellStyle name="Calc Currency (0) 4" xfId="770" xr:uid="{00000000-0005-0000-0000-0000E8020000}"/>
    <cellStyle name="Calc Currency (0) 5" xfId="771" xr:uid="{00000000-0005-0000-0000-0000E9020000}"/>
    <cellStyle name="Calc Currency (2)" xfId="772" xr:uid="{00000000-0005-0000-0000-0000EA020000}"/>
    <cellStyle name="Calc Currency (2) 2" xfId="773" xr:uid="{00000000-0005-0000-0000-0000EB020000}"/>
    <cellStyle name="Calc Currency (2) 3" xfId="774" xr:uid="{00000000-0005-0000-0000-0000EC020000}"/>
    <cellStyle name="Calc Currency (2) 4" xfId="775" xr:uid="{00000000-0005-0000-0000-0000ED020000}"/>
    <cellStyle name="Calc Currency (2) 5" xfId="776" xr:uid="{00000000-0005-0000-0000-0000EE020000}"/>
    <cellStyle name="Calc Percent (0)" xfId="777" xr:uid="{00000000-0005-0000-0000-0000EF020000}"/>
    <cellStyle name="Calc Percent (0) 2" xfId="778" xr:uid="{00000000-0005-0000-0000-0000F0020000}"/>
    <cellStyle name="Calc Percent (0) 3" xfId="779" xr:uid="{00000000-0005-0000-0000-0000F1020000}"/>
    <cellStyle name="Calc Percent (0) 4" xfId="780" xr:uid="{00000000-0005-0000-0000-0000F2020000}"/>
    <cellStyle name="Calc Percent (0) 5" xfId="781" xr:uid="{00000000-0005-0000-0000-0000F3020000}"/>
    <cellStyle name="Calc Percent (1)" xfId="782" xr:uid="{00000000-0005-0000-0000-0000F4020000}"/>
    <cellStyle name="Calc Percent (1) 2" xfId="783" xr:uid="{00000000-0005-0000-0000-0000F5020000}"/>
    <cellStyle name="Calc Percent (1) 3" xfId="784" xr:uid="{00000000-0005-0000-0000-0000F6020000}"/>
    <cellStyle name="Calc Percent (1) 4" xfId="785" xr:uid="{00000000-0005-0000-0000-0000F7020000}"/>
    <cellStyle name="Calc Percent (1) 5" xfId="786" xr:uid="{00000000-0005-0000-0000-0000F8020000}"/>
    <cellStyle name="Calc Percent (2)" xfId="787" xr:uid="{00000000-0005-0000-0000-0000F9020000}"/>
    <cellStyle name="Calc Percent (2) 2" xfId="788" xr:uid="{00000000-0005-0000-0000-0000FA020000}"/>
    <cellStyle name="Calc Percent (2) 3" xfId="789" xr:uid="{00000000-0005-0000-0000-0000FB020000}"/>
    <cellStyle name="Calc Percent (2) 4" xfId="790" xr:uid="{00000000-0005-0000-0000-0000FC020000}"/>
    <cellStyle name="Calc Percent (2) 5" xfId="791" xr:uid="{00000000-0005-0000-0000-0000FD020000}"/>
    <cellStyle name="Calc Units (0)" xfId="792" xr:uid="{00000000-0005-0000-0000-0000FE020000}"/>
    <cellStyle name="Calc Units (0) 2" xfId="793" xr:uid="{00000000-0005-0000-0000-0000FF020000}"/>
    <cellStyle name="Calc Units (0) 3" xfId="794" xr:uid="{00000000-0005-0000-0000-000000030000}"/>
    <cellStyle name="Calc Units (0) 4" xfId="795" xr:uid="{00000000-0005-0000-0000-000001030000}"/>
    <cellStyle name="Calc Units (0) 5" xfId="796" xr:uid="{00000000-0005-0000-0000-000002030000}"/>
    <cellStyle name="Calc Units (1)" xfId="797" xr:uid="{00000000-0005-0000-0000-000003030000}"/>
    <cellStyle name="Calc Units (1) 2" xfId="798" xr:uid="{00000000-0005-0000-0000-000004030000}"/>
    <cellStyle name="Calc Units (1) 3" xfId="799" xr:uid="{00000000-0005-0000-0000-000005030000}"/>
    <cellStyle name="Calc Units (1) 4" xfId="800" xr:uid="{00000000-0005-0000-0000-000006030000}"/>
    <cellStyle name="Calc Units (1) 5" xfId="801" xr:uid="{00000000-0005-0000-0000-000007030000}"/>
    <cellStyle name="Calc Units (2)" xfId="802" xr:uid="{00000000-0005-0000-0000-000008030000}"/>
    <cellStyle name="Calc Units (2) 2" xfId="803" xr:uid="{00000000-0005-0000-0000-000009030000}"/>
    <cellStyle name="Calc Units (2) 3" xfId="804" xr:uid="{00000000-0005-0000-0000-00000A030000}"/>
    <cellStyle name="Calc Units (2) 4" xfId="805" xr:uid="{00000000-0005-0000-0000-00000B030000}"/>
    <cellStyle name="Calc Units (2) 5" xfId="806" xr:uid="{00000000-0005-0000-0000-00000C030000}"/>
    <cellStyle name="category" xfId="807" xr:uid="{00000000-0005-0000-0000-00000D030000}"/>
    <cellStyle name="CIAIÆU¸μAⓒ" xfId="808" xr:uid="{00000000-0005-0000-0000-00000E030000}"/>
    <cellStyle name="columns_array" xfId="809" xr:uid="{00000000-0005-0000-0000-00000F030000}"/>
    <cellStyle name="Comma" xfId="810" xr:uid="{00000000-0005-0000-0000-000010030000}"/>
    <cellStyle name="Comma [0]" xfId="811" xr:uid="{00000000-0005-0000-0000-000011030000}"/>
    <cellStyle name="Comma [0] 2" xfId="812" xr:uid="{00000000-0005-0000-0000-000012030000}"/>
    <cellStyle name="Comma [0] 3" xfId="813" xr:uid="{00000000-0005-0000-0000-000013030000}"/>
    <cellStyle name="Comma [0]_ SG&amp;A Bridge " xfId="814" xr:uid="{00000000-0005-0000-0000-000014030000}"/>
    <cellStyle name="Comma [00]" xfId="815" xr:uid="{00000000-0005-0000-0000-000015030000}"/>
    <cellStyle name="Comma [00] 2" xfId="816" xr:uid="{00000000-0005-0000-0000-000016030000}"/>
    <cellStyle name="Comma [00] 3" xfId="817" xr:uid="{00000000-0005-0000-0000-000017030000}"/>
    <cellStyle name="Comma [00] 4" xfId="818" xr:uid="{00000000-0005-0000-0000-000018030000}"/>
    <cellStyle name="Comma [00] 5" xfId="819" xr:uid="{00000000-0005-0000-0000-000019030000}"/>
    <cellStyle name="comma zerodec" xfId="820" xr:uid="{00000000-0005-0000-0000-00001A030000}"/>
    <cellStyle name="comma zerodec 2" xfId="821" xr:uid="{00000000-0005-0000-0000-00001B030000}"/>
    <cellStyle name="comma zerodec 2 2" xfId="822" xr:uid="{00000000-0005-0000-0000-00001C030000}"/>
    <cellStyle name="comma zerodec 3" xfId="823" xr:uid="{00000000-0005-0000-0000-00001D030000}"/>
    <cellStyle name="comma zerodec 3 2" xfId="824" xr:uid="{00000000-0005-0000-0000-00001E030000}"/>
    <cellStyle name="comma zerodec 3 3" xfId="825" xr:uid="{00000000-0005-0000-0000-00001F030000}"/>
    <cellStyle name="comma zerodec 4" xfId="826" xr:uid="{00000000-0005-0000-0000-000020030000}"/>
    <cellStyle name="comma zerodec_자료사전" xfId="827" xr:uid="{00000000-0005-0000-0000-000021030000}"/>
    <cellStyle name="Comma_ SG&amp;A Bridge" xfId="828" xr:uid="{00000000-0005-0000-0000-000022030000}"/>
    <cellStyle name="Comma0" xfId="829" xr:uid="{00000000-0005-0000-0000-000023030000}"/>
    <cellStyle name="Comma0 2" xfId="830" xr:uid="{00000000-0005-0000-0000-000024030000}"/>
    <cellStyle name="Comma0 3" xfId="831" xr:uid="{00000000-0005-0000-0000-000025030000}"/>
    <cellStyle name="Commm_laroux_12~3SO2_97회비_laroux" xfId="832" xr:uid="{00000000-0005-0000-0000-000026030000}"/>
    <cellStyle name="Copied" xfId="833" xr:uid="{00000000-0005-0000-0000-000027030000}"/>
    <cellStyle name="Curren?_x0012_퐀_x0017_?" xfId="834" xr:uid="{00000000-0005-0000-0000-000028030000}"/>
    <cellStyle name="Currency" xfId="835" xr:uid="{00000000-0005-0000-0000-000029030000}"/>
    <cellStyle name="Currency [0]" xfId="836" xr:uid="{00000000-0005-0000-0000-00002A030000}"/>
    <cellStyle name="Currency [0] 2" xfId="837" xr:uid="{00000000-0005-0000-0000-00002B030000}"/>
    <cellStyle name="Currency [0] 3" xfId="838" xr:uid="{00000000-0005-0000-0000-00002C030000}"/>
    <cellStyle name="Currency [0]_ SG&amp;A Bridge " xfId="839" xr:uid="{00000000-0005-0000-0000-00002D030000}"/>
    <cellStyle name="Currency [00]" xfId="840" xr:uid="{00000000-0005-0000-0000-00002E030000}"/>
    <cellStyle name="Currency [00] 2" xfId="841" xr:uid="{00000000-0005-0000-0000-00002F030000}"/>
    <cellStyle name="Currency [00] 3" xfId="842" xr:uid="{00000000-0005-0000-0000-000030030000}"/>
    <cellStyle name="Currency [00] 4" xfId="843" xr:uid="{00000000-0005-0000-0000-000031030000}"/>
    <cellStyle name="Currency [00] 5" xfId="844" xr:uid="{00000000-0005-0000-0000-000032030000}"/>
    <cellStyle name="Currency 2" xfId="845" xr:uid="{00000000-0005-0000-0000-000033030000}"/>
    <cellStyle name="Currency 2 2" xfId="846" xr:uid="{00000000-0005-0000-0000-000034030000}"/>
    <cellStyle name="Currency 2 3" xfId="847" xr:uid="{00000000-0005-0000-0000-000035030000}"/>
    <cellStyle name="Currency 2 4" xfId="848" xr:uid="{00000000-0005-0000-0000-000036030000}"/>
    <cellStyle name="Currency 2 5" xfId="849" xr:uid="{00000000-0005-0000-0000-000037030000}"/>
    <cellStyle name="Currency 3" xfId="850" xr:uid="{00000000-0005-0000-0000-000038030000}"/>
    <cellStyle name="Currency 3 2" xfId="851" xr:uid="{00000000-0005-0000-0000-000039030000}"/>
    <cellStyle name="Currency 3 3" xfId="852" xr:uid="{00000000-0005-0000-0000-00003A030000}"/>
    <cellStyle name="Currency 3 4" xfId="853" xr:uid="{00000000-0005-0000-0000-00003B030000}"/>
    <cellStyle name="Currency 3 5" xfId="854" xr:uid="{00000000-0005-0000-0000-00003C030000}"/>
    <cellStyle name="Currency 4" xfId="855" xr:uid="{00000000-0005-0000-0000-00003D030000}"/>
    <cellStyle name="Currency 4 2" xfId="856" xr:uid="{00000000-0005-0000-0000-00003E030000}"/>
    <cellStyle name="Currency 4 3" xfId="857" xr:uid="{00000000-0005-0000-0000-00003F030000}"/>
    <cellStyle name="Currency 4 4" xfId="858" xr:uid="{00000000-0005-0000-0000-000040030000}"/>
    <cellStyle name="Currency 4 5" xfId="859" xr:uid="{00000000-0005-0000-0000-000041030000}"/>
    <cellStyle name="Currency 5" xfId="860" xr:uid="{00000000-0005-0000-0000-000042030000}"/>
    <cellStyle name="Currency_ SG&amp;A Bridge " xfId="861" xr:uid="{00000000-0005-0000-0000-000043030000}"/>
    <cellStyle name="Currency0" xfId="862" xr:uid="{00000000-0005-0000-0000-000044030000}"/>
    <cellStyle name="Currency0 2" xfId="863" xr:uid="{00000000-0005-0000-0000-000045030000}"/>
    <cellStyle name="Currency0 2 2" xfId="864" xr:uid="{00000000-0005-0000-0000-000046030000}"/>
    <cellStyle name="Currency0 2 3" xfId="865" xr:uid="{00000000-0005-0000-0000-000047030000}"/>
    <cellStyle name="Currency0 2 4" xfId="866" xr:uid="{00000000-0005-0000-0000-000048030000}"/>
    <cellStyle name="Currency0 2 5" xfId="867" xr:uid="{00000000-0005-0000-0000-000049030000}"/>
    <cellStyle name="Currency0 3" xfId="868" xr:uid="{00000000-0005-0000-0000-00004A030000}"/>
    <cellStyle name="Currency0 4" xfId="869" xr:uid="{00000000-0005-0000-0000-00004B030000}"/>
    <cellStyle name="Currency0 5" xfId="870" xr:uid="{00000000-0005-0000-0000-00004C030000}"/>
    <cellStyle name="Currency0 6" xfId="871" xr:uid="{00000000-0005-0000-0000-00004D030000}"/>
    <cellStyle name="Currency0 7" xfId="872" xr:uid="{00000000-0005-0000-0000-00004E030000}"/>
    <cellStyle name="Currency1" xfId="873" xr:uid="{00000000-0005-0000-0000-00004F030000}"/>
    <cellStyle name="Currency1 2" xfId="874" xr:uid="{00000000-0005-0000-0000-000050030000}"/>
    <cellStyle name="Currency1 2 2" xfId="875" xr:uid="{00000000-0005-0000-0000-000051030000}"/>
    <cellStyle name="Currency1 3" xfId="876" xr:uid="{00000000-0005-0000-0000-000052030000}"/>
    <cellStyle name="Currency1 3 2" xfId="877" xr:uid="{00000000-0005-0000-0000-000053030000}"/>
    <cellStyle name="Currency1 3 3" xfId="878" xr:uid="{00000000-0005-0000-0000-000054030000}"/>
    <cellStyle name="Currency1 4" xfId="879" xr:uid="{00000000-0005-0000-0000-000055030000}"/>
    <cellStyle name="Currency1_자료사전" xfId="880" xr:uid="{00000000-0005-0000-0000-000056030000}"/>
    <cellStyle name="Date" xfId="881" xr:uid="{00000000-0005-0000-0000-000057030000}"/>
    <cellStyle name="Date 2" xfId="882" xr:uid="{00000000-0005-0000-0000-000058030000}"/>
    <cellStyle name="Date 2 2" xfId="883" xr:uid="{00000000-0005-0000-0000-000059030000}"/>
    <cellStyle name="Date 2 3" xfId="884" xr:uid="{00000000-0005-0000-0000-00005A030000}"/>
    <cellStyle name="Date 2 4" xfId="885" xr:uid="{00000000-0005-0000-0000-00005B030000}"/>
    <cellStyle name="Date 2 5" xfId="886" xr:uid="{00000000-0005-0000-0000-00005C030000}"/>
    <cellStyle name="Date 3" xfId="887" xr:uid="{00000000-0005-0000-0000-00005D030000}"/>
    <cellStyle name="Date Short" xfId="888" xr:uid="{00000000-0005-0000-0000-00005E030000}"/>
    <cellStyle name="Date_11년 자료정비_시험사업_시스템-산출내역서_V1.3" xfId="889" xr:uid="{00000000-0005-0000-0000-00005F030000}"/>
    <cellStyle name="Dezimal [0]_Ausdruck RUND (D)" xfId="890" xr:uid="{00000000-0005-0000-0000-000060030000}"/>
    <cellStyle name="Dezimal_Ausdruck RUND (D)" xfId="891" xr:uid="{00000000-0005-0000-0000-000061030000}"/>
    <cellStyle name="Dollar (zero dec)" xfId="892" xr:uid="{00000000-0005-0000-0000-000062030000}"/>
    <cellStyle name="Dollar (zero dec) 2" xfId="893" xr:uid="{00000000-0005-0000-0000-000063030000}"/>
    <cellStyle name="Dollar (zero dec) 2 2" xfId="894" xr:uid="{00000000-0005-0000-0000-000064030000}"/>
    <cellStyle name="Dollar (zero dec) 3" xfId="895" xr:uid="{00000000-0005-0000-0000-000065030000}"/>
    <cellStyle name="Dollar (zero dec) 3 2" xfId="896" xr:uid="{00000000-0005-0000-0000-000066030000}"/>
    <cellStyle name="Dollar (zero dec) 3 3" xfId="897" xr:uid="{00000000-0005-0000-0000-000067030000}"/>
    <cellStyle name="Dollar (zero dec) 4" xfId="898" xr:uid="{00000000-0005-0000-0000-000068030000}"/>
    <cellStyle name="Dollar (zero dec)_자료사전" xfId="899" xr:uid="{00000000-0005-0000-0000-000069030000}"/>
    <cellStyle name="Enter Currency (0)" xfId="900" xr:uid="{00000000-0005-0000-0000-00006A030000}"/>
    <cellStyle name="Enter Currency (0) 2" xfId="901" xr:uid="{00000000-0005-0000-0000-00006B030000}"/>
    <cellStyle name="Enter Currency (0) 3" xfId="902" xr:uid="{00000000-0005-0000-0000-00006C030000}"/>
    <cellStyle name="Enter Currency (0) 4" xfId="903" xr:uid="{00000000-0005-0000-0000-00006D030000}"/>
    <cellStyle name="Enter Currency (0) 5" xfId="904" xr:uid="{00000000-0005-0000-0000-00006E030000}"/>
    <cellStyle name="Enter Currency (2)" xfId="905" xr:uid="{00000000-0005-0000-0000-00006F030000}"/>
    <cellStyle name="Enter Currency (2) 2" xfId="906" xr:uid="{00000000-0005-0000-0000-000070030000}"/>
    <cellStyle name="Enter Currency (2) 3" xfId="907" xr:uid="{00000000-0005-0000-0000-000071030000}"/>
    <cellStyle name="Enter Currency (2) 4" xfId="908" xr:uid="{00000000-0005-0000-0000-000072030000}"/>
    <cellStyle name="Enter Currency (2) 5" xfId="909" xr:uid="{00000000-0005-0000-0000-000073030000}"/>
    <cellStyle name="Enter Units (0)" xfId="910" xr:uid="{00000000-0005-0000-0000-000074030000}"/>
    <cellStyle name="Enter Units (0) 2" xfId="911" xr:uid="{00000000-0005-0000-0000-000075030000}"/>
    <cellStyle name="Enter Units (0) 3" xfId="912" xr:uid="{00000000-0005-0000-0000-000076030000}"/>
    <cellStyle name="Enter Units (0) 4" xfId="913" xr:uid="{00000000-0005-0000-0000-000077030000}"/>
    <cellStyle name="Enter Units (0) 5" xfId="914" xr:uid="{00000000-0005-0000-0000-000078030000}"/>
    <cellStyle name="Enter Units (1)" xfId="915" xr:uid="{00000000-0005-0000-0000-000079030000}"/>
    <cellStyle name="Enter Units (1) 2" xfId="916" xr:uid="{00000000-0005-0000-0000-00007A030000}"/>
    <cellStyle name="Enter Units (1) 3" xfId="917" xr:uid="{00000000-0005-0000-0000-00007B030000}"/>
    <cellStyle name="Enter Units (1) 4" xfId="918" xr:uid="{00000000-0005-0000-0000-00007C030000}"/>
    <cellStyle name="Enter Units (1) 5" xfId="919" xr:uid="{00000000-0005-0000-0000-00007D030000}"/>
    <cellStyle name="Enter Units (2)" xfId="920" xr:uid="{00000000-0005-0000-0000-00007E030000}"/>
    <cellStyle name="Enter Units (2) 2" xfId="921" xr:uid="{00000000-0005-0000-0000-00007F030000}"/>
    <cellStyle name="Enter Units (2) 3" xfId="922" xr:uid="{00000000-0005-0000-0000-000080030000}"/>
    <cellStyle name="Enter Units (2) 4" xfId="923" xr:uid="{00000000-0005-0000-0000-000081030000}"/>
    <cellStyle name="Enter Units (2) 5" xfId="924" xr:uid="{00000000-0005-0000-0000-000082030000}"/>
    <cellStyle name="Entered" xfId="925" xr:uid="{00000000-0005-0000-0000-000083030000}"/>
    <cellStyle name="F2" xfId="926" xr:uid="{00000000-0005-0000-0000-000084030000}"/>
    <cellStyle name="F2 2" xfId="927" xr:uid="{00000000-0005-0000-0000-000085030000}"/>
    <cellStyle name="F2 3" xfId="928" xr:uid="{00000000-0005-0000-0000-000086030000}"/>
    <cellStyle name="F2 4" xfId="929" xr:uid="{00000000-0005-0000-0000-000087030000}"/>
    <cellStyle name="F2 5" xfId="930" xr:uid="{00000000-0005-0000-0000-000088030000}"/>
    <cellStyle name="F2_1.부동산행정정보일원화 12년사업 내역서-1_5" xfId="931" xr:uid="{00000000-0005-0000-0000-000089030000}"/>
    <cellStyle name="F3" xfId="932" xr:uid="{00000000-0005-0000-0000-00008A030000}"/>
    <cellStyle name="F3 2" xfId="933" xr:uid="{00000000-0005-0000-0000-00008B030000}"/>
    <cellStyle name="F3 3" xfId="934" xr:uid="{00000000-0005-0000-0000-00008C030000}"/>
    <cellStyle name="F3 4" xfId="935" xr:uid="{00000000-0005-0000-0000-00008D030000}"/>
    <cellStyle name="F3 5" xfId="936" xr:uid="{00000000-0005-0000-0000-00008E030000}"/>
    <cellStyle name="F3_1.부동산행정정보일원화 12년사업 내역서-1_5" xfId="937" xr:uid="{00000000-0005-0000-0000-00008F030000}"/>
    <cellStyle name="F4" xfId="938" xr:uid="{00000000-0005-0000-0000-000090030000}"/>
    <cellStyle name="F4 2" xfId="939" xr:uid="{00000000-0005-0000-0000-000091030000}"/>
    <cellStyle name="F4 3" xfId="940" xr:uid="{00000000-0005-0000-0000-000092030000}"/>
    <cellStyle name="F4 4" xfId="941" xr:uid="{00000000-0005-0000-0000-000093030000}"/>
    <cellStyle name="F4 5" xfId="942" xr:uid="{00000000-0005-0000-0000-000094030000}"/>
    <cellStyle name="F4_1.부동산행정정보일원화 12년사업 내역서-1_5" xfId="943" xr:uid="{00000000-0005-0000-0000-000095030000}"/>
    <cellStyle name="F5" xfId="944" xr:uid="{00000000-0005-0000-0000-000096030000}"/>
    <cellStyle name="F5 2" xfId="945" xr:uid="{00000000-0005-0000-0000-000097030000}"/>
    <cellStyle name="F5 3" xfId="946" xr:uid="{00000000-0005-0000-0000-000098030000}"/>
    <cellStyle name="F5 4" xfId="947" xr:uid="{00000000-0005-0000-0000-000099030000}"/>
    <cellStyle name="F5 5" xfId="948" xr:uid="{00000000-0005-0000-0000-00009A030000}"/>
    <cellStyle name="F5_1.부동산행정정보일원화 12년사업 내역서-1_5" xfId="949" xr:uid="{00000000-0005-0000-0000-00009B030000}"/>
    <cellStyle name="F6" xfId="950" xr:uid="{00000000-0005-0000-0000-00009C030000}"/>
    <cellStyle name="F6 2" xfId="951" xr:uid="{00000000-0005-0000-0000-00009D030000}"/>
    <cellStyle name="F6 3" xfId="952" xr:uid="{00000000-0005-0000-0000-00009E030000}"/>
    <cellStyle name="F6 4" xfId="953" xr:uid="{00000000-0005-0000-0000-00009F030000}"/>
    <cellStyle name="F6 5" xfId="954" xr:uid="{00000000-0005-0000-0000-0000A0030000}"/>
    <cellStyle name="F6_1.부동산행정정보일원화 12년사업 내역서-1_5" xfId="955" xr:uid="{00000000-0005-0000-0000-0000A1030000}"/>
    <cellStyle name="F7" xfId="956" xr:uid="{00000000-0005-0000-0000-0000A2030000}"/>
    <cellStyle name="F7 2" xfId="957" xr:uid="{00000000-0005-0000-0000-0000A3030000}"/>
    <cellStyle name="F7 3" xfId="958" xr:uid="{00000000-0005-0000-0000-0000A4030000}"/>
    <cellStyle name="F7 4" xfId="959" xr:uid="{00000000-0005-0000-0000-0000A5030000}"/>
    <cellStyle name="F7 5" xfId="960" xr:uid="{00000000-0005-0000-0000-0000A6030000}"/>
    <cellStyle name="F7_1.부동산행정정보일원화 12년사업 내역서-1_5" xfId="961" xr:uid="{00000000-0005-0000-0000-0000A7030000}"/>
    <cellStyle name="F8" xfId="962" xr:uid="{00000000-0005-0000-0000-0000A8030000}"/>
    <cellStyle name="F8 2" xfId="963" xr:uid="{00000000-0005-0000-0000-0000A9030000}"/>
    <cellStyle name="F8 3" xfId="964" xr:uid="{00000000-0005-0000-0000-0000AA030000}"/>
    <cellStyle name="F8 4" xfId="965" xr:uid="{00000000-0005-0000-0000-0000AB030000}"/>
    <cellStyle name="F8 5" xfId="966" xr:uid="{00000000-0005-0000-0000-0000AC030000}"/>
    <cellStyle name="F8_1.부동산행정정보일원화 12년사업 내역서-1_5" xfId="967" xr:uid="{00000000-0005-0000-0000-0000AD030000}"/>
    <cellStyle name="Fixed" xfId="968" xr:uid="{00000000-0005-0000-0000-0000AE030000}"/>
    <cellStyle name="Fixed 2" xfId="969" xr:uid="{00000000-0005-0000-0000-0000AF030000}"/>
    <cellStyle name="Fixed 2 2" xfId="970" xr:uid="{00000000-0005-0000-0000-0000B0030000}"/>
    <cellStyle name="Fixed 2 3" xfId="971" xr:uid="{00000000-0005-0000-0000-0000B1030000}"/>
    <cellStyle name="Fixed 2 4" xfId="972" xr:uid="{00000000-0005-0000-0000-0000B2030000}"/>
    <cellStyle name="Fixed 2 5" xfId="973" xr:uid="{00000000-0005-0000-0000-0000B3030000}"/>
    <cellStyle name="Fixed 3" xfId="974" xr:uid="{00000000-0005-0000-0000-0000B4030000}"/>
    <cellStyle name="Fixed_11년 자료정비_시험사업_시스템-산출내역서_V1.3" xfId="975" xr:uid="{00000000-0005-0000-0000-0000B5030000}"/>
    <cellStyle name="Followed Hyperlink" xfId="976" xr:uid="{00000000-0005-0000-0000-0000B6030000}"/>
    <cellStyle name="G/표준" xfId="977" xr:uid="{00000000-0005-0000-0000-0000B7030000}"/>
    <cellStyle name="Grey" xfId="978" xr:uid="{00000000-0005-0000-0000-0000B8030000}"/>
    <cellStyle name="Grey 2" xfId="979" xr:uid="{00000000-0005-0000-0000-0000B9030000}"/>
    <cellStyle name="head" xfId="980" xr:uid="{00000000-0005-0000-0000-0000BA030000}"/>
    <cellStyle name="head 1" xfId="981" xr:uid="{00000000-0005-0000-0000-0000BB030000}"/>
    <cellStyle name="head 1-1" xfId="982" xr:uid="{00000000-0005-0000-0000-0000BC030000}"/>
    <cellStyle name="HEADER" xfId="983" xr:uid="{00000000-0005-0000-0000-0000BD030000}"/>
    <cellStyle name="Header1" xfId="984" xr:uid="{00000000-0005-0000-0000-0000BE030000}"/>
    <cellStyle name="Header2" xfId="985" xr:uid="{00000000-0005-0000-0000-0000BF030000}"/>
    <cellStyle name="Header2 2" xfId="4600" xr:uid="{00000000-0005-0000-0000-0000BF030000}"/>
    <cellStyle name="Heading 1" xfId="986" xr:uid="{00000000-0005-0000-0000-0000C0030000}"/>
    <cellStyle name="Heading 1 2" xfId="987" xr:uid="{00000000-0005-0000-0000-0000C1030000}"/>
    <cellStyle name="Heading 1 3" xfId="988" xr:uid="{00000000-0005-0000-0000-0000C2030000}"/>
    <cellStyle name="Heading 2" xfId="989" xr:uid="{00000000-0005-0000-0000-0000C3030000}"/>
    <cellStyle name="Heading 2 2" xfId="990" xr:uid="{00000000-0005-0000-0000-0000C4030000}"/>
    <cellStyle name="Heading 2 3" xfId="991" xr:uid="{00000000-0005-0000-0000-0000C5030000}"/>
    <cellStyle name="Heading1" xfId="992" xr:uid="{00000000-0005-0000-0000-0000C6030000}"/>
    <cellStyle name="Heading1 2" xfId="993" xr:uid="{00000000-0005-0000-0000-0000C7030000}"/>
    <cellStyle name="Heading1 2 2" xfId="994" xr:uid="{00000000-0005-0000-0000-0000C8030000}"/>
    <cellStyle name="Heading1 2 3" xfId="995" xr:uid="{00000000-0005-0000-0000-0000C9030000}"/>
    <cellStyle name="Heading1 2 4" xfId="996" xr:uid="{00000000-0005-0000-0000-0000CA030000}"/>
    <cellStyle name="Heading1 2 5" xfId="997" xr:uid="{00000000-0005-0000-0000-0000CB030000}"/>
    <cellStyle name="Heading1 3" xfId="998" xr:uid="{00000000-0005-0000-0000-0000CC030000}"/>
    <cellStyle name="Heading1_11년 자료정비_시험사업_시스템-산출내역서_V1.3" xfId="999" xr:uid="{00000000-0005-0000-0000-0000CD030000}"/>
    <cellStyle name="Heading2" xfId="1000" xr:uid="{00000000-0005-0000-0000-0000CE030000}"/>
    <cellStyle name="Heading2 2" xfId="1001" xr:uid="{00000000-0005-0000-0000-0000CF030000}"/>
    <cellStyle name="Heading2 2 2" xfId="1002" xr:uid="{00000000-0005-0000-0000-0000D0030000}"/>
    <cellStyle name="Heading2 2 3" xfId="1003" xr:uid="{00000000-0005-0000-0000-0000D1030000}"/>
    <cellStyle name="Heading2 2 4" xfId="1004" xr:uid="{00000000-0005-0000-0000-0000D2030000}"/>
    <cellStyle name="Heading2 2 5" xfId="1005" xr:uid="{00000000-0005-0000-0000-0000D3030000}"/>
    <cellStyle name="Heading2 3" xfId="1006" xr:uid="{00000000-0005-0000-0000-0000D4030000}"/>
    <cellStyle name="Heading2_11년 자료정비_시험사업_시스템-산출내역서_V1.3" xfId="1007" xr:uid="{00000000-0005-0000-0000-0000D5030000}"/>
    <cellStyle name="HelpStyle" xfId="1008" xr:uid="{00000000-0005-0000-0000-0000D6030000}"/>
    <cellStyle name="Helv8_PFD4.XLS" xfId="1009" xr:uid="{00000000-0005-0000-0000-0000D7030000}"/>
    <cellStyle name="HIGHLIGHT" xfId="1010" xr:uid="{00000000-0005-0000-0000-0000D8030000}"/>
    <cellStyle name="Hyperlink" xfId="1011" xr:uid="{00000000-0005-0000-0000-0000D9030000}"/>
    <cellStyle name="Hyperlink 2" xfId="1012" xr:uid="{00000000-0005-0000-0000-0000DA030000}"/>
    <cellStyle name="Hyperlink 3" xfId="1013" xr:uid="{00000000-0005-0000-0000-0000DB030000}"/>
    <cellStyle name="Hyperlink_NEGS" xfId="1014" xr:uid="{00000000-0005-0000-0000-0000DC030000}"/>
    <cellStyle name="Input [yellow]" xfId="1015" xr:uid="{00000000-0005-0000-0000-0000DD030000}"/>
    <cellStyle name="Input [yellow] 2" xfId="1016" xr:uid="{00000000-0005-0000-0000-0000DE030000}"/>
    <cellStyle name="Input [yellow] 2 2" xfId="4602" xr:uid="{00000000-0005-0000-0000-0000DE030000}"/>
    <cellStyle name="Input [yellow] 3" xfId="4601" xr:uid="{00000000-0005-0000-0000-0000DD030000}"/>
    <cellStyle name="Komma [0]_BINV" xfId="1017" xr:uid="{00000000-0005-0000-0000-0000DF030000}"/>
    <cellStyle name="Komma_BINV" xfId="1018" xr:uid="{00000000-0005-0000-0000-0000E0030000}"/>
    <cellStyle name="left" xfId="1019" xr:uid="{00000000-0005-0000-0000-0000E1030000}"/>
    <cellStyle name="Link Currency (0)" xfId="1020" xr:uid="{00000000-0005-0000-0000-0000E2030000}"/>
    <cellStyle name="Link Currency (0) 2" xfId="1021" xr:uid="{00000000-0005-0000-0000-0000E3030000}"/>
    <cellStyle name="Link Currency (0) 3" xfId="1022" xr:uid="{00000000-0005-0000-0000-0000E4030000}"/>
    <cellStyle name="Link Currency (0) 4" xfId="1023" xr:uid="{00000000-0005-0000-0000-0000E5030000}"/>
    <cellStyle name="Link Currency (0) 5" xfId="1024" xr:uid="{00000000-0005-0000-0000-0000E6030000}"/>
    <cellStyle name="Link Currency (2)" xfId="1025" xr:uid="{00000000-0005-0000-0000-0000E7030000}"/>
    <cellStyle name="Link Currency (2) 2" xfId="1026" xr:uid="{00000000-0005-0000-0000-0000E8030000}"/>
    <cellStyle name="Link Currency (2) 3" xfId="1027" xr:uid="{00000000-0005-0000-0000-0000E9030000}"/>
    <cellStyle name="Link Currency (2) 4" xfId="1028" xr:uid="{00000000-0005-0000-0000-0000EA030000}"/>
    <cellStyle name="Link Currency (2) 5" xfId="1029" xr:uid="{00000000-0005-0000-0000-0000EB030000}"/>
    <cellStyle name="Link Units (0)" xfId="1030" xr:uid="{00000000-0005-0000-0000-0000EC030000}"/>
    <cellStyle name="Link Units (0) 2" xfId="1031" xr:uid="{00000000-0005-0000-0000-0000ED030000}"/>
    <cellStyle name="Link Units (0) 3" xfId="1032" xr:uid="{00000000-0005-0000-0000-0000EE030000}"/>
    <cellStyle name="Link Units (0) 4" xfId="1033" xr:uid="{00000000-0005-0000-0000-0000EF030000}"/>
    <cellStyle name="Link Units (0) 5" xfId="1034" xr:uid="{00000000-0005-0000-0000-0000F0030000}"/>
    <cellStyle name="Link Units (1)" xfId="1035" xr:uid="{00000000-0005-0000-0000-0000F1030000}"/>
    <cellStyle name="Link Units (1) 2" xfId="1036" xr:uid="{00000000-0005-0000-0000-0000F2030000}"/>
    <cellStyle name="Link Units (1) 3" xfId="1037" xr:uid="{00000000-0005-0000-0000-0000F3030000}"/>
    <cellStyle name="Link Units (1) 4" xfId="1038" xr:uid="{00000000-0005-0000-0000-0000F4030000}"/>
    <cellStyle name="Link Units (1) 5" xfId="1039" xr:uid="{00000000-0005-0000-0000-0000F5030000}"/>
    <cellStyle name="Link Units (2)" xfId="1040" xr:uid="{00000000-0005-0000-0000-0000F6030000}"/>
    <cellStyle name="Link Units (2) 2" xfId="1041" xr:uid="{00000000-0005-0000-0000-0000F7030000}"/>
    <cellStyle name="Link Units (2) 3" xfId="1042" xr:uid="{00000000-0005-0000-0000-0000F8030000}"/>
    <cellStyle name="Link Units (2) 4" xfId="1043" xr:uid="{00000000-0005-0000-0000-0000F9030000}"/>
    <cellStyle name="Link Units (2) 5" xfId="1044" xr:uid="{00000000-0005-0000-0000-0000FA030000}"/>
    <cellStyle name="Millares [0]_PERSONAL" xfId="1045" xr:uid="{00000000-0005-0000-0000-0000FB030000}"/>
    <cellStyle name="Millares_PERSONAL" xfId="1046" xr:uid="{00000000-0005-0000-0000-0000FC030000}"/>
    <cellStyle name="Milliers [0]_Arabian Spec" xfId="1047" xr:uid="{00000000-0005-0000-0000-0000FD030000}"/>
    <cellStyle name="Milliers_Arabian Spec" xfId="1048" xr:uid="{00000000-0005-0000-0000-0000FE030000}"/>
    <cellStyle name="Model" xfId="1049" xr:uid="{00000000-0005-0000-0000-0000FF030000}"/>
    <cellStyle name="Mon?aire [0]_Arabian Spec" xfId="1050" xr:uid="{00000000-0005-0000-0000-000000040000}"/>
    <cellStyle name="Mon?aire_Arabian Spec" xfId="1051" xr:uid="{00000000-0005-0000-0000-000001040000}"/>
    <cellStyle name="Moneda [0]_CONTENCION CONDELL 25.051" xfId="1052" xr:uid="{00000000-0005-0000-0000-000002040000}"/>
    <cellStyle name="Moneda_CONTENCION CONDELL 25.051" xfId="1053" xr:uid="{00000000-0005-0000-0000-000003040000}"/>
    <cellStyle name="MS Proofing Tools" xfId="1054" xr:uid="{00000000-0005-0000-0000-000004040000}"/>
    <cellStyle name="no dec" xfId="1055" xr:uid="{00000000-0005-0000-0000-000005040000}"/>
    <cellStyle name="nohs" xfId="1056" xr:uid="{00000000-0005-0000-0000-000006040000}"/>
    <cellStyle name="Normal - Style1" xfId="1057" xr:uid="{00000000-0005-0000-0000-000007040000}"/>
    <cellStyle name="Normal - Style1 2" xfId="1058" xr:uid="{00000000-0005-0000-0000-000008040000}"/>
    <cellStyle name="Normal - Style1 2 2" xfId="1059" xr:uid="{00000000-0005-0000-0000-000009040000}"/>
    <cellStyle name="Normal - Style1 3" xfId="1060" xr:uid="{00000000-0005-0000-0000-00000A040000}"/>
    <cellStyle name="Normal - Style1 3 2" xfId="1061" xr:uid="{00000000-0005-0000-0000-00000B040000}"/>
    <cellStyle name="Normal - Style1 3 3" xfId="1062" xr:uid="{00000000-0005-0000-0000-00000C040000}"/>
    <cellStyle name="Normal - Style1 4" xfId="1063" xr:uid="{00000000-0005-0000-0000-00000D040000}"/>
    <cellStyle name="Normal - Style1 5" xfId="1064" xr:uid="{00000000-0005-0000-0000-00000E040000}"/>
    <cellStyle name="Normal - Style1_자료사전" xfId="1065" xr:uid="{00000000-0005-0000-0000-00000F040000}"/>
    <cellStyle name="Normal - Style2" xfId="1066" xr:uid="{00000000-0005-0000-0000-000010040000}"/>
    <cellStyle name="Normal - Style3" xfId="1067" xr:uid="{00000000-0005-0000-0000-000011040000}"/>
    <cellStyle name="Normal - Style4" xfId="1068" xr:uid="{00000000-0005-0000-0000-000012040000}"/>
    <cellStyle name="Normal - Style5" xfId="1069" xr:uid="{00000000-0005-0000-0000-000013040000}"/>
    <cellStyle name="Normal - Style6" xfId="1070" xr:uid="{00000000-0005-0000-0000-000014040000}"/>
    <cellStyle name="Normal - Style7" xfId="1071" xr:uid="{00000000-0005-0000-0000-000015040000}"/>
    <cellStyle name="Normal - Style8" xfId="1072" xr:uid="{00000000-0005-0000-0000-000016040000}"/>
    <cellStyle name="Normal - 유형1" xfId="1073" xr:uid="{00000000-0005-0000-0000-000017040000}"/>
    <cellStyle name="Normal_ SG&amp;A Bridge" xfId="1074" xr:uid="{00000000-0005-0000-0000-000018040000}"/>
    <cellStyle name="Normal像?154KV 최종Nego 95.5.3" xfId="1075" xr:uid="{00000000-0005-0000-0000-000019040000}"/>
    <cellStyle name="Normal견적_상세 내역_laroux" xfId="1076" xr:uid="{00000000-0005-0000-0000-00001A040000}"/>
    <cellStyle name="Œ…?æ맖?e [0.00]_guyan" xfId="1077" xr:uid="{00000000-0005-0000-0000-00001B040000}"/>
    <cellStyle name="Œ…?æ맖?e_guyan" xfId="1078" xr:uid="{00000000-0005-0000-0000-00001C040000}"/>
    <cellStyle name="Percent" xfId="1079" xr:uid="{00000000-0005-0000-0000-00001D040000}"/>
    <cellStyle name="Percent [0]" xfId="1080" xr:uid="{00000000-0005-0000-0000-00001E040000}"/>
    <cellStyle name="Percent [0] 2" xfId="1081" xr:uid="{00000000-0005-0000-0000-00001F040000}"/>
    <cellStyle name="Percent [0] 3" xfId="1082" xr:uid="{00000000-0005-0000-0000-000020040000}"/>
    <cellStyle name="Percent [0] 4" xfId="1083" xr:uid="{00000000-0005-0000-0000-000021040000}"/>
    <cellStyle name="Percent [0] 5" xfId="1084" xr:uid="{00000000-0005-0000-0000-000022040000}"/>
    <cellStyle name="Percent [00]" xfId="1085" xr:uid="{00000000-0005-0000-0000-000023040000}"/>
    <cellStyle name="Percent [00] 2" xfId="1086" xr:uid="{00000000-0005-0000-0000-000024040000}"/>
    <cellStyle name="Percent [00] 3" xfId="1087" xr:uid="{00000000-0005-0000-0000-000025040000}"/>
    <cellStyle name="Percent [00] 4" xfId="1088" xr:uid="{00000000-0005-0000-0000-000026040000}"/>
    <cellStyle name="Percent [00] 5" xfId="1089" xr:uid="{00000000-0005-0000-0000-000027040000}"/>
    <cellStyle name="Percent [2]" xfId="1090" xr:uid="{00000000-0005-0000-0000-000028040000}"/>
    <cellStyle name="Percent 2" xfId="1091" xr:uid="{00000000-0005-0000-0000-000029040000}"/>
    <cellStyle name="Percent 2 2" xfId="1092" xr:uid="{00000000-0005-0000-0000-00002A040000}"/>
    <cellStyle name="Percent 2 3" xfId="1093" xr:uid="{00000000-0005-0000-0000-00002B040000}"/>
    <cellStyle name="Percent 2 4" xfId="1094" xr:uid="{00000000-0005-0000-0000-00002C040000}"/>
    <cellStyle name="Percent 2 5" xfId="1095" xr:uid="{00000000-0005-0000-0000-00002D040000}"/>
    <cellStyle name="Percent 3" xfId="1096" xr:uid="{00000000-0005-0000-0000-00002E040000}"/>
    <cellStyle name="Percent 3 2" xfId="1097" xr:uid="{00000000-0005-0000-0000-00002F040000}"/>
    <cellStyle name="Percent 3 3" xfId="1098" xr:uid="{00000000-0005-0000-0000-000030040000}"/>
    <cellStyle name="Percent 3 4" xfId="1099" xr:uid="{00000000-0005-0000-0000-000031040000}"/>
    <cellStyle name="Percent 3 5" xfId="1100" xr:uid="{00000000-0005-0000-0000-000032040000}"/>
    <cellStyle name="Percent 4" xfId="1101" xr:uid="{00000000-0005-0000-0000-000033040000}"/>
    <cellStyle name="Percent 4 2" xfId="1102" xr:uid="{00000000-0005-0000-0000-000034040000}"/>
    <cellStyle name="Percent 4 3" xfId="1103" xr:uid="{00000000-0005-0000-0000-000035040000}"/>
    <cellStyle name="Percent 4 4" xfId="1104" xr:uid="{00000000-0005-0000-0000-000036040000}"/>
    <cellStyle name="Percent 4 5" xfId="1105" xr:uid="{00000000-0005-0000-0000-000037040000}"/>
    <cellStyle name="Percent 5" xfId="1106" xr:uid="{00000000-0005-0000-0000-000038040000}"/>
    <cellStyle name="Percent_#6 Temps &amp; Contractors" xfId="1107" xr:uid="{00000000-0005-0000-0000-000039040000}"/>
    <cellStyle name="PrePop Currency (0)" xfId="1108" xr:uid="{00000000-0005-0000-0000-00003A040000}"/>
    <cellStyle name="PrePop Currency (0) 2" xfId="1109" xr:uid="{00000000-0005-0000-0000-00003B040000}"/>
    <cellStyle name="PrePop Currency (0) 3" xfId="1110" xr:uid="{00000000-0005-0000-0000-00003C040000}"/>
    <cellStyle name="PrePop Currency (0) 4" xfId="1111" xr:uid="{00000000-0005-0000-0000-00003D040000}"/>
    <cellStyle name="PrePop Currency (0) 5" xfId="1112" xr:uid="{00000000-0005-0000-0000-00003E040000}"/>
    <cellStyle name="PrePop Currency (2)" xfId="1113" xr:uid="{00000000-0005-0000-0000-00003F040000}"/>
    <cellStyle name="PrePop Currency (2) 2" xfId="1114" xr:uid="{00000000-0005-0000-0000-000040040000}"/>
    <cellStyle name="PrePop Currency (2) 3" xfId="1115" xr:uid="{00000000-0005-0000-0000-000041040000}"/>
    <cellStyle name="PrePop Currency (2) 4" xfId="1116" xr:uid="{00000000-0005-0000-0000-000042040000}"/>
    <cellStyle name="PrePop Currency (2) 5" xfId="1117" xr:uid="{00000000-0005-0000-0000-000043040000}"/>
    <cellStyle name="PrePop Units (0)" xfId="1118" xr:uid="{00000000-0005-0000-0000-000044040000}"/>
    <cellStyle name="PrePop Units (0) 2" xfId="1119" xr:uid="{00000000-0005-0000-0000-000045040000}"/>
    <cellStyle name="PrePop Units (0) 3" xfId="1120" xr:uid="{00000000-0005-0000-0000-000046040000}"/>
    <cellStyle name="PrePop Units (0) 4" xfId="1121" xr:uid="{00000000-0005-0000-0000-000047040000}"/>
    <cellStyle name="PrePop Units (0) 5" xfId="1122" xr:uid="{00000000-0005-0000-0000-000048040000}"/>
    <cellStyle name="PrePop Units (1)" xfId="1123" xr:uid="{00000000-0005-0000-0000-000049040000}"/>
    <cellStyle name="PrePop Units (1) 2" xfId="1124" xr:uid="{00000000-0005-0000-0000-00004A040000}"/>
    <cellStyle name="PrePop Units (1) 3" xfId="1125" xr:uid="{00000000-0005-0000-0000-00004B040000}"/>
    <cellStyle name="PrePop Units (1) 4" xfId="1126" xr:uid="{00000000-0005-0000-0000-00004C040000}"/>
    <cellStyle name="PrePop Units (1) 5" xfId="1127" xr:uid="{00000000-0005-0000-0000-00004D040000}"/>
    <cellStyle name="PrePop Units (2)" xfId="1128" xr:uid="{00000000-0005-0000-0000-00004E040000}"/>
    <cellStyle name="PrePop Units (2) 2" xfId="1129" xr:uid="{00000000-0005-0000-0000-00004F040000}"/>
    <cellStyle name="PrePop Units (2) 3" xfId="1130" xr:uid="{00000000-0005-0000-0000-000050040000}"/>
    <cellStyle name="PrePop Units (2) 4" xfId="1131" xr:uid="{00000000-0005-0000-0000-000051040000}"/>
    <cellStyle name="PrePop Units (2) 5" xfId="1132" xr:uid="{00000000-0005-0000-0000-000052040000}"/>
    <cellStyle name="Procent_BINV" xfId="1133" xr:uid="{00000000-0005-0000-0000-000053040000}"/>
    <cellStyle name="RevList" xfId="1134" xr:uid="{00000000-0005-0000-0000-000054040000}"/>
    <cellStyle name="RevList 2" xfId="1135" xr:uid="{00000000-0005-0000-0000-000055040000}"/>
    <cellStyle name="RevList 2 2" xfId="1136" xr:uid="{00000000-0005-0000-0000-000056040000}"/>
    <cellStyle name="RevList 2 3" xfId="1137" xr:uid="{00000000-0005-0000-0000-000057040000}"/>
    <cellStyle name="RevList 2 4" xfId="1138" xr:uid="{00000000-0005-0000-0000-000058040000}"/>
    <cellStyle name="RevList 2 5" xfId="1139" xr:uid="{00000000-0005-0000-0000-000059040000}"/>
    <cellStyle name="RevList 3" xfId="1140" xr:uid="{00000000-0005-0000-0000-00005A040000}"/>
    <cellStyle name="RevList_11년 자료정비_시험사업_시스템-산출내역서_V1.3" xfId="1141" xr:uid="{00000000-0005-0000-0000-00005B040000}"/>
    <cellStyle name="Standaard_BINV" xfId="1142" xr:uid="{00000000-0005-0000-0000-00005C040000}"/>
    <cellStyle name="Standard_A" xfId="1143" xr:uid="{00000000-0005-0000-0000-00005D040000}"/>
    <cellStyle name="subhead" xfId="1144" xr:uid="{00000000-0005-0000-0000-00005E040000}"/>
    <cellStyle name="Subtotal" xfId="1145" xr:uid="{00000000-0005-0000-0000-00005F040000}"/>
    <cellStyle name="Text Indent A" xfId="1146" xr:uid="{00000000-0005-0000-0000-000060040000}"/>
    <cellStyle name="Text Indent B" xfId="1147" xr:uid="{00000000-0005-0000-0000-000061040000}"/>
    <cellStyle name="Text Indent B 2" xfId="1148" xr:uid="{00000000-0005-0000-0000-000062040000}"/>
    <cellStyle name="Text Indent B 3" xfId="1149" xr:uid="{00000000-0005-0000-0000-000063040000}"/>
    <cellStyle name="Text Indent B 4" xfId="1150" xr:uid="{00000000-0005-0000-0000-000064040000}"/>
    <cellStyle name="Text Indent B 5" xfId="1151" xr:uid="{00000000-0005-0000-0000-000065040000}"/>
    <cellStyle name="Text Indent C" xfId="1152" xr:uid="{00000000-0005-0000-0000-000066040000}"/>
    <cellStyle name="Text Indent C 2" xfId="1153" xr:uid="{00000000-0005-0000-0000-000067040000}"/>
    <cellStyle name="Text Indent C 3" xfId="1154" xr:uid="{00000000-0005-0000-0000-000068040000}"/>
    <cellStyle name="Text Indent C 4" xfId="1155" xr:uid="{00000000-0005-0000-0000-000069040000}"/>
    <cellStyle name="Text Indent C 5" xfId="1156" xr:uid="{00000000-0005-0000-0000-00006A040000}"/>
    <cellStyle name="þ?b?þ?b?þ?b?þ?b?þ?b?þ?b?þ?b灌þ?b?þ?&lt;?b?þ?b濬þ?b?þ?b?þ昰_x0018_?þ????_x0008_" xfId="1157" xr:uid="{00000000-0005-0000-0000-00006B040000}"/>
    <cellStyle name="þ൚b⍼þ൪b⎨þൺb⏜þඊb␌þකb濰þඪb瀠þයb灌þ්b炈þ宐&lt;෢b濈þෲb濬þขb瀐þฒb瀰þ昰_x0018_⋸þ㤕䰀ጤܕ_x0008_" xfId="1158" xr:uid="{00000000-0005-0000-0000-00006C040000}"/>
    <cellStyle name="Title" xfId="1159" xr:uid="{00000000-0005-0000-0000-00006D040000}"/>
    <cellStyle name="title [1]" xfId="1160" xr:uid="{00000000-0005-0000-0000-00006E040000}"/>
    <cellStyle name="title [2]" xfId="1161" xr:uid="{00000000-0005-0000-0000-00006F040000}"/>
    <cellStyle name="Title_국토지리정보원 홈페이지 개선용역 예산설계_v2.1" xfId="1162" xr:uid="{00000000-0005-0000-0000-000070040000}"/>
    <cellStyle name="Total" xfId="1163" xr:uid="{00000000-0005-0000-0000-000071040000}"/>
    <cellStyle name="Total 2" xfId="1164" xr:uid="{00000000-0005-0000-0000-000072040000}"/>
    <cellStyle name="Total 2 2" xfId="1165" xr:uid="{00000000-0005-0000-0000-000073040000}"/>
    <cellStyle name="Total 2 3" xfId="1166" xr:uid="{00000000-0005-0000-0000-000074040000}"/>
    <cellStyle name="Total 2 4" xfId="1167" xr:uid="{00000000-0005-0000-0000-000075040000}"/>
    <cellStyle name="Total 2 5" xfId="1168" xr:uid="{00000000-0005-0000-0000-000076040000}"/>
    <cellStyle name="Total 3" xfId="1169" xr:uid="{00000000-0005-0000-0000-000077040000}"/>
    <cellStyle name="Total_11년 자료정비_시험사업_시스템-산출내역서_V1.3" xfId="1170" xr:uid="{00000000-0005-0000-0000-000078040000}"/>
    <cellStyle name="UM" xfId="1171" xr:uid="{00000000-0005-0000-0000-000079040000}"/>
    <cellStyle name="Unprot" xfId="1172" xr:uid="{00000000-0005-0000-0000-00007A040000}"/>
    <cellStyle name="Unprot$" xfId="1173" xr:uid="{00000000-0005-0000-0000-00007B040000}"/>
    <cellStyle name="Unprotect" xfId="1174" xr:uid="{00000000-0005-0000-0000-00007C040000}"/>
    <cellStyle name="Valuta [0]_BINV" xfId="1175" xr:uid="{00000000-0005-0000-0000-00007D040000}"/>
    <cellStyle name="Valuta_BINV" xfId="1176" xr:uid="{00000000-0005-0000-0000-00007E040000}"/>
    <cellStyle name="W?rung [0]_Ausdruck RUND (D)" xfId="1177" xr:uid="{00000000-0005-0000-0000-00007F040000}"/>
    <cellStyle name="W?rung_Ausdruck RUND (D)" xfId="1178" xr:uid="{00000000-0005-0000-0000-000080040000}"/>
    <cellStyle name="wrap" xfId="1179" xr:uid="{00000000-0005-0000-0000-000081040000}"/>
    <cellStyle name="μU¿¡ ¿A´A CIAIÆU¸μAⓒ" xfId="1180" xr:uid="{00000000-0005-0000-0000-000082040000}"/>
    <cellStyle name="เครื่องหมายสกุลเงิน [0]_PLDT" xfId="1181" xr:uid="{00000000-0005-0000-0000-000083040000}"/>
    <cellStyle name="เครื่องหมายสกุลเงิน_PLDT" xfId="1182" xr:uid="{00000000-0005-0000-0000-000084040000}"/>
    <cellStyle name="ปกติ_PLDT" xfId="1183" xr:uid="{00000000-0005-0000-0000-000085040000}"/>
    <cellStyle name="강조색1" xfId="18" builtinId="29" customBuiltin="1"/>
    <cellStyle name="강조색1 2" xfId="1184" xr:uid="{00000000-0005-0000-0000-000087040000}"/>
    <cellStyle name="강조색1 2 2" xfId="1185" xr:uid="{00000000-0005-0000-0000-000088040000}"/>
    <cellStyle name="강조색1 3" xfId="1186" xr:uid="{00000000-0005-0000-0000-000089040000}"/>
    <cellStyle name="강조색1 4" xfId="1187" xr:uid="{00000000-0005-0000-0000-00008A040000}"/>
    <cellStyle name="강조색1 5" xfId="1188" xr:uid="{00000000-0005-0000-0000-00008B040000}"/>
    <cellStyle name="강조색1 6" xfId="1189" xr:uid="{00000000-0005-0000-0000-00008C040000}"/>
    <cellStyle name="강조색1 7" xfId="1190" xr:uid="{00000000-0005-0000-0000-00008D040000}"/>
    <cellStyle name="강조색2" xfId="22" builtinId="33" customBuiltin="1"/>
    <cellStyle name="강조색2 2" xfId="1191" xr:uid="{00000000-0005-0000-0000-00008F040000}"/>
    <cellStyle name="강조색2 2 2" xfId="1192" xr:uid="{00000000-0005-0000-0000-000090040000}"/>
    <cellStyle name="강조색2 3" xfId="1193" xr:uid="{00000000-0005-0000-0000-000091040000}"/>
    <cellStyle name="강조색2 4" xfId="1194" xr:uid="{00000000-0005-0000-0000-000092040000}"/>
    <cellStyle name="강조색2 5" xfId="1195" xr:uid="{00000000-0005-0000-0000-000093040000}"/>
    <cellStyle name="강조색3" xfId="26" builtinId="37" customBuiltin="1"/>
    <cellStyle name="강조색3 2" xfId="1196" xr:uid="{00000000-0005-0000-0000-000095040000}"/>
    <cellStyle name="강조색3 2 2" xfId="1197" xr:uid="{00000000-0005-0000-0000-000096040000}"/>
    <cellStyle name="강조색3 3" xfId="1198" xr:uid="{00000000-0005-0000-0000-000097040000}"/>
    <cellStyle name="강조색3 4" xfId="1199" xr:uid="{00000000-0005-0000-0000-000098040000}"/>
    <cellStyle name="강조색3 5" xfId="1200" xr:uid="{00000000-0005-0000-0000-000099040000}"/>
    <cellStyle name="강조색4" xfId="30" builtinId="41" customBuiltin="1"/>
    <cellStyle name="강조색4 2" xfId="1201" xr:uid="{00000000-0005-0000-0000-00009B040000}"/>
    <cellStyle name="강조색4 2 2" xfId="1202" xr:uid="{00000000-0005-0000-0000-00009C040000}"/>
    <cellStyle name="강조색4 3" xfId="1203" xr:uid="{00000000-0005-0000-0000-00009D040000}"/>
    <cellStyle name="강조색4 4" xfId="1204" xr:uid="{00000000-0005-0000-0000-00009E040000}"/>
    <cellStyle name="강조색4 5" xfId="1205" xr:uid="{00000000-0005-0000-0000-00009F040000}"/>
    <cellStyle name="강조색4 6" xfId="1206" xr:uid="{00000000-0005-0000-0000-0000A0040000}"/>
    <cellStyle name="강조색4 7" xfId="1207" xr:uid="{00000000-0005-0000-0000-0000A1040000}"/>
    <cellStyle name="강조색5" xfId="34" builtinId="45" customBuiltin="1"/>
    <cellStyle name="강조색5 2" xfId="1208" xr:uid="{00000000-0005-0000-0000-0000A3040000}"/>
    <cellStyle name="강조색5 2 2" xfId="1209" xr:uid="{00000000-0005-0000-0000-0000A4040000}"/>
    <cellStyle name="강조색5 3" xfId="1210" xr:uid="{00000000-0005-0000-0000-0000A5040000}"/>
    <cellStyle name="강조색5 4" xfId="1211" xr:uid="{00000000-0005-0000-0000-0000A6040000}"/>
    <cellStyle name="강조색5 5" xfId="1212" xr:uid="{00000000-0005-0000-0000-0000A7040000}"/>
    <cellStyle name="강조색6" xfId="38" builtinId="49" customBuiltin="1"/>
    <cellStyle name="강조색6 2" xfId="1213" xr:uid="{00000000-0005-0000-0000-0000A9040000}"/>
    <cellStyle name="강조색6 2 2" xfId="1214" xr:uid="{00000000-0005-0000-0000-0000AA040000}"/>
    <cellStyle name="강조색6 3" xfId="1215" xr:uid="{00000000-0005-0000-0000-0000AB040000}"/>
    <cellStyle name="강조색6 4" xfId="1216" xr:uid="{00000000-0005-0000-0000-0000AC040000}"/>
    <cellStyle name="강조색6 5" xfId="1217" xr:uid="{00000000-0005-0000-0000-0000AD040000}"/>
    <cellStyle name="견적" xfId="1218" xr:uid="{00000000-0005-0000-0000-0000AE040000}"/>
    <cellStyle name="견적 2" xfId="4603" xr:uid="{00000000-0005-0000-0000-0000AE040000}"/>
    <cellStyle name="경고문" xfId="14" builtinId="11" customBuiltin="1"/>
    <cellStyle name="경고문 2" xfId="1219" xr:uid="{00000000-0005-0000-0000-0000B0040000}"/>
    <cellStyle name="경고문 2 2" xfId="1220" xr:uid="{00000000-0005-0000-0000-0000B1040000}"/>
    <cellStyle name="경고문 3" xfId="1221" xr:uid="{00000000-0005-0000-0000-0000B2040000}"/>
    <cellStyle name="경고문 4" xfId="1222" xr:uid="{00000000-0005-0000-0000-0000B3040000}"/>
    <cellStyle name="경고문 5" xfId="1223" xr:uid="{00000000-0005-0000-0000-0000B4040000}"/>
    <cellStyle name="계산" xfId="11" builtinId="22" customBuiltin="1"/>
    <cellStyle name="계산 2" xfId="1224" xr:uid="{00000000-0005-0000-0000-0000B6040000}"/>
    <cellStyle name="계산 2 2" xfId="1225" xr:uid="{00000000-0005-0000-0000-0000B7040000}"/>
    <cellStyle name="계산 2 3" xfId="4604" xr:uid="{00000000-0005-0000-0000-0000B6040000}"/>
    <cellStyle name="계산 3" xfId="1226" xr:uid="{00000000-0005-0000-0000-0000B8040000}"/>
    <cellStyle name="계산 3 2" xfId="4605" xr:uid="{00000000-0005-0000-0000-0000B8040000}"/>
    <cellStyle name="계산 4" xfId="1227" xr:uid="{00000000-0005-0000-0000-0000B9040000}"/>
    <cellStyle name="계산 4 2" xfId="4606" xr:uid="{00000000-0005-0000-0000-0000B9040000}"/>
    <cellStyle name="계산 5" xfId="1228" xr:uid="{00000000-0005-0000-0000-0000BA040000}"/>
    <cellStyle name="계산 5 2" xfId="4607" xr:uid="{00000000-0005-0000-0000-0000BA040000}"/>
    <cellStyle name="계산 6" xfId="1229" xr:uid="{00000000-0005-0000-0000-0000BB040000}"/>
    <cellStyle name="계산 6 2" xfId="4608" xr:uid="{00000000-0005-0000-0000-0000BB040000}"/>
    <cellStyle name="계산 7" xfId="1230" xr:uid="{00000000-0005-0000-0000-0000BC040000}"/>
    <cellStyle name="고정소숫점" xfId="1231" xr:uid="{00000000-0005-0000-0000-0000BD040000}"/>
    <cellStyle name="고정소숫점 2" xfId="1232" xr:uid="{00000000-0005-0000-0000-0000BE040000}"/>
    <cellStyle name="고정소숫점 3" xfId="1233" xr:uid="{00000000-0005-0000-0000-0000BF040000}"/>
    <cellStyle name="고정출력1" xfId="1234" xr:uid="{00000000-0005-0000-0000-0000C0040000}"/>
    <cellStyle name="고정출력1 2" xfId="1235" xr:uid="{00000000-0005-0000-0000-0000C1040000}"/>
    <cellStyle name="고정출력1 3" xfId="1236" xr:uid="{00000000-0005-0000-0000-0000C2040000}"/>
    <cellStyle name="고정출력2" xfId="1237" xr:uid="{00000000-0005-0000-0000-0000C3040000}"/>
    <cellStyle name="고정출력2 2" xfId="1238" xr:uid="{00000000-0005-0000-0000-0000C4040000}"/>
    <cellStyle name="고정출력2 3" xfId="1239" xr:uid="{00000000-0005-0000-0000-0000C5040000}"/>
    <cellStyle name="咬訌裝?INCOM1" xfId="1240" xr:uid="{00000000-0005-0000-0000-0000C6040000}"/>
    <cellStyle name="咬訌裝?INCOM1 2" xfId="1241" xr:uid="{00000000-0005-0000-0000-0000C7040000}"/>
    <cellStyle name="咬訌裝?INCOM1 3" xfId="1242" xr:uid="{00000000-0005-0000-0000-0000C8040000}"/>
    <cellStyle name="咬訌裝?INCOM1 4" xfId="1243" xr:uid="{00000000-0005-0000-0000-0000C9040000}"/>
    <cellStyle name="咬訌裝?INCOM1 5" xfId="1244" xr:uid="{00000000-0005-0000-0000-0000CA040000}"/>
    <cellStyle name="咬訌裝?INCOM10" xfId="1245" xr:uid="{00000000-0005-0000-0000-0000CB040000}"/>
    <cellStyle name="咬訌裝?INCOM10 2" xfId="1246" xr:uid="{00000000-0005-0000-0000-0000CC040000}"/>
    <cellStyle name="咬訌裝?INCOM10 3" xfId="1247" xr:uid="{00000000-0005-0000-0000-0000CD040000}"/>
    <cellStyle name="咬訌裝?INCOM10 4" xfId="1248" xr:uid="{00000000-0005-0000-0000-0000CE040000}"/>
    <cellStyle name="咬訌裝?INCOM10 5" xfId="1249" xr:uid="{00000000-0005-0000-0000-0000CF040000}"/>
    <cellStyle name="咬訌裝?INCOM2" xfId="1250" xr:uid="{00000000-0005-0000-0000-0000D0040000}"/>
    <cellStyle name="咬訌裝?INCOM2 2" xfId="1251" xr:uid="{00000000-0005-0000-0000-0000D1040000}"/>
    <cellStyle name="咬訌裝?INCOM2 3" xfId="1252" xr:uid="{00000000-0005-0000-0000-0000D2040000}"/>
    <cellStyle name="咬訌裝?INCOM2 4" xfId="1253" xr:uid="{00000000-0005-0000-0000-0000D3040000}"/>
    <cellStyle name="咬訌裝?INCOM2 5" xfId="1254" xr:uid="{00000000-0005-0000-0000-0000D4040000}"/>
    <cellStyle name="咬訌裝?INCOM3" xfId="1255" xr:uid="{00000000-0005-0000-0000-0000D5040000}"/>
    <cellStyle name="咬訌裝?INCOM3 2" xfId="1256" xr:uid="{00000000-0005-0000-0000-0000D6040000}"/>
    <cellStyle name="咬訌裝?INCOM3 3" xfId="1257" xr:uid="{00000000-0005-0000-0000-0000D7040000}"/>
    <cellStyle name="咬訌裝?INCOM3 4" xfId="1258" xr:uid="{00000000-0005-0000-0000-0000D8040000}"/>
    <cellStyle name="咬訌裝?INCOM3 5" xfId="1259" xr:uid="{00000000-0005-0000-0000-0000D9040000}"/>
    <cellStyle name="咬訌裝?INCOM4" xfId="1260" xr:uid="{00000000-0005-0000-0000-0000DA040000}"/>
    <cellStyle name="咬訌裝?INCOM4 2" xfId="1261" xr:uid="{00000000-0005-0000-0000-0000DB040000}"/>
    <cellStyle name="咬訌裝?INCOM4 3" xfId="1262" xr:uid="{00000000-0005-0000-0000-0000DC040000}"/>
    <cellStyle name="咬訌裝?INCOM4 4" xfId="1263" xr:uid="{00000000-0005-0000-0000-0000DD040000}"/>
    <cellStyle name="咬訌裝?INCOM4 5" xfId="1264" xr:uid="{00000000-0005-0000-0000-0000DE040000}"/>
    <cellStyle name="咬訌裝?INCOM5" xfId="1265" xr:uid="{00000000-0005-0000-0000-0000DF040000}"/>
    <cellStyle name="咬訌裝?INCOM5 2" xfId="1266" xr:uid="{00000000-0005-0000-0000-0000E0040000}"/>
    <cellStyle name="咬訌裝?INCOM5 3" xfId="1267" xr:uid="{00000000-0005-0000-0000-0000E1040000}"/>
    <cellStyle name="咬訌裝?INCOM5 4" xfId="1268" xr:uid="{00000000-0005-0000-0000-0000E2040000}"/>
    <cellStyle name="咬訌裝?INCOM5 5" xfId="1269" xr:uid="{00000000-0005-0000-0000-0000E3040000}"/>
    <cellStyle name="咬訌裝?INCOM6" xfId="1270" xr:uid="{00000000-0005-0000-0000-0000E4040000}"/>
    <cellStyle name="咬訌裝?INCOM6 2" xfId="1271" xr:uid="{00000000-0005-0000-0000-0000E5040000}"/>
    <cellStyle name="咬訌裝?INCOM6 3" xfId="1272" xr:uid="{00000000-0005-0000-0000-0000E6040000}"/>
    <cellStyle name="咬訌裝?INCOM6 4" xfId="1273" xr:uid="{00000000-0005-0000-0000-0000E7040000}"/>
    <cellStyle name="咬訌裝?INCOM6 5" xfId="1274" xr:uid="{00000000-0005-0000-0000-0000E8040000}"/>
    <cellStyle name="咬訌裝?INCOM7" xfId="1275" xr:uid="{00000000-0005-0000-0000-0000E9040000}"/>
    <cellStyle name="咬訌裝?INCOM7 2" xfId="1276" xr:uid="{00000000-0005-0000-0000-0000EA040000}"/>
    <cellStyle name="咬訌裝?INCOM7 3" xfId="1277" xr:uid="{00000000-0005-0000-0000-0000EB040000}"/>
    <cellStyle name="咬訌裝?INCOM7 4" xfId="1278" xr:uid="{00000000-0005-0000-0000-0000EC040000}"/>
    <cellStyle name="咬訌裝?INCOM7 5" xfId="1279" xr:uid="{00000000-0005-0000-0000-0000ED040000}"/>
    <cellStyle name="咬訌裝?INCOM8" xfId="1280" xr:uid="{00000000-0005-0000-0000-0000EE040000}"/>
    <cellStyle name="咬訌裝?INCOM8 2" xfId="1281" xr:uid="{00000000-0005-0000-0000-0000EF040000}"/>
    <cellStyle name="咬訌裝?INCOM8 3" xfId="1282" xr:uid="{00000000-0005-0000-0000-0000F0040000}"/>
    <cellStyle name="咬訌裝?INCOM8 4" xfId="1283" xr:uid="{00000000-0005-0000-0000-0000F1040000}"/>
    <cellStyle name="咬訌裝?INCOM8 5" xfId="1284" xr:uid="{00000000-0005-0000-0000-0000F2040000}"/>
    <cellStyle name="咬訌裝?INCOM9" xfId="1285" xr:uid="{00000000-0005-0000-0000-0000F3040000}"/>
    <cellStyle name="咬訌裝?INCOM9 2" xfId="1286" xr:uid="{00000000-0005-0000-0000-0000F4040000}"/>
    <cellStyle name="咬訌裝?INCOM9 3" xfId="1287" xr:uid="{00000000-0005-0000-0000-0000F5040000}"/>
    <cellStyle name="咬訌裝?INCOM9 4" xfId="1288" xr:uid="{00000000-0005-0000-0000-0000F6040000}"/>
    <cellStyle name="咬訌裝?INCOM9 5" xfId="1289" xr:uid="{00000000-0005-0000-0000-0000F7040000}"/>
    <cellStyle name="咬訌裝?PRIB11" xfId="1290" xr:uid="{00000000-0005-0000-0000-0000F8040000}"/>
    <cellStyle name="咬訌裝?PRIB11 2" xfId="1291" xr:uid="{00000000-0005-0000-0000-0000F9040000}"/>
    <cellStyle name="咬訌裝?PRIB11 3" xfId="1292" xr:uid="{00000000-0005-0000-0000-0000FA040000}"/>
    <cellStyle name="咬訌裝?PRIB11 4" xfId="1293" xr:uid="{00000000-0005-0000-0000-0000FB040000}"/>
    <cellStyle name="咬訌裝?PRIB11 5" xfId="1294" xr:uid="{00000000-0005-0000-0000-0000FC040000}"/>
    <cellStyle name="금액" xfId="1295" xr:uid="{00000000-0005-0000-0000-0000FD040000}"/>
    <cellStyle name="금액 2" xfId="1296" xr:uid="{00000000-0005-0000-0000-0000FE040000}"/>
    <cellStyle name="금액 2 2" xfId="4610" xr:uid="{00000000-0005-0000-0000-0000FE040000}"/>
    <cellStyle name="금액 3" xfId="1297" xr:uid="{00000000-0005-0000-0000-0000FF040000}"/>
    <cellStyle name="금액 3 2" xfId="4611" xr:uid="{00000000-0005-0000-0000-0000FF040000}"/>
    <cellStyle name="금액 4" xfId="1298" xr:uid="{00000000-0005-0000-0000-000000050000}"/>
    <cellStyle name="금액 4 2" xfId="4612" xr:uid="{00000000-0005-0000-0000-000000050000}"/>
    <cellStyle name="금액 5" xfId="1299" xr:uid="{00000000-0005-0000-0000-000001050000}"/>
    <cellStyle name="금액 5 2" xfId="4613" xr:uid="{00000000-0005-0000-0000-000001050000}"/>
    <cellStyle name="금액 6" xfId="4609" xr:uid="{00000000-0005-0000-0000-0000FD040000}"/>
    <cellStyle name="기계" xfId="1300" xr:uid="{00000000-0005-0000-0000-000002050000}"/>
    <cellStyle name="기계 2" xfId="4614" xr:uid="{00000000-0005-0000-0000-000002050000}"/>
    <cellStyle name="나쁨" xfId="7" builtinId="27" customBuiltin="1"/>
    <cellStyle name="나쁨 2" xfId="1301" xr:uid="{00000000-0005-0000-0000-000004050000}"/>
    <cellStyle name="나쁨 2 2" xfId="1302" xr:uid="{00000000-0005-0000-0000-000005050000}"/>
    <cellStyle name="나쁨 3" xfId="1303" xr:uid="{00000000-0005-0000-0000-000006050000}"/>
    <cellStyle name="나쁨 4" xfId="1304" xr:uid="{00000000-0005-0000-0000-000007050000}"/>
    <cellStyle name="나쁨 5" xfId="1305" xr:uid="{00000000-0005-0000-0000-000008050000}"/>
    <cellStyle name="나쁨 6" xfId="1306" xr:uid="{00000000-0005-0000-0000-000009050000}"/>
    <cellStyle name="날짜" xfId="1307" xr:uid="{00000000-0005-0000-0000-00000A050000}"/>
    <cellStyle name="날짜 2" xfId="1308" xr:uid="{00000000-0005-0000-0000-00000B050000}"/>
    <cellStyle name="날짜 3" xfId="1309" xr:uid="{00000000-0005-0000-0000-00000C050000}"/>
    <cellStyle name="내역서" xfId="1310" xr:uid="{00000000-0005-0000-0000-00000D050000}"/>
    <cellStyle name="단위(원)" xfId="1311" xr:uid="{00000000-0005-0000-0000-00000E050000}"/>
    <cellStyle name="달러" xfId="1312" xr:uid="{00000000-0005-0000-0000-00000F050000}"/>
    <cellStyle name="달러 2" xfId="1313" xr:uid="{00000000-0005-0000-0000-000010050000}"/>
    <cellStyle name="달러 3" xfId="1314" xr:uid="{00000000-0005-0000-0000-000011050000}"/>
    <cellStyle name="뒤에 오는 하이퍼링크" xfId="1315" xr:uid="{00000000-0005-0000-0000-000012050000}"/>
    <cellStyle name="똿뗦먛귟 [0.00]_laroux" xfId="1316" xr:uid="{00000000-0005-0000-0000-000013050000}"/>
    <cellStyle name="똿뗦먛귟_laroux" xfId="1317" xr:uid="{00000000-0005-0000-0000-000014050000}"/>
    <cellStyle name="메모" xfId="15" builtinId="10" customBuiltin="1"/>
    <cellStyle name="메모 10" xfId="1318" xr:uid="{00000000-0005-0000-0000-000016050000}"/>
    <cellStyle name="메모 10 2" xfId="1319" xr:uid="{00000000-0005-0000-0000-000017050000}"/>
    <cellStyle name="메모 10 3" xfId="1320" xr:uid="{00000000-0005-0000-0000-000018050000}"/>
    <cellStyle name="메모 100" xfId="1321" xr:uid="{00000000-0005-0000-0000-000019050000}"/>
    <cellStyle name="메모 100 2" xfId="1322" xr:uid="{00000000-0005-0000-0000-00001A050000}"/>
    <cellStyle name="메모 100 3" xfId="1323" xr:uid="{00000000-0005-0000-0000-00001B050000}"/>
    <cellStyle name="메모 101" xfId="1324" xr:uid="{00000000-0005-0000-0000-00001C050000}"/>
    <cellStyle name="메모 101 2" xfId="1325" xr:uid="{00000000-0005-0000-0000-00001D050000}"/>
    <cellStyle name="메모 101 3" xfId="1326" xr:uid="{00000000-0005-0000-0000-00001E050000}"/>
    <cellStyle name="메모 102" xfId="1327" xr:uid="{00000000-0005-0000-0000-00001F050000}"/>
    <cellStyle name="메모 102 2" xfId="1328" xr:uid="{00000000-0005-0000-0000-000020050000}"/>
    <cellStyle name="메모 102 3" xfId="1329" xr:uid="{00000000-0005-0000-0000-000021050000}"/>
    <cellStyle name="메모 103" xfId="1330" xr:uid="{00000000-0005-0000-0000-000022050000}"/>
    <cellStyle name="메모 103 2" xfId="1331" xr:uid="{00000000-0005-0000-0000-000023050000}"/>
    <cellStyle name="메모 103 3" xfId="1332" xr:uid="{00000000-0005-0000-0000-000024050000}"/>
    <cellStyle name="메모 104" xfId="1333" xr:uid="{00000000-0005-0000-0000-000025050000}"/>
    <cellStyle name="메모 104 2" xfId="1334" xr:uid="{00000000-0005-0000-0000-000026050000}"/>
    <cellStyle name="메모 104 3" xfId="1335" xr:uid="{00000000-0005-0000-0000-000027050000}"/>
    <cellStyle name="메모 105" xfId="1336" xr:uid="{00000000-0005-0000-0000-000028050000}"/>
    <cellStyle name="메모 105 2" xfId="1337" xr:uid="{00000000-0005-0000-0000-000029050000}"/>
    <cellStyle name="메모 105 3" xfId="1338" xr:uid="{00000000-0005-0000-0000-00002A050000}"/>
    <cellStyle name="메모 106" xfId="1339" xr:uid="{00000000-0005-0000-0000-00002B050000}"/>
    <cellStyle name="메모 106 2" xfId="1340" xr:uid="{00000000-0005-0000-0000-00002C050000}"/>
    <cellStyle name="메모 106 3" xfId="1341" xr:uid="{00000000-0005-0000-0000-00002D050000}"/>
    <cellStyle name="메모 107" xfId="1342" xr:uid="{00000000-0005-0000-0000-00002E050000}"/>
    <cellStyle name="메모 107 2" xfId="1343" xr:uid="{00000000-0005-0000-0000-00002F050000}"/>
    <cellStyle name="메모 107 3" xfId="1344" xr:uid="{00000000-0005-0000-0000-000030050000}"/>
    <cellStyle name="메모 108" xfId="1345" xr:uid="{00000000-0005-0000-0000-000031050000}"/>
    <cellStyle name="메모 108 2" xfId="1346" xr:uid="{00000000-0005-0000-0000-000032050000}"/>
    <cellStyle name="메모 108 3" xfId="1347" xr:uid="{00000000-0005-0000-0000-000033050000}"/>
    <cellStyle name="메모 109" xfId="1348" xr:uid="{00000000-0005-0000-0000-000034050000}"/>
    <cellStyle name="메모 109 2" xfId="1349" xr:uid="{00000000-0005-0000-0000-000035050000}"/>
    <cellStyle name="메모 109 3" xfId="1350" xr:uid="{00000000-0005-0000-0000-000036050000}"/>
    <cellStyle name="메모 11" xfId="1351" xr:uid="{00000000-0005-0000-0000-000037050000}"/>
    <cellStyle name="메모 11 2" xfId="1352" xr:uid="{00000000-0005-0000-0000-000038050000}"/>
    <cellStyle name="메모 11 3" xfId="1353" xr:uid="{00000000-0005-0000-0000-000039050000}"/>
    <cellStyle name="메모 110" xfId="1354" xr:uid="{00000000-0005-0000-0000-00003A050000}"/>
    <cellStyle name="메모 110 2" xfId="1355" xr:uid="{00000000-0005-0000-0000-00003B050000}"/>
    <cellStyle name="메모 110 3" xfId="1356" xr:uid="{00000000-0005-0000-0000-00003C050000}"/>
    <cellStyle name="메모 111" xfId="1357" xr:uid="{00000000-0005-0000-0000-00003D050000}"/>
    <cellStyle name="메모 111 2" xfId="1358" xr:uid="{00000000-0005-0000-0000-00003E050000}"/>
    <cellStyle name="메모 111 3" xfId="1359" xr:uid="{00000000-0005-0000-0000-00003F050000}"/>
    <cellStyle name="메모 112" xfId="1360" xr:uid="{00000000-0005-0000-0000-000040050000}"/>
    <cellStyle name="메모 112 2" xfId="1361" xr:uid="{00000000-0005-0000-0000-000041050000}"/>
    <cellStyle name="메모 112 3" xfId="1362" xr:uid="{00000000-0005-0000-0000-000042050000}"/>
    <cellStyle name="메모 113" xfId="1363" xr:uid="{00000000-0005-0000-0000-000043050000}"/>
    <cellStyle name="메모 113 2" xfId="1364" xr:uid="{00000000-0005-0000-0000-000044050000}"/>
    <cellStyle name="메모 113 3" xfId="1365" xr:uid="{00000000-0005-0000-0000-000045050000}"/>
    <cellStyle name="메모 114" xfId="1366" xr:uid="{00000000-0005-0000-0000-000046050000}"/>
    <cellStyle name="메모 114 2" xfId="1367" xr:uid="{00000000-0005-0000-0000-000047050000}"/>
    <cellStyle name="메모 114 3" xfId="1368" xr:uid="{00000000-0005-0000-0000-000048050000}"/>
    <cellStyle name="메모 115" xfId="1369" xr:uid="{00000000-0005-0000-0000-000049050000}"/>
    <cellStyle name="메모 115 2" xfId="1370" xr:uid="{00000000-0005-0000-0000-00004A050000}"/>
    <cellStyle name="메모 115 3" xfId="1371" xr:uid="{00000000-0005-0000-0000-00004B050000}"/>
    <cellStyle name="메모 116" xfId="1372" xr:uid="{00000000-0005-0000-0000-00004C050000}"/>
    <cellStyle name="메모 116 2" xfId="1373" xr:uid="{00000000-0005-0000-0000-00004D050000}"/>
    <cellStyle name="메모 116 3" xfId="1374" xr:uid="{00000000-0005-0000-0000-00004E050000}"/>
    <cellStyle name="메모 117" xfId="1375" xr:uid="{00000000-0005-0000-0000-00004F050000}"/>
    <cellStyle name="메모 117 2" xfId="1376" xr:uid="{00000000-0005-0000-0000-000050050000}"/>
    <cellStyle name="메모 117 3" xfId="1377" xr:uid="{00000000-0005-0000-0000-000051050000}"/>
    <cellStyle name="메모 118" xfId="1378" xr:uid="{00000000-0005-0000-0000-000052050000}"/>
    <cellStyle name="메모 118 2" xfId="1379" xr:uid="{00000000-0005-0000-0000-000053050000}"/>
    <cellStyle name="메모 118 3" xfId="1380" xr:uid="{00000000-0005-0000-0000-000054050000}"/>
    <cellStyle name="메모 119" xfId="1381" xr:uid="{00000000-0005-0000-0000-000055050000}"/>
    <cellStyle name="메모 119 2" xfId="1382" xr:uid="{00000000-0005-0000-0000-000056050000}"/>
    <cellStyle name="메모 119 3" xfId="1383" xr:uid="{00000000-0005-0000-0000-000057050000}"/>
    <cellStyle name="메모 12" xfId="1384" xr:uid="{00000000-0005-0000-0000-000058050000}"/>
    <cellStyle name="메모 12 2" xfId="1385" xr:uid="{00000000-0005-0000-0000-000059050000}"/>
    <cellStyle name="메모 12 3" xfId="1386" xr:uid="{00000000-0005-0000-0000-00005A050000}"/>
    <cellStyle name="메모 120" xfId="1387" xr:uid="{00000000-0005-0000-0000-00005B050000}"/>
    <cellStyle name="메모 120 2" xfId="1388" xr:uid="{00000000-0005-0000-0000-00005C050000}"/>
    <cellStyle name="메모 120 3" xfId="1389" xr:uid="{00000000-0005-0000-0000-00005D050000}"/>
    <cellStyle name="메모 121" xfId="1390" xr:uid="{00000000-0005-0000-0000-00005E050000}"/>
    <cellStyle name="메모 121 2" xfId="1391" xr:uid="{00000000-0005-0000-0000-00005F050000}"/>
    <cellStyle name="메모 121 3" xfId="1392" xr:uid="{00000000-0005-0000-0000-000060050000}"/>
    <cellStyle name="메모 122" xfId="1393" xr:uid="{00000000-0005-0000-0000-000061050000}"/>
    <cellStyle name="메모 122 2" xfId="1394" xr:uid="{00000000-0005-0000-0000-000062050000}"/>
    <cellStyle name="메모 122 3" xfId="1395" xr:uid="{00000000-0005-0000-0000-000063050000}"/>
    <cellStyle name="메모 123" xfId="1396" xr:uid="{00000000-0005-0000-0000-000064050000}"/>
    <cellStyle name="메모 123 2" xfId="1397" xr:uid="{00000000-0005-0000-0000-000065050000}"/>
    <cellStyle name="메모 123 3" xfId="1398" xr:uid="{00000000-0005-0000-0000-000066050000}"/>
    <cellStyle name="메모 124" xfId="1399" xr:uid="{00000000-0005-0000-0000-000067050000}"/>
    <cellStyle name="메모 124 2" xfId="1400" xr:uid="{00000000-0005-0000-0000-000068050000}"/>
    <cellStyle name="메모 124 3" xfId="1401" xr:uid="{00000000-0005-0000-0000-000069050000}"/>
    <cellStyle name="메모 125" xfId="1402" xr:uid="{00000000-0005-0000-0000-00006A050000}"/>
    <cellStyle name="메모 125 2" xfId="1403" xr:uid="{00000000-0005-0000-0000-00006B050000}"/>
    <cellStyle name="메모 125 3" xfId="1404" xr:uid="{00000000-0005-0000-0000-00006C050000}"/>
    <cellStyle name="메모 126" xfId="1405" xr:uid="{00000000-0005-0000-0000-00006D050000}"/>
    <cellStyle name="메모 126 2" xfId="1406" xr:uid="{00000000-0005-0000-0000-00006E050000}"/>
    <cellStyle name="메모 126 3" xfId="1407" xr:uid="{00000000-0005-0000-0000-00006F050000}"/>
    <cellStyle name="메모 127" xfId="1408" xr:uid="{00000000-0005-0000-0000-000070050000}"/>
    <cellStyle name="메모 127 2" xfId="1409" xr:uid="{00000000-0005-0000-0000-000071050000}"/>
    <cellStyle name="메모 127 3" xfId="1410" xr:uid="{00000000-0005-0000-0000-000072050000}"/>
    <cellStyle name="메모 128" xfId="1411" xr:uid="{00000000-0005-0000-0000-000073050000}"/>
    <cellStyle name="메모 128 2" xfId="1412" xr:uid="{00000000-0005-0000-0000-000074050000}"/>
    <cellStyle name="메모 128 3" xfId="1413" xr:uid="{00000000-0005-0000-0000-000075050000}"/>
    <cellStyle name="메모 129" xfId="1414" xr:uid="{00000000-0005-0000-0000-000076050000}"/>
    <cellStyle name="메모 129 2" xfId="1415" xr:uid="{00000000-0005-0000-0000-000077050000}"/>
    <cellStyle name="메모 129 3" xfId="1416" xr:uid="{00000000-0005-0000-0000-000078050000}"/>
    <cellStyle name="메모 13" xfId="1417" xr:uid="{00000000-0005-0000-0000-000079050000}"/>
    <cellStyle name="메모 13 2" xfId="1418" xr:uid="{00000000-0005-0000-0000-00007A050000}"/>
    <cellStyle name="메모 13 3" xfId="1419" xr:uid="{00000000-0005-0000-0000-00007B050000}"/>
    <cellStyle name="메모 130" xfId="1420" xr:uid="{00000000-0005-0000-0000-00007C050000}"/>
    <cellStyle name="메모 130 2" xfId="1421" xr:uid="{00000000-0005-0000-0000-00007D050000}"/>
    <cellStyle name="메모 130 3" xfId="1422" xr:uid="{00000000-0005-0000-0000-00007E050000}"/>
    <cellStyle name="메모 131" xfId="1423" xr:uid="{00000000-0005-0000-0000-00007F050000}"/>
    <cellStyle name="메모 131 2" xfId="1424" xr:uid="{00000000-0005-0000-0000-000080050000}"/>
    <cellStyle name="메모 131 3" xfId="1425" xr:uid="{00000000-0005-0000-0000-000081050000}"/>
    <cellStyle name="메모 132" xfId="1426" xr:uid="{00000000-0005-0000-0000-000082050000}"/>
    <cellStyle name="메모 132 2" xfId="1427" xr:uid="{00000000-0005-0000-0000-000083050000}"/>
    <cellStyle name="메모 132 3" xfId="1428" xr:uid="{00000000-0005-0000-0000-000084050000}"/>
    <cellStyle name="메모 133" xfId="1429" xr:uid="{00000000-0005-0000-0000-000085050000}"/>
    <cellStyle name="메모 133 2" xfId="1430" xr:uid="{00000000-0005-0000-0000-000086050000}"/>
    <cellStyle name="메모 133 3" xfId="1431" xr:uid="{00000000-0005-0000-0000-000087050000}"/>
    <cellStyle name="메모 134" xfId="1432" xr:uid="{00000000-0005-0000-0000-000088050000}"/>
    <cellStyle name="메모 134 2" xfId="1433" xr:uid="{00000000-0005-0000-0000-000089050000}"/>
    <cellStyle name="메모 134 3" xfId="1434" xr:uid="{00000000-0005-0000-0000-00008A050000}"/>
    <cellStyle name="메모 135" xfId="1435" xr:uid="{00000000-0005-0000-0000-00008B050000}"/>
    <cellStyle name="메모 135 2" xfId="1436" xr:uid="{00000000-0005-0000-0000-00008C050000}"/>
    <cellStyle name="메모 135 3" xfId="1437" xr:uid="{00000000-0005-0000-0000-00008D050000}"/>
    <cellStyle name="메모 136" xfId="1438" xr:uid="{00000000-0005-0000-0000-00008E050000}"/>
    <cellStyle name="메모 136 2" xfId="1439" xr:uid="{00000000-0005-0000-0000-00008F050000}"/>
    <cellStyle name="메모 136 3" xfId="1440" xr:uid="{00000000-0005-0000-0000-000090050000}"/>
    <cellStyle name="메모 137" xfId="1441" xr:uid="{00000000-0005-0000-0000-000091050000}"/>
    <cellStyle name="메모 137 2" xfId="1442" xr:uid="{00000000-0005-0000-0000-000092050000}"/>
    <cellStyle name="메모 137 3" xfId="1443" xr:uid="{00000000-0005-0000-0000-000093050000}"/>
    <cellStyle name="메모 138" xfId="1444" xr:uid="{00000000-0005-0000-0000-000094050000}"/>
    <cellStyle name="메모 138 2" xfId="1445" xr:uid="{00000000-0005-0000-0000-000095050000}"/>
    <cellStyle name="메모 138 3" xfId="1446" xr:uid="{00000000-0005-0000-0000-000096050000}"/>
    <cellStyle name="메모 139" xfId="1447" xr:uid="{00000000-0005-0000-0000-000097050000}"/>
    <cellStyle name="메모 139 2" xfId="1448" xr:uid="{00000000-0005-0000-0000-000098050000}"/>
    <cellStyle name="메모 139 3" xfId="1449" xr:uid="{00000000-0005-0000-0000-000099050000}"/>
    <cellStyle name="메모 14" xfId="1450" xr:uid="{00000000-0005-0000-0000-00009A050000}"/>
    <cellStyle name="메모 14 2" xfId="1451" xr:uid="{00000000-0005-0000-0000-00009B050000}"/>
    <cellStyle name="메모 14 3" xfId="1452" xr:uid="{00000000-0005-0000-0000-00009C050000}"/>
    <cellStyle name="메모 140" xfId="1453" xr:uid="{00000000-0005-0000-0000-00009D050000}"/>
    <cellStyle name="메모 140 2" xfId="1454" xr:uid="{00000000-0005-0000-0000-00009E050000}"/>
    <cellStyle name="메모 140 3" xfId="1455" xr:uid="{00000000-0005-0000-0000-00009F050000}"/>
    <cellStyle name="메모 141" xfId="1456" xr:uid="{00000000-0005-0000-0000-0000A0050000}"/>
    <cellStyle name="메모 141 2" xfId="1457" xr:uid="{00000000-0005-0000-0000-0000A1050000}"/>
    <cellStyle name="메모 141 3" xfId="1458" xr:uid="{00000000-0005-0000-0000-0000A2050000}"/>
    <cellStyle name="메모 142" xfId="1459" xr:uid="{00000000-0005-0000-0000-0000A3050000}"/>
    <cellStyle name="메모 142 2" xfId="1460" xr:uid="{00000000-0005-0000-0000-0000A4050000}"/>
    <cellStyle name="메모 142 3" xfId="1461" xr:uid="{00000000-0005-0000-0000-0000A5050000}"/>
    <cellStyle name="메모 143" xfId="1462" xr:uid="{00000000-0005-0000-0000-0000A6050000}"/>
    <cellStyle name="메모 143 2" xfId="1463" xr:uid="{00000000-0005-0000-0000-0000A7050000}"/>
    <cellStyle name="메모 143 3" xfId="1464" xr:uid="{00000000-0005-0000-0000-0000A8050000}"/>
    <cellStyle name="메모 144" xfId="1465" xr:uid="{00000000-0005-0000-0000-0000A9050000}"/>
    <cellStyle name="메모 144 2" xfId="1466" xr:uid="{00000000-0005-0000-0000-0000AA050000}"/>
    <cellStyle name="메모 144 3" xfId="1467" xr:uid="{00000000-0005-0000-0000-0000AB050000}"/>
    <cellStyle name="메모 145" xfId="1468" xr:uid="{00000000-0005-0000-0000-0000AC050000}"/>
    <cellStyle name="메모 145 2" xfId="1469" xr:uid="{00000000-0005-0000-0000-0000AD050000}"/>
    <cellStyle name="메모 145 3" xfId="1470" xr:uid="{00000000-0005-0000-0000-0000AE050000}"/>
    <cellStyle name="메모 146" xfId="1471" xr:uid="{00000000-0005-0000-0000-0000AF050000}"/>
    <cellStyle name="메모 146 2" xfId="1472" xr:uid="{00000000-0005-0000-0000-0000B0050000}"/>
    <cellStyle name="메모 146 3" xfId="1473" xr:uid="{00000000-0005-0000-0000-0000B1050000}"/>
    <cellStyle name="메모 147" xfId="1474" xr:uid="{00000000-0005-0000-0000-0000B2050000}"/>
    <cellStyle name="메모 147 2" xfId="1475" xr:uid="{00000000-0005-0000-0000-0000B3050000}"/>
    <cellStyle name="메모 147 3" xfId="1476" xr:uid="{00000000-0005-0000-0000-0000B4050000}"/>
    <cellStyle name="메모 148" xfId="1477" xr:uid="{00000000-0005-0000-0000-0000B5050000}"/>
    <cellStyle name="메모 148 2" xfId="1478" xr:uid="{00000000-0005-0000-0000-0000B6050000}"/>
    <cellStyle name="메모 148 3" xfId="1479" xr:uid="{00000000-0005-0000-0000-0000B7050000}"/>
    <cellStyle name="메모 149" xfId="1480" xr:uid="{00000000-0005-0000-0000-0000B8050000}"/>
    <cellStyle name="메모 149 2" xfId="1481" xr:uid="{00000000-0005-0000-0000-0000B9050000}"/>
    <cellStyle name="메모 149 3" xfId="1482" xr:uid="{00000000-0005-0000-0000-0000BA050000}"/>
    <cellStyle name="메모 15" xfId="1483" xr:uid="{00000000-0005-0000-0000-0000BB050000}"/>
    <cellStyle name="메모 15 2" xfId="1484" xr:uid="{00000000-0005-0000-0000-0000BC050000}"/>
    <cellStyle name="메모 15 3" xfId="1485" xr:uid="{00000000-0005-0000-0000-0000BD050000}"/>
    <cellStyle name="메모 150" xfId="1486" xr:uid="{00000000-0005-0000-0000-0000BE050000}"/>
    <cellStyle name="메모 150 2" xfId="1487" xr:uid="{00000000-0005-0000-0000-0000BF050000}"/>
    <cellStyle name="메모 150 3" xfId="1488" xr:uid="{00000000-0005-0000-0000-0000C0050000}"/>
    <cellStyle name="메모 151" xfId="1489" xr:uid="{00000000-0005-0000-0000-0000C1050000}"/>
    <cellStyle name="메모 151 2" xfId="1490" xr:uid="{00000000-0005-0000-0000-0000C2050000}"/>
    <cellStyle name="메모 151 3" xfId="1491" xr:uid="{00000000-0005-0000-0000-0000C3050000}"/>
    <cellStyle name="메모 152" xfId="1492" xr:uid="{00000000-0005-0000-0000-0000C4050000}"/>
    <cellStyle name="메모 152 2" xfId="1493" xr:uid="{00000000-0005-0000-0000-0000C5050000}"/>
    <cellStyle name="메모 152 3" xfId="1494" xr:uid="{00000000-0005-0000-0000-0000C6050000}"/>
    <cellStyle name="메모 153" xfId="1495" xr:uid="{00000000-0005-0000-0000-0000C7050000}"/>
    <cellStyle name="메모 153 2" xfId="1496" xr:uid="{00000000-0005-0000-0000-0000C8050000}"/>
    <cellStyle name="메모 153 3" xfId="1497" xr:uid="{00000000-0005-0000-0000-0000C9050000}"/>
    <cellStyle name="메모 154" xfId="1498" xr:uid="{00000000-0005-0000-0000-0000CA050000}"/>
    <cellStyle name="메모 154 2" xfId="1499" xr:uid="{00000000-0005-0000-0000-0000CB050000}"/>
    <cellStyle name="메모 154 3" xfId="1500" xr:uid="{00000000-0005-0000-0000-0000CC050000}"/>
    <cellStyle name="메모 155" xfId="1501" xr:uid="{00000000-0005-0000-0000-0000CD050000}"/>
    <cellStyle name="메모 155 2" xfId="1502" xr:uid="{00000000-0005-0000-0000-0000CE050000}"/>
    <cellStyle name="메모 155 3" xfId="1503" xr:uid="{00000000-0005-0000-0000-0000CF050000}"/>
    <cellStyle name="메모 156" xfId="1504" xr:uid="{00000000-0005-0000-0000-0000D0050000}"/>
    <cellStyle name="메모 156 2" xfId="1505" xr:uid="{00000000-0005-0000-0000-0000D1050000}"/>
    <cellStyle name="메모 156 3" xfId="1506" xr:uid="{00000000-0005-0000-0000-0000D2050000}"/>
    <cellStyle name="메모 157" xfId="1507" xr:uid="{00000000-0005-0000-0000-0000D3050000}"/>
    <cellStyle name="메모 157 2" xfId="1508" xr:uid="{00000000-0005-0000-0000-0000D4050000}"/>
    <cellStyle name="메모 157 3" xfId="1509" xr:uid="{00000000-0005-0000-0000-0000D5050000}"/>
    <cellStyle name="메모 158" xfId="1510" xr:uid="{00000000-0005-0000-0000-0000D6050000}"/>
    <cellStyle name="메모 158 2" xfId="1511" xr:uid="{00000000-0005-0000-0000-0000D7050000}"/>
    <cellStyle name="메모 158 3" xfId="1512" xr:uid="{00000000-0005-0000-0000-0000D8050000}"/>
    <cellStyle name="메모 159" xfId="1513" xr:uid="{00000000-0005-0000-0000-0000D9050000}"/>
    <cellStyle name="메모 159 2" xfId="1514" xr:uid="{00000000-0005-0000-0000-0000DA050000}"/>
    <cellStyle name="메모 159 3" xfId="1515" xr:uid="{00000000-0005-0000-0000-0000DB050000}"/>
    <cellStyle name="메모 16" xfId="1516" xr:uid="{00000000-0005-0000-0000-0000DC050000}"/>
    <cellStyle name="메모 16 2" xfId="1517" xr:uid="{00000000-0005-0000-0000-0000DD050000}"/>
    <cellStyle name="메모 16 3" xfId="1518" xr:uid="{00000000-0005-0000-0000-0000DE050000}"/>
    <cellStyle name="메모 160" xfId="1519" xr:uid="{00000000-0005-0000-0000-0000DF050000}"/>
    <cellStyle name="메모 160 2" xfId="1520" xr:uid="{00000000-0005-0000-0000-0000E0050000}"/>
    <cellStyle name="메모 160 3" xfId="1521" xr:uid="{00000000-0005-0000-0000-0000E1050000}"/>
    <cellStyle name="메모 161" xfId="1522" xr:uid="{00000000-0005-0000-0000-0000E2050000}"/>
    <cellStyle name="메모 161 2" xfId="1523" xr:uid="{00000000-0005-0000-0000-0000E3050000}"/>
    <cellStyle name="메모 161 3" xfId="1524" xr:uid="{00000000-0005-0000-0000-0000E4050000}"/>
    <cellStyle name="메모 162" xfId="1525" xr:uid="{00000000-0005-0000-0000-0000E5050000}"/>
    <cellStyle name="메모 162 2" xfId="1526" xr:uid="{00000000-0005-0000-0000-0000E6050000}"/>
    <cellStyle name="메모 162 3" xfId="1527" xr:uid="{00000000-0005-0000-0000-0000E7050000}"/>
    <cellStyle name="메모 163" xfId="1528" xr:uid="{00000000-0005-0000-0000-0000E8050000}"/>
    <cellStyle name="메모 163 2" xfId="1529" xr:uid="{00000000-0005-0000-0000-0000E9050000}"/>
    <cellStyle name="메모 163 3" xfId="1530" xr:uid="{00000000-0005-0000-0000-0000EA050000}"/>
    <cellStyle name="메모 164" xfId="1531" xr:uid="{00000000-0005-0000-0000-0000EB050000}"/>
    <cellStyle name="메모 164 2" xfId="1532" xr:uid="{00000000-0005-0000-0000-0000EC050000}"/>
    <cellStyle name="메모 164 3" xfId="1533" xr:uid="{00000000-0005-0000-0000-0000ED050000}"/>
    <cellStyle name="메모 165" xfId="1534" xr:uid="{00000000-0005-0000-0000-0000EE050000}"/>
    <cellStyle name="메모 165 2" xfId="1535" xr:uid="{00000000-0005-0000-0000-0000EF050000}"/>
    <cellStyle name="메모 165 3" xfId="1536" xr:uid="{00000000-0005-0000-0000-0000F0050000}"/>
    <cellStyle name="메모 166" xfId="1537" xr:uid="{00000000-0005-0000-0000-0000F1050000}"/>
    <cellStyle name="메모 166 2" xfId="1538" xr:uid="{00000000-0005-0000-0000-0000F2050000}"/>
    <cellStyle name="메모 166 3" xfId="1539" xr:uid="{00000000-0005-0000-0000-0000F3050000}"/>
    <cellStyle name="메모 167" xfId="1540" xr:uid="{00000000-0005-0000-0000-0000F4050000}"/>
    <cellStyle name="메모 167 2" xfId="1541" xr:uid="{00000000-0005-0000-0000-0000F5050000}"/>
    <cellStyle name="메모 167 3" xfId="1542" xr:uid="{00000000-0005-0000-0000-0000F6050000}"/>
    <cellStyle name="메모 168" xfId="1543" xr:uid="{00000000-0005-0000-0000-0000F7050000}"/>
    <cellStyle name="메모 168 2" xfId="1544" xr:uid="{00000000-0005-0000-0000-0000F8050000}"/>
    <cellStyle name="메모 168 3" xfId="1545" xr:uid="{00000000-0005-0000-0000-0000F9050000}"/>
    <cellStyle name="메모 169" xfId="1546" xr:uid="{00000000-0005-0000-0000-0000FA050000}"/>
    <cellStyle name="메모 169 2" xfId="1547" xr:uid="{00000000-0005-0000-0000-0000FB050000}"/>
    <cellStyle name="메모 169 3" xfId="1548" xr:uid="{00000000-0005-0000-0000-0000FC050000}"/>
    <cellStyle name="메모 17" xfId="1549" xr:uid="{00000000-0005-0000-0000-0000FD050000}"/>
    <cellStyle name="메모 17 2" xfId="1550" xr:uid="{00000000-0005-0000-0000-0000FE050000}"/>
    <cellStyle name="메모 17 3" xfId="1551" xr:uid="{00000000-0005-0000-0000-0000FF050000}"/>
    <cellStyle name="메모 170" xfId="1552" xr:uid="{00000000-0005-0000-0000-000000060000}"/>
    <cellStyle name="메모 170 2" xfId="1553" xr:uid="{00000000-0005-0000-0000-000001060000}"/>
    <cellStyle name="메모 170 3" xfId="1554" xr:uid="{00000000-0005-0000-0000-000002060000}"/>
    <cellStyle name="메모 171" xfId="1555" xr:uid="{00000000-0005-0000-0000-000003060000}"/>
    <cellStyle name="메모 171 2" xfId="1556" xr:uid="{00000000-0005-0000-0000-000004060000}"/>
    <cellStyle name="메모 171 3" xfId="1557" xr:uid="{00000000-0005-0000-0000-000005060000}"/>
    <cellStyle name="메모 172" xfId="1558" xr:uid="{00000000-0005-0000-0000-000006060000}"/>
    <cellStyle name="메모 172 2" xfId="1559" xr:uid="{00000000-0005-0000-0000-000007060000}"/>
    <cellStyle name="메모 172 3" xfId="1560" xr:uid="{00000000-0005-0000-0000-000008060000}"/>
    <cellStyle name="메모 173" xfId="1561" xr:uid="{00000000-0005-0000-0000-000009060000}"/>
    <cellStyle name="메모 173 2" xfId="1562" xr:uid="{00000000-0005-0000-0000-00000A060000}"/>
    <cellStyle name="메모 173 3" xfId="1563" xr:uid="{00000000-0005-0000-0000-00000B060000}"/>
    <cellStyle name="메모 174" xfId="1564" xr:uid="{00000000-0005-0000-0000-00000C060000}"/>
    <cellStyle name="메모 174 2" xfId="1565" xr:uid="{00000000-0005-0000-0000-00000D060000}"/>
    <cellStyle name="메모 174 3" xfId="1566" xr:uid="{00000000-0005-0000-0000-00000E060000}"/>
    <cellStyle name="메모 175" xfId="1567" xr:uid="{00000000-0005-0000-0000-00000F060000}"/>
    <cellStyle name="메모 175 2" xfId="1568" xr:uid="{00000000-0005-0000-0000-000010060000}"/>
    <cellStyle name="메모 175 3" xfId="1569" xr:uid="{00000000-0005-0000-0000-000011060000}"/>
    <cellStyle name="메모 176" xfId="1570" xr:uid="{00000000-0005-0000-0000-000012060000}"/>
    <cellStyle name="메모 176 2" xfId="1571" xr:uid="{00000000-0005-0000-0000-000013060000}"/>
    <cellStyle name="메모 176 3" xfId="1572" xr:uid="{00000000-0005-0000-0000-000014060000}"/>
    <cellStyle name="메모 177" xfId="1573" xr:uid="{00000000-0005-0000-0000-000015060000}"/>
    <cellStyle name="메모 177 2" xfId="1574" xr:uid="{00000000-0005-0000-0000-000016060000}"/>
    <cellStyle name="메모 177 3" xfId="1575" xr:uid="{00000000-0005-0000-0000-000017060000}"/>
    <cellStyle name="메모 178" xfId="1576" xr:uid="{00000000-0005-0000-0000-000018060000}"/>
    <cellStyle name="메모 178 2" xfId="1577" xr:uid="{00000000-0005-0000-0000-000019060000}"/>
    <cellStyle name="메모 178 3" xfId="1578" xr:uid="{00000000-0005-0000-0000-00001A060000}"/>
    <cellStyle name="메모 179" xfId="1579" xr:uid="{00000000-0005-0000-0000-00001B060000}"/>
    <cellStyle name="메모 179 2" xfId="1580" xr:uid="{00000000-0005-0000-0000-00001C060000}"/>
    <cellStyle name="메모 179 3" xfId="1581" xr:uid="{00000000-0005-0000-0000-00001D060000}"/>
    <cellStyle name="메모 18" xfId="1582" xr:uid="{00000000-0005-0000-0000-00001E060000}"/>
    <cellStyle name="메모 18 2" xfId="1583" xr:uid="{00000000-0005-0000-0000-00001F060000}"/>
    <cellStyle name="메모 18 3" xfId="1584" xr:uid="{00000000-0005-0000-0000-000020060000}"/>
    <cellStyle name="메모 180" xfId="1585" xr:uid="{00000000-0005-0000-0000-000021060000}"/>
    <cellStyle name="메모 180 2" xfId="1586" xr:uid="{00000000-0005-0000-0000-000022060000}"/>
    <cellStyle name="메모 180 3" xfId="1587" xr:uid="{00000000-0005-0000-0000-000023060000}"/>
    <cellStyle name="메모 181" xfId="1588" xr:uid="{00000000-0005-0000-0000-000024060000}"/>
    <cellStyle name="메모 181 2" xfId="1589" xr:uid="{00000000-0005-0000-0000-000025060000}"/>
    <cellStyle name="메모 181 3" xfId="1590" xr:uid="{00000000-0005-0000-0000-000026060000}"/>
    <cellStyle name="메모 19" xfId="1591" xr:uid="{00000000-0005-0000-0000-000027060000}"/>
    <cellStyle name="메모 19 2" xfId="1592" xr:uid="{00000000-0005-0000-0000-000028060000}"/>
    <cellStyle name="메모 19 3" xfId="1593" xr:uid="{00000000-0005-0000-0000-000029060000}"/>
    <cellStyle name="메모 2" xfId="1594" xr:uid="{00000000-0005-0000-0000-00002A060000}"/>
    <cellStyle name="메모 2 2" xfId="1595" xr:uid="{00000000-0005-0000-0000-00002B060000}"/>
    <cellStyle name="메모 2 2 2" xfId="1596" xr:uid="{00000000-0005-0000-0000-00002C060000}"/>
    <cellStyle name="메모 2 2 3" xfId="4616" xr:uid="{00000000-0005-0000-0000-00002B060000}"/>
    <cellStyle name="메모 2 3" xfId="1597" xr:uid="{00000000-0005-0000-0000-00002D060000}"/>
    <cellStyle name="메모 2 3 2" xfId="1598" xr:uid="{00000000-0005-0000-0000-00002E060000}"/>
    <cellStyle name="메모 2 3 2 2" xfId="1599" xr:uid="{00000000-0005-0000-0000-00002F060000}"/>
    <cellStyle name="메모 2 3 2 3" xfId="1600" xr:uid="{00000000-0005-0000-0000-000030060000}"/>
    <cellStyle name="메모 2 3 3" xfId="1601" xr:uid="{00000000-0005-0000-0000-000031060000}"/>
    <cellStyle name="메모 2 3 4" xfId="1602" xr:uid="{00000000-0005-0000-0000-000032060000}"/>
    <cellStyle name="메모 2 3 5" xfId="1603" xr:uid="{00000000-0005-0000-0000-000033060000}"/>
    <cellStyle name="메모 2 3 6" xfId="4617" xr:uid="{00000000-0005-0000-0000-00002D060000}"/>
    <cellStyle name="메모 2 4" xfId="1604" xr:uid="{00000000-0005-0000-0000-000034060000}"/>
    <cellStyle name="메모 2 4 2" xfId="4618" xr:uid="{00000000-0005-0000-0000-000034060000}"/>
    <cellStyle name="메모 2 5" xfId="1605" xr:uid="{00000000-0005-0000-0000-000035060000}"/>
    <cellStyle name="메모 2 5 2" xfId="4619" xr:uid="{00000000-0005-0000-0000-000035060000}"/>
    <cellStyle name="메모 2 6" xfId="1606" xr:uid="{00000000-0005-0000-0000-000036060000}"/>
    <cellStyle name="메모 2 7" xfId="4615" xr:uid="{00000000-0005-0000-0000-00002A060000}"/>
    <cellStyle name="메모 20" xfId="1607" xr:uid="{00000000-0005-0000-0000-000037060000}"/>
    <cellStyle name="메모 20 2" xfId="1608" xr:uid="{00000000-0005-0000-0000-000038060000}"/>
    <cellStyle name="메모 20 3" xfId="1609" xr:uid="{00000000-0005-0000-0000-000039060000}"/>
    <cellStyle name="메모 21" xfId="1610" xr:uid="{00000000-0005-0000-0000-00003A060000}"/>
    <cellStyle name="메모 21 2" xfId="1611" xr:uid="{00000000-0005-0000-0000-00003B060000}"/>
    <cellStyle name="메모 21 3" xfId="1612" xr:uid="{00000000-0005-0000-0000-00003C060000}"/>
    <cellStyle name="메모 22" xfId="1613" xr:uid="{00000000-0005-0000-0000-00003D060000}"/>
    <cellStyle name="메모 22 2" xfId="1614" xr:uid="{00000000-0005-0000-0000-00003E060000}"/>
    <cellStyle name="메모 22 3" xfId="1615" xr:uid="{00000000-0005-0000-0000-00003F060000}"/>
    <cellStyle name="메모 23" xfId="1616" xr:uid="{00000000-0005-0000-0000-000040060000}"/>
    <cellStyle name="메모 23 2" xfId="1617" xr:uid="{00000000-0005-0000-0000-000041060000}"/>
    <cellStyle name="메모 23 3" xfId="1618" xr:uid="{00000000-0005-0000-0000-000042060000}"/>
    <cellStyle name="메모 24" xfId="1619" xr:uid="{00000000-0005-0000-0000-000043060000}"/>
    <cellStyle name="메모 24 2" xfId="1620" xr:uid="{00000000-0005-0000-0000-000044060000}"/>
    <cellStyle name="메모 24 3" xfId="1621" xr:uid="{00000000-0005-0000-0000-000045060000}"/>
    <cellStyle name="메모 25" xfId="1622" xr:uid="{00000000-0005-0000-0000-000046060000}"/>
    <cellStyle name="메모 25 2" xfId="1623" xr:uid="{00000000-0005-0000-0000-000047060000}"/>
    <cellStyle name="메모 25 3" xfId="1624" xr:uid="{00000000-0005-0000-0000-000048060000}"/>
    <cellStyle name="메모 26" xfId="1625" xr:uid="{00000000-0005-0000-0000-000049060000}"/>
    <cellStyle name="메모 26 2" xfId="1626" xr:uid="{00000000-0005-0000-0000-00004A060000}"/>
    <cellStyle name="메모 26 3" xfId="1627" xr:uid="{00000000-0005-0000-0000-00004B060000}"/>
    <cellStyle name="메모 27" xfId="1628" xr:uid="{00000000-0005-0000-0000-00004C060000}"/>
    <cellStyle name="메모 27 2" xfId="1629" xr:uid="{00000000-0005-0000-0000-00004D060000}"/>
    <cellStyle name="메모 27 3" xfId="1630" xr:uid="{00000000-0005-0000-0000-00004E060000}"/>
    <cellStyle name="메모 28" xfId="1631" xr:uid="{00000000-0005-0000-0000-00004F060000}"/>
    <cellStyle name="메모 28 2" xfId="1632" xr:uid="{00000000-0005-0000-0000-000050060000}"/>
    <cellStyle name="메모 28 3" xfId="1633" xr:uid="{00000000-0005-0000-0000-000051060000}"/>
    <cellStyle name="메모 29" xfId="1634" xr:uid="{00000000-0005-0000-0000-000052060000}"/>
    <cellStyle name="메모 29 2" xfId="1635" xr:uid="{00000000-0005-0000-0000-000053060000}"/>
    <cellStyle name="메모 29 3" xfId="1636" xr:uid="{00000000-0005-0000-0000-000054060000}"/>
    <cellStyle name="메모 3" xfId="1637" xr:uid="{00000000-0005-0000-0000-000055060000}"/>
    <cellStyle name="메모 3 2" xfId="1638" xr:uid="{00000000-0005-0000-0000-000056060000}"/>
    <cellStyle name="메모 3 2 2" xfId="4621" xr:uid="{00000000-0005-0000-0000-000056060000}"/>
    <cellStyle name="메모 3 3" xfId="1639" xr:uid="{00000000-0005-0000-0000-000057060000}"/>
    <cellStyle name="메모 3 3 2" xfId="4622" xr:uid="{00000000-0005-0000-0000-000057060000}"/>
    <cellStyle name="메모 3 4" xfId="1640" xr:uid="{00000000-0005-0000-0000-000058060000}"/>
    <cellStyle name="메모 3 4 2" xfId="4623" xr:uid="{00000000-0005-0000-0000-000058060000}"/>
    <cellStyle name="메모 3 5" xfId="1641" xr:uid="{00000000-0005-0000-0000-000059060000}"/>
    <cellStyle name="메모 3 5 2" xfId="4624" xr:uid="{00000000-0005-0000-0000-000059060000}"/>
    <cellStyle name="메모 3 6" xfId="1642" xr:uid="{00000000-0005-0000-0000-00005A060000}"/>
    <cellStyle name="메모 3 7" xfId="4620" xr:uid="{00000000-0005-0000-0000-000055060000}"/>
    <cellStyle name="메모 30" xfId="1643" xr:uid="{00000000-0005-0000-0000-00005B060000}"/>
    <cellStyle name="메모 30 2" xfId="1644" xr:uid="{00000000-0005-0000-0000-00005C060000}"/>
    <cellStyle name="메모 30 3" xfId="1645" xr:uid="{00000000-0005-0000-0000-00005D060000}"/>
    <cellStyle name="메모 31" xfId="1646" xr:uid="{00000000-0005-0000-0000-00005E060000}"/>
    <cellStyle name="메모 31 2" xfId="1647" xr:uid="{00000000-0005-0000-0000-00005F060000}"/>
    <cellStyle name="메모 31 3" xfId="1648" xr:uid="{00000000-0005-0000-0000-000060060000}"/>
    <cellStyle name="메모 32" xfId="1649" xr:uid="{00000000-0005-0000-0000-000061060000}"/>
    <cellStyle name="메모 32 2" xfId="1650" xr:uid="{00000000-0005-0000-0000-000062060000}"/>
    <cellStyle name="메모 32 3" xfId="1651" xr:uid="{00000000-0005-0000-0000-000063060000}"/>
    <cellStyle name="메모 33" xfId="1652" xr:uid="{00000000-0005-0000-0000-000064060000}"/>
    <cellStyle name="메모 33 2" xfId="1653" xr:uid="{00000000-0005-0000-0000-000065060000}"/>
    <cellStyle name="메모 33 3" xfId="1654" xr:uid="{00000000-0005-0000-0000-000066060000}"/>
    <cellStyle name="메모 34" xfId="1655" xr:uid="{00000000-0005-0000-0000-000067060000}"/>
    <cellStyle name="메모 34 2" xfId="1656" xr:uid="{00000000-0005-0000-0000-000068060000}"/>
    <cellStyle name="메모 34 3" xfId="1657" xr:uid="{00000000-0005-0000-0000-000069060000}"/>
    <cellStyle name="메모 35" xfId="1658" xr:uid="{00000000-0005-0000-0000-00006A060000}"/>
    <cellStyle name="메모 35 2" xfId="1659" xr:uid="{00000000-0005-0000-0000-00006B060000}"/>
    <cellStyle name="메모 35 3" xfId="1660" xr:uid="{00000000-0005-0000-0000-00006C060000}"/>
    <cellStyle name="메모 36" xfId="1661" xr:uid="{00000000-0005-0000-0000-00006D060000}"/>
    <cellStyle name="메모 36 2" xfId="1662" xr:uid="{00000000-0005-0000-0000-00006E060000}"/>
    <cellStyle name="메모 36 3" xfId="1663" xr:uid="{00000000-0005-0000-0000-00006F060000}"/>
    <cellStyle name="메모 37" xfId="1664" xr:uid="{00000000-0005-0000-0000-000070060000}"/>
    <cellStyle name="메모 37 2" xfId="1665" xr:uid="{00000000-0005-0000-0000-000071060000}"/>
    <cellStyle name="메모 37 3" xfId="1666" xr:uid="{00000000-0005-0000-0000-000072060000}"/>
    <cellStyle name="메모 38" xfId="1667" xr:uid="{00000000-0005-0000-0000-000073060000}"/>
    <cellStyle name="메모 38 2" xfId="1668" xr:uid="{00000000-0005-0000-0000-000074060000}"/>
    <cellStyle name="메모 38 3" xfId="1669" xr:uid="{00000000-0005-0000-0000-000075060000}"/>
    <cellStyle name="메모 39" xfId="1670" xr:uid="{00000000-0005-0000-0000-000076060000}"/>
    <cellStyle name="메모 39 2" xfId="1671" xr:uid="{00000000-0005-0000-0000-000077060000}"/>
    <cellStyle name="메모 39 3" xfId="1672" xr:uid="{00000000-0005-0000-0000-000078060000}"/>
    <cellStyle name="메모 4" xfId="1673" xr:uid="{00000000-0005-0000-0000-000079060000}"/>
    <cellStyle name="메모 4 2" xfId="1674" xr:uid="{00000000-0005-0000-0000-00007A060000}"/>
    <cellStyle name="메모 4 2 2" xfId="1675" xr:uid="{00000000-0005-0000-0000-00007B060000}"/>
    <cellStyle name="메모 4 2 3" xfId="4626" xr:uid="{00000000-0005-0000-0000-00007A060000}"/>
    <cellStyle name="메모 4 3" xfId="1676" xr:uid="{00000000-0005-0000-0000-00007C060000}"/>
    <cellStyle name="메모 4 3 2" xfId="1677" xr:uid="{00000000-0005-0000-0000-00007D060000}"/>
    <cellStyle name="메모 4 3 3" xfId="4627" xr:uid="{00000000-0005-0000-0000-00007C060000}"/>
    <cellStyle name="메모 4 4" xfId="1678" xr:uid="{00000000-0005-0000-0000-00007E060000}"/>
    <cellStyle name="메모 4 4 2" xfId="4628" xr:uid="{00000000-0005-0000-0000-00007E060000}"/>
    <cellStyle name="메모 4 5" xfId="1679" xr:uid="{00000000-0005-0000-0000-00007F060000}"/>
    <cellStyle name="메모 4 5 2" xfId="4629" xr:uid="{00000000-0005-0000-0000-00007F060000}"/>
    <cellStyle name="메모 4 6" xfId="1680" xr:uid="{00000000-0005-0000-0000-000080060000}"/>
    <cellStyle name="메모 4 7" xfId="4625" xr:uid="{00000000-0005-0000-0000-000079060000}"/>
    <cellStyle name="메모 40" xfId="1681" xr:uid="{00000000-0005-0000-0000-000081060000}"/>
    <cellStyle name="메모 40 2" xfId="1682" xr:uid="{00000000-0005-0000-0000-000082060000}"/>
    <cellStyle name="메모 40 3" xfId="1683" xr:uid="{00000000-0005-0000-0000-000083060000}"/>
    <cellStyle name="메모 41" xfId="1684" xr:uid="{00000000-0005-0000-0000-000084060000}"/>
    <cellStyle name="메모 41 2" xfId="1685" xr:uid="{00000000-0005-0000-0000-000085060000}"/>
    <cellStyle name="메모 41 3" xfId="1686" xr:uid="{00000000-0005-0000-0000-000086060000}"/>
    <cellStyle name="메모 42" xfId="1687" xr:uid="{00000000-0005-0000-0000-000087060000}"/>
    <cellStyle name="메모 42 2" xfId="1688" xr:uid="{00000000-0005-0000-0000-000088060000}"/>
    <cellStyle name="메모 42 3" xfId="1689" xr:uid="{00000000-0005-0000-0000-000089060000}"/>
    <cellStyle name="메모 43" xfId="1690" xr:uid="{00000000-0005-0000-0000-00008A060000}"/>
    <cellStyle name="메모 43 2" xfId="1691" xr:uid="{00000000-0005-0000-0000-00008B060000}"/>
    <cellStyle name="메모 43 3" xfId="1692" xr:uid="{00000000-0005-0000-0000-00008C060000}"/>
    <cellStyle name="메모 44" xfId="1693" xr:uid="{00000000-0005-0000-0000-00008D060000}"/>
    <cellStyle name="메모 44 2" xfId="1694" xr:uid="{00000000-0005-0000-0000-00008E060000}"/>
    <cellStyle name="메모 44 3" xfId="1695" xr:uid="{00000000-0005-0000-0000-00008F060000}"/>
    <cellStyle name="메모 45" xfId="1696" xr:uid="{00000000-0005-0000-0000-000090060000}"/>
    <cellStyle name="메모 45 2" xfId="1697" xr:uid="{00000000-0005-0000-0000-000091060000}"/>
    <cellStyle name="메모 45 3" xfId="1698" xr:uid="{00000000-0005-0000-0000-000092060000}"/>
    <cellStyle name="메모 46" xfId="1699" xr:uid="{00000000-0005-0000-0000-000093060000}"/>
    <cellStyle name="메모 46 2" xfId="1700" xr:uid="{00000000-0005-0000-0000-000094060000}"/>
    <cellStyle name="메모 46 3" xfId="1701" xr:uid="{00000000-0005-0000-0000-000095060000}"/>
    <cellStyle name="메모 47" xfId="1702" xr:uid="{00000000-0005-0000-0000-000096060000}"/>
    <cellStyle name="메모 47 2" xfId="1703" xr:uid="{00000000-0005-0000-0000-000097060000}"/>
    <cellStyle name="메모 47 3" xfId="1704" xr:uid="{00000000-0005-0000-0000-000098060000}"/>
    <cellStyle name="메모 48" xfId="1705" xr:uid="{00000000-0005-0000-0000-000099060000}"/>
    <cellStyle name="메모 48 2" xfId="1706" xr:uid="{00000000-0005-0000-0000-00009A060000}"/>
    <cellStyle name="메모 48 3" xfId="1707" xr:uid="{00000000-0005-0000-0000-00009B060000}"/>
    <cellStyle name="메모 49" xfId="1708" xr:uid="{00000000-0005-0000-0000-00009C060000}"/>
    <cellStyle name="메모 49 2" xfId="1709" xr:uid="{00000000-0005-0000-0000-00009D060000}"/>
    <cellStyle name="메모 49 3" xfId="1710" xr:uid="{00000000-0005-0000-0000-00009E060000}"/>
    <cellStyle name="메모 5" xfId="1711" xr:uid="{00000000-0005-0000-0000-00009F060000}"/>
    <cellStyle name="메모 5 2" xfId="1712" xr:uid="{00000000-0005-0000-0000-0000A0060000}"/>
    <cellStyle name="메모 5 3" xfId="1713" xr:uid="{00000000-0005-0000-0000-0000A1060000}"/>
    <cellStyle name="메모 50" xfId="1714" xr:uid="{00000000-0005-0000-0000-0000A2060000}"/>
    <cellStyle name="메모 50 2" xfId="1715" xr:uid="{00000000-0005-0000-0000-0000A3060000}"/>
    <cellStyle name="메모 50 3" xfId="1716" xr:uid="{00000000-0005-0000-0000-0000A4060000}"/>
    <cellStyle name="메모 51" xfId="1717" xr:uid="{00000000-0005-0000-0000-0000A5060000}"/>
    <cellStyle name="메모 51 2" xfId="1718" xr:uid="{00000000-0005-0000-0000-0000A6060000}"/>
    <cellStyle name="메모 51 3" xfId="1719" xr:uid="{00000000-0005-0000-0000-0000A7060000}"/>
    <cellStyle name="메모 52" xfId="1720" xr:uid="{00000000-0005-0000-0000-0000A8060000}"/>
    <cellStyle name="메모 52 2" xfId="1721" xr:uid="{00000000-0005-0000-0000-0000A9060000}"/>
    <cellStyle name="메모 52 3" xfId="1722" xr:uid="{00000000-0005-0000-0000-0000AA060000}"/>
    <cellStyle name="메모 53" xfId="1723" xr:uid="{00000000-0005-0000-0000-0000AB060000}"/>
    <cellStyle name="메모 53 2" xfId="1724" xr:uid="{00000000-0005-0000-0000-0000AC060000}"/>
    <cellStyle name="메모 53 3" xfId="1725" xr:uid="{00000000-0005-0000-0000-0000AD060000}"/>
    <cellStyle name="메모 54" xfId="1726" xr:uid="{00000000-0005-0000-0000-0000AE060000}"/>
    <cellStyle name="메모 54 2" xfId="1727" xr:uid="{00000000-0005-0000-0000-0000AF060000}"/>
    <cellStyle name="메모 54 3" xfId="1728" xr:uid="{00000000-0005-0000-0000-0000B0060000}"/>
    <cellStyle name="메모 55" xfId="1729" xr:uid="{00000000-0005-0000-0000-0000B1060000}"/>
    <cellStyle name="메모 55 2" xfId="1730" xr:uid="{00000000-0005-0000-0000-0000B2060000}"/>
    <cellStyle name="메모 55 3" xfId="1731" xr:uid="{00000000-0005-0000-0000-0000B3060000}"/>
    <cellStyle name="메모 56" xfId="1732" xr:uid="{00000000-0005-0000-0000-0000B4060000}"/>
    <cellStyle name="메모 56 2" xfId="1733" xr:uid="{00000000-0005-0000-0000-0000B5060000}"/>
    <cellStyle name="메모 56 3" xfId="1734" xr:uid="{00000000-0005-0000-0000-0000B6060000}"/>
    <cellStyle name="메모 57" xfId="1735" xr:uid="{00000000-0005-0000-0000-0000B7060000}"/>
    <cellStyle name="메모 57 2" xfId="1736" xr:uid="{00000000-0005-0000-0000-0000B8060000}"/>
    <cellStyle name="메모 57 3" xfId="1737" xr:uid="{00000000-0005-0000-0000-0000B9060000}"/>
    <cellStyle name="메모 58" xfId="1738" xr:uid="{00000000-0005-0000-0000-0000BA060000}"/>
    <cellStyle name="메모 58 2" xfId="1739" xr:uid="{00000000-0005-0000-0000-0000BB060000}"/>
    <cellStyle name="메모 58 3" xfId="1740" xr:uid="{00000000-0005-0000-0000-0000BC060000}"/>
    <cellStyle name="메모 59" xfId="1741" xr:uid="{00000000-0005-0000-0000-0000BD060000}"/>
    <cellStyle name="메모 59 2" xfId="1742" xr:uid="{00000000-0005-0000-0000-0000BE060000}"/>
    <cellStyle name="메모 59 3" xfId="1743" xr:uid="{00000000-0005-0000-0000-0000BF060000}"/>
    <cellStyle name="메모 6" xfId="1744" xr:uid="{00000000-0005-0000-0000-0000C0060000}"/>
    <cellStyle name="메모 6 2" xfId="1745" xr:uid="{00000000-0005-0000-0000-0000C1060000}"/>
    <cellStyle name="메모 6 3" xfId="1746" xr:uid="{00000000-0005-0000-0000-0000C2060000}"/>
    <cellStyle name="메모 60" xfId="1747" xr:uid="{00000000-0005-0000-0000-0000C3060000}"/>
    <cellStyle name="메모 60 2" xfId="1748" xr:uid="{00000000-0005-0000-0000-0000C4060000}"/>
    <cellStyle name="메모 60 3" xfId="1749" xr:uid="{00000000-0005-0000-0000-0000C5060000}"/>
    <cellStyle name="메모 61" xfId="1750" xr:uid="{00000000-0005-0000-0000-0000C6060000}"/>
    <cellStyle name="메모 61 2" xfId="1751" xr:uid="{00000000-0005-0000-0000-0000C7060000}"/>
    <cellStyle name="메모 61 3" xfId="1752" xr:uid="{00000000-0005-0000-0000-0000C8060000}"/>
    <cellStyle name="메모 62" xfId="1753" xr:uid="{00000000-0005-0000-0000-0000C9060000}"/>
    <cellStyle name="메모 62 2" xfId="1754" xr:uid="{00000000-0005-0000-0000-0000CA060000}"/>
    <cellStyle name="메모 62 3" xfId="1755" xr:uid="{00000000-0005-0000-0000-0000CB060000}"/>
    <cellStyle name="메모 63" xfId="1756" xr:uid="{00000000-0005-0000-0000-0000CC060000}"/>
    <cellStyle name="메모 63 2" xfId="1757" xr:uid="{00000000-0005-0000-0000-0000CD060000}"/>
    <cellStyle name="메모 63 3" xfId="1758" xr:uid="{00000000-0005-0000-0000-0000CE060000}"/>
    <cellStyle name="메모 64" xfId="1759" xr:uid="{00000000-0005-0000-0000-0000CF060000}"/>
    <cellStyle name="메모 64 2" xfId="1760" xr:uid="{00000000-0005-0000-0000-0000D0060000}"/>
    <cellStyle name="메모 64 3" xfId="1761" xr:uid="{00000000-0005-0000-0000-0000D1060000}"/>
    <cellStyle name="메모 65" xfId="1762" xr:uid="{00000000-0005-0000-0000-0000D2060000}"/>
    <cellStyle name="메모 65 2" xfId="1763" xr:uid="{00000000-0005-0000-0000-0000D3060000}"/>
    <cellStyle name="메모 65 3" xfId="1764" xr:uid="{00000000-0005-0000-0000-0000D4060000}"/>
    <cellStyle name="메모 66" xfId="1765" xr:uid="{00000000-0005-0000-0000-0000D5060000}"/>
    <cellStyle name="메모 66 2" xfId="1766" xr:uid="{00000000-0005-0000-0000-0000D6060000}"/>
    <cellStyle name="메모 66 3" xfId="1767" xr:uid="{00000000-0005-0000-0000-0000D7060000}"/>
    <cellStyle name="메모 67" xfId="1768" xr:uid="{00000000-0005-0000-0000-0000D8060000}"/>
    <cellStyle name="메모 67 2" xfId="1769" xr:uid="{00000000-0005-0000-0000-0000D9060000}"/>
    <cellStyle name="메모 67 3" xfId="1770" xr:uid="{00000000-0005-0000-0000-0000DA060000}"/>
    <cellStyle name="메모 68" xfId="1771" xr:uid="{00000000-0005-0000-0000-0000DB060000}"/>
    <cellStyle name="메모 68 2" xfId="1772" xr:uid="{00000000-0005-0000-0000-0000DC060000}"/>
    <cellStyle name="메모 68 3" xfId="1773" xr:uid="{00000000-0005-0000-0000-0000DD060000}"/>
    <cellStyle name="메모 69" xfId="1774" xr:uid="{00000000-0005-0000-0000-0000DE060000}"/>
    <cellStyle name="메모 69 2" xfId="1775" xr:uid="{00000000-0005-0000-0000-0000DF060000}"/>
    <cellStyle name="메모 69 3" xfId="1776" xr:uid="{00000000-0005-0000-0000-0000E0060000}"/>
    <cellStyle name="메모 7" xfId="1777" xr:uid="{00000000-0005-0000-0000-0000E1060000}"/>
    <cellStyle name="메모 7 2" xfId="1778" xr:uid="{00000000-0005-0000-0000-0000E2060000}"/>
    <cellStyle name="메모 7 3" xfId="1779" xr:uid="{00000000-0005-0000-0000-0000E3060000}"/>
    <cellStyle name="메모 70" xfId="1780" xr:uid="{00000000-0005-0000-0000-0000E4060000}"/>
    <cellStyle name="메모 70 2" xfId="1781" xr:uid="{00000000-0005-0000-0000-0000E5060000}"/>
    <cellStyle name="메모 70 3" xfId="1782" xr:uid="{00000000-0005-0000-0000-0000E6060000}"/>
    <cellStyle name="메모 71" xfId="1783" xr:uid="{00000000-0005-0000-0000-0000E7060000}"/>
    <cellStyle name="메모 71 2" xfId="1784" xr:uid="{00000000-0005-0000-0000-0000E8060000}"/>
    <cellStyle name="메모 71 3" xfId="1785" xr:uid="{00000000-0005-0000-0000-0000E9060000}"/>
    <cellStyle name="메모 72" xfId="1786" xr:uid="{00000000-0005-0000-0000-0000EA060000}"/>
    <cellStyle name="메모 72 2" xfId="1787" xr:uid="{00000000-0005-0000-0000-0000EB060000}"/>
    <cellStyle name="메모 72 3" xfId="1788" xr:uid="{00000000-0005-0000-0000-0000EC060000}"/>
    <cellStyle name="메모 73" xfId="1789" xr:uid="{00000000-0005-0000-0000-0000ED060000}"/>
    <cellStyle name="메모 73 2" xfId="1790" xr:uid="{00000000-0005-0000-0000-0000EE060000}"/>
    <cellStyle name="메모 73 3" xfId="1791" xr:uid="{00000000-0005-0000-0000-0000EF060000}"/>
    <cellStyle name="메모 74" xfId="1792" xr:uid="{00000000-0005-0000-0000-0000F0060000}"/>
    <cellStyle name="메모 74 2" xfId="1793" xr:uid="{00000000-0005-0000-0000-0000F1060000}"/>
    <cellStyle name="메모 74 3" xfId="1794" xr:uid="{00000000-0005-0000-0000-0000F2060000}"/>
    <cellStyle name="메모 75" xfId="1795" xr:uid="{00000000-0005-0000-0000-0000F3060000}"/>
    <cellStyle name="메모 75 2" xfId="1796" xr:uid="{00000000-0005-0000-0000-0000F4060000}"/>
    <cellStyle name="메모 75 3" xfId="1797" xr:uid="{00000000-0005-0000-0000-0000F5060000}"/>
    <cellStyle name="메모 76" xfId="1798" xr:uid="{00000000-0005-0000-0000-0000F6060000}"/>
    <cellStyle name="메모 76 2" xfId="1799" xr:uid="{00000000-0005-0000-0000-0000F7060000}"/>
    <cellStyle name="메모 76 3" xfId="1800" xr:uid="{00000000-0005-0000-0000-0000F8060000}"/>
    <cellStyle name="메모 77" xfId="1801" xr:uid="{00000000-0005-0000-0000-0000F9060000}"/>
    <cellStyle name="메모 77 2" xfId="1802" xr:uid="{00000000-0005-0000-0000-0000FA060000}"/>
    <cellStyle name="메모 77 3" xfId="1803" xr:uid="{00000000-0005-0000-0000-0000FB060000}"/>
    <cellStyle name="메모 78" xfId="1804" xr:uid="{00000000-0005-0000-0000-0000FC060000}"/>
    <cellStyle name="메모 78 2" xfId="1805" xr:uid="{00000000-0005-0000-0000-0000FD060000}"/>
    <cellStyle name="메모 78 3" xfId="1806" xr:uid="{00000000-0005-0000-0000-0000FE060000}"/>
    <cellStyle name="메모 79" xfId="1807" xr:uid="{00000000-0005-0000-0000-0000FF060000}"/>
    <cellStyle name="메모 79 2" xfId="1808" xr:uid="{00000000-0005-0000-0000-000000070000}"/>
    <cellStyle name="메모 79 3" xfId="1809" xr:uid="{00000000-0005-0000-0000-000001070000}"/>
    <cellStyle name="메모 8" xfId="1810" xr:uid="{00000000-0005-0000-0000-000002070000}"/>
    <cellStyle name="메모 8 2" xfId="1811" xr:uid="{00000000-0005-0000-0000-000003070000}"/>
    <cellStyle name="메모 8 3" xfId="1812" xr:uid="{00000000-0005-0000-0000-000004070000}"/>
    <cellStyle name="메모 80" xfId="1813" xr:uid="{00000000-0005-0000-0000-000005070000}"/>
    <cellStyle name="메모 80 2" xfId="1814" xr:uid="{00000000-0005-0000-0000-000006070000}"/>
    <cellStyle name="메모 80 3" xfId="1815" xr:uid="{00000000-0005-0000-0000-000007070000}"/>
    <cellStyle name="메모 81" xfId="1816" xr:uid="{00000000-0005-0000-0000-000008070000}"/>
    <cellStyle name="메모 81 2" xfId="1817" xr:uid="{00000000-0005-0000-0000-000009070000}"/>
    <cellStyle name="메모 81 3" xfId="1818" xr:uid="{00000000-0005-0000-0000-00000A070000}"/>
    <cellStyle name="메모 82" xfId="1819" xr:uid="{00000000-0005-0000-0000-00000B070000}"/>
    <cellStyle name="메모 82 2" xfId="1820" xr:uid="{00000000-0005-0000-0000-00000C070000}"/>
    <cellStyle name="메모 82 3" xfId="1821" xr:uid="{00000000-0005-0000-0000-00000D070000}"/>
    <cellStyle name="메모 83" xfId="1822" xr:uid="{00000000-0005-0000-0000-00000E070000}"/>
    <cellStyle name="메모 83 2" xfId="1823" xr:uid="{00000000-0005-0000-0000-00000F070000}"/>
    <cellStyle name="메모 83 3" xfId="1824" xr:uid="{00000000-0005-0000-0000-000010070000}"/>
    <cellStyle name="메모 84" xfId="1825" xr:uid="{00000000-0005-0000-0000-000011070000}"/>
    <cellStyle name="메모 84 2" xfId="1826" xr:uid="{00000000-0005-0000-0000-000012070000}"/>
    <cellStyle name="메모 84 3" xfId="1827" xr:uid="{00000000-0005-0000-0000-000013070000}"/>
    <cellStyle name="메모 85" xfId="1828" xr:uid="{00000000-0005-0000-0000-000014070000}"/>
    <cellStyle name="메모 85 2" xfId="1829" xr:uid="{00000000-0005-0000-0000-000015070000}"/>
    <cellStyle name="메모 85 3" xfId="1830" xr:uid="{00000000-0005-0000-0000-000016070000}"/>
    <cellStyle name="메모 86" xfId="1831" xr:uid="{00000000-0005-0000-0000-000017070000}"/>
    <cellStyle name="메모 86 2" xfId="1832" xr:uid="{00000000-0005-0000-0000-000018070000}"/>
    <cellStyle name="메모 86 3" xfId="1833" xr:uid="{00000000-0005-0000-0000-000019070000}"/>
    <cellStyle name="메모 87" xfId="1834" xr:uid="{00000000-0005-0000-0000-00001A070000}"/>
    <cellStyle name="메모 87 2" xfId="1835" xr:uid="{00000000-0005-0000-0000-00001B070000}"/>
    <cellStyle name="메모 87 3" xfId="1836" xr:uid="{00000000-0005-0000-0000-00001C070000}"/>
    <cellStyle name="메모 88" xfId="1837" xr:uid="{00000000-0005-0000-0000-00001D070000}"/>
    <cellStyle name="메모 88 2" xfId="1838" xr:uid="{00000000-0005-0000-0000-00001E070000}"/>
    <cellStyle name="메모 88 3" xfId="1839" xr:uid="{00000000-0005-0000-0000-00001F070000}"/>
    <cellStyle name="메모 89" xfId="1840" xr:uid="{00000000-0005-0000-0000-000020070000}"/>
    <cellStyle name="메모 89 2" xfId="1841" xr:uid="{00000000-0005-0000-0000-000021070000}"/>
    <cellStyle name="메모 89 3" xfId="1842" xr:uid="{00000000-0005-0000-0000-000022070000}"/>
    <cellStyle name="메모 9" xfId="1843" xr:uid="{00000000-0005-0000-0000-000023070000}"/>
    <cellStyle name="메모 9 2" xfId="1844" xr:uid="{00000000-0005-0000-0000-000024070000}"/>
    <cellStyle name="메모 9 3" xfId="1845" xr:uid="{00000000-0005-0000-0000-000025070000}"/>
    <cellStyle name="메모 90" xfId="1846" xr:uid="{00000000-0005-0000-0000-000026070000}"/>
    <cellStyle name="메모 90 2" xfId="1847" xr:uid="{00000000-0005-0000-0000-000027070000}"/>
    <cellStyle name="메모 90 3" xfId="1848" xr:uid="{00000000-0005-0000-0000-000028070000}"/>
    <cellStyle name="메모 91" xfId="1849" xr:uid="{00000000-0005-0000-0000-000029070000}"/>
    <cellStyle name="메모 91 2" xfId="1850" xr:uid="{00000000-0005-0000-0000-00002A070000}"/>
    <cellStyle name="메모 91 3" xfId="1851" xr:uid="{00000000-0005-0000-0000-00002B070000}"/>
    <cellStyle name="메모 92" xfId="1852" xr:uid="{00000000-0005-0000-0000-00002C070000}"/>
    <cellStyle name="메모 92 2" xfId="1853" xr:uid="{00000000-0005-0000-0000-00002D070000}"/>
    <cellStyle name="메모 92 3" xfId="1854" xr:uid="{00000000-0005-0000-0000-00002E070000}"/>
    <cellStyle name="메모 93" xfId="1855" xr:uid="{00000000-0005-0000-0000-00002F070000}"/>
    <cellStyle name="메모 93 2" xfId="1856" xr:uid="{00000000-0005-0000-0000-000030070000}"/>
    <cellStyle name="메모 93 3" xfId="1857" xr:uid="{00000000-0005-0000-0000-000031070000}"/>
    <cellStyle name="메모 94" xfId="1858" xr:uid="{00000000-0005-0000-0000-000032070000}"/>
    <cellStyle name="메모 94 2" xfId="1859" xr:uid="{00000000-0005-0000-0000-000033070000}"/>
    <cellStyle name="메모 94 3" xfId="1860" xr:uid="{00000000-0005-0000-0000-000034070000}"/>
    <cellStyle name="메모 95" xfId="1861" xr:uid="{00000000-0005-0000-0000-000035070000}"/>
    <cellStyle name="메모 95 2" xfId="1862" xr:uid="{00000000-0005-0000-0000-000036070000}"/>
    <cellStyle name="메모 95 3" xfId="1863" xr:uid="{00000000-0005-0000-0000-000037070000}"/>
    <cellStyle name="메모 96" xfId="1864" xr:uid="{00000000-0005-0000-0000-000038070000}"/>
    <cellStyle name="메모 96 2" xfId="1865" xr:uid="{00000000-0005-0000-0000-000039070000}"/>
    <cellStyle name="메모 96 3" xfId="1866" xr:uid="{00000000-0005-0000-0000-00003A070000}"/>
    <cellStyle name="메모 97" xfId="1867" xr:uid="{00000000-0005-0000-0000-00003B070000}"/>
    <cellStyle name="메모 97 2" xfId="1868" xr:uid="{00000000-0005-0000-0000-00003C070000}"/>
    <cellStyle name="메모 97 3" xfId="1869" xr:uid="{00000000-0005-0000-0000-00003D070000}"/>
    <cellStyle name="메모 98" xfId="1870" xr:uid="{00000000-0005-0000-0000-00003E070000}"/>
    <cellStyle name="메모 98 2" xfId="1871" xr:uid="{00000000-0005-0000-0000-00003F070000}"/>
    <cellStyle name="메모 98 3" xfId="1872" xr:uid="{00000000-0005-0000-0000-000040070000}"/>
    <cellStyle name="메모 99" xfId="1873" xr:uid="{00000000-0005-0000-0000-000041070000}"/>
    <cellStyle name="메모 99 2" xfId="1874" xr:uid="{00000000-0005-0000-0000-000042070000}"/>
    <cellStyle name="메모 99 3" xfId="1875" xr:uid="{00000000-0005-0000-0000-000043070000}"/>
    <cellStyle name="믅됞 [0.00]_laroux" xfId="1876" xr:uid="{00000000-0005-0000-0000-000044070000}"/>
    <cellStyle name="믅됞_laroux" xfId="1877" xr:uid="{00000000-0005-0000-0000-000045070000}"/>
    <cellStyle name="배분" xfId="1878" xr:uid="{00000000-0005-0000-0000-000046070000}"/>
    <cellStyle name="배분 2" xfId="4630" xr:uid="{00000000-0005-0000-0000-000046070000}"/>
    <cellStyle name="배분 2 2" xfId="5731" xr:uid="{00000000-0005-0000-0000-000046070000}"/>
    <cellStyle name="배분 3" xfId="5191" xr:uid="{00000000-0005-0000-0000-000046070000}"/>
    <cellStyle name="백분율 [△1]" xfId="1879" xr:uid="{00000000-0005-0000-0000-000047070000}"/>
    <cellStyle name="백분율 [△2]" xfId="1880" xr:uid="{00000000-0005-0000-0000-000048070000}"/>
    <cellStyle name="백분율 [0]" xfId="1881" xr:uid="{00000000-0005-0000-0000-000049070000}"/>
    <cellStyle name="백분율 [2]" xfId="1882" xr:uid="{00000000-0005-0000-0000-00004A070000}"/>
    <cellStyle name="백분율 10" xfId="1883" xr:uid="{00000000-0005-0000-0000-00004B070000}"/>
    <cellStyle name="백분율 10 10" xfId="1884" xr:uid="{00000000-0005-0000-0000-00004C070000}"/>
    <cellStyle name="백분율 10 10 2" xfId="1885" xr:uid="{00000000-0005-0000-0000-00004D070000}"/>
    <cellStyle name="백분율 10 10 3" xfId="1886" xr:uid="{00000000-0005-0000-0000-00004E070000}"/>
    <cellStyle name="백분율 10 10 4" xfId="1887" xr:uid="{00000000-0005-0000-0000-00004F070000}"/>
    <cellStyle name="백분율 10 11" xfId="1888" xr:uid="{00000000-0005-0000-0000-000050070000}"/>
    <cellStyle name="백분율 10 12" xfId="1889" xr:uid="{00000000-0005-0000-0000-000051070000}"/>
    <cellStyle name="백분율 10 13" xfId="1890" xr:uid="{00000000-0005-0000-0000-000052070000}"/>
    <cellStyle name="백분율 10 2" xfId="1891" xr:uid="{00000000-0005-0000-0000-000053070000}"/>
    <cellStyle name="백분율 10 2 2" xfId="1892" xr:uid="{00000000-0005-0000-0000-000054070000}"/>
    <cellStyle name="백분율 10 2 3" xfId="1893" xr:uid="{00000000-0005-0000-0000-000055070000}"/>
    <cellStyle name="백분율 10 2 4" xfId="1894" xr:uid="{00000000-0005-0000-0000-000056070000}"/>
    <cellStyle name="백분율 10 3" xfId="1895" xr:uid="{00000000-0005-0000-0000-000057070000}"/>
    <cellStyle name="백분율 10 3 2" xfId="1896" xr:uid="{00000000-0005-0000-0000-000058070000}"/>
    <cellStyle name="백분율 10 3 3" xfId="1897" xr:uid="{00000000-0005-0000-0000-000059070000}"/>
    <cellStyle name="백분율 10 3 4" xfId="1898" xr:uid="{00000000-0005-0000-0000-00005A070000}"/>
    <cellStyle name="백분율 10 4" xfId="1899" xr:uid="{00000000-0005-0000-0000-00005B070000}"/>
    <cellStyle name="백분율 10 4 2" xfId="1900" xr:uid="{00000000-0005-0000-0000-00005C070000}"/>
    <cellStyle name="백분율 10 4 3" xfId="1901" xr:uid="{00000000-0005-0000-0000-00005D070000}"/>
    <cellStyle name="백분율 10 4 4" xfId="1902" xr:uid="{00000000-0005-0000-0000-00005E070000}"/>
    <cellStyle name="백분율 10 5" xfId="1903" xr:uid="{00000000-0005-0000-0000-00005F070000}"/>
    <cellStyle name="백분율 10 5 2" xfId="1904" xr:uid="{00000000-0005-0000-0000-000060070000}"/>
    <cellStyle name="백분율 10 5 3" xfId="1905" xr:uid="{00000000-0005-0000-0000-000061070000}"/>
    <cellStyle name="백분율 10 5 4" xfId="1906" xr:uid="{00000000-0005-0000-0000-000062070000}"/>
    <cellStyle name="백분율 10 6" xfId="1907" xr:uid="{00000000-0005-0000-0000-000063070000}"/>
    <cellStyle name="백분율 10 6 2" xfId="1908" xr:uid="{00000000-0005-0000-0000-000064070000}"/>
    <cellStyle name="백분율 10 6 3" xfId="1909" xr:uid="{00000000-0005-0000-0000-000065070000}"/>
    <cellStyle name="백분율 10 6 4" xfId="1910" xr:uid="{00000000-0005-0000-0000-000066070000}"/>
    <cellStyle name="백분율 10 7" xfId="1911" xr:uid="{00000000-0005-0000-0000-000067070000}"/>
    <cellStyle name="백분율 10 7 2" xfId="1912" xr:uid="{00000000-0005-0000-0000-000068070000}"/>
    <cellStyle name="백분율 10 7 3" xfId="1913" xr:uid="{00000000-0005-0000-0000-000069070000}"/>
    <cellStyle name="백분율 10 7 4" xfId="1914" xr:uid="{00000000-0005-0000-0000-00006A070000}"/>
    <cellStyle name="백분율 10 8" xfId="1915" xr:uid="{00000000-0005-0000-0000-00006B070000}"/>
    <cellStyle name="백분율 10 8 2" xfId="1916" xr:uid="{00000000-0005-0000-0000-00006C070000}"/>
    <cellStyle name="백분율 10 8 3" xfId="1917" xr:uid="{00000000-0005-0000-0000-00006D070000}"/>
    <cellStyle name="백분율 10 8 4" xfId="1918" xr:uid="{00000000-0005-0000-0000-00006E070000}"/>
    <cellStyle name="백분율 10 9" xfId="1919" xr:uid="{00000000-0005-0000-0000-00006F070000}"/>
    <cellStyle name="백분율 10 9 2" xfId="1920" xr:uid="{00000000-0005-0000-0000-000070070000}"/>
    <cellStyle name="백분율 10 9 3" xfId="1921" xr:uid="{00000000-0005-0000-0000-000071070000}"/>
    <cellStyle name="백분율 10 9 4" xfId="1922" xr:uid="{00000000-0005-0000-0000-000072070000}"/>
    <cellStyle name="백분율 11" xfId="1923" xr:uid="{00000000-0005-0000-0000-000073070000}"/>
    <cellStyle name="백분율 11 10" xfId="1924" xr:uid="{00000000-0005-0000-0000-000074070000}"/>
    <cellStyle name="백분율 11 10 2" xfId="1925" xr:uid="{00000000-0005-0000-0000-000075070000}"/>
    <cellStyle name="백분율 11 10 3" xfId="1926" xr:uid="{00000000-0005-0000-0000-000076070000}"/>
    <cellStyle name="백분율 11 10 4" xfId="1927" xr:uid="{00000000-0005-0000-0000-000077070000}"/>
    <cellStyle name="백분율 11 11" xfId="1928" xr:uid="{00000000-0005-0000-0000-000078070000}"/>
    <cellStyle name="백분율 11 12" xfId="1929" xr:uid="{00000000-0005-0000-0000-000079070000}"/>
    <cellStyle name="백분율 11 13" xfId="1930" xr:uid="{00000000-0005-0000-0000-00007A070000}"/>
    <cellStyle name="백분율 11 2" xfId="1931" xr:uid="{00000000-0005-0000-0000-00007B070000}"/>
    <cellStyle name="백분율 11 2 2" xfId="1932" xr:uid="{00000000-0005-0000-0000-00007C070000}"/>
    <cellStyle name="백분율 11 2 3" xfId="1933" xr:uid="{00000000-0005-0000-0000-00007D070000}"/>
    <cellStyle name="백분율 11 2 4" xfId="1934" xr:uid="{00000000-0005-0000-0000-00007E070000}"/>
    <cellStyle name="백분율 11 3" xfId="1935" xr:uid="{00000000-0005-0000-0000-00007F070000}"/>
    <cellStyle name="백분율 11 3 2" xfId="1936" xr:uid="{00000000-0005-0000-0000-000080070000}"/>
    <cellStyle name="백분율 11 3 3" xfId="1937" xr:uid="{00000000-0005-0000-0000-000081070000}"/>
    <cellStyle name="백분율 11 3 4" xfId="1938" xr:uid="{00000000-0005-0000-0000-000082070000}"/>
    <cellStyle name="백분율 11 4" xfId="1939" xr:uid="{00000000-0005-0000-0000-000083070000}"/>
    <cellStyle name="백분율 11 4 2" xfId="1940" xr:uid="{00000000-0005-0000-0000-000084070000}"/>
    <cellStyle name="백분율 11 4 3" xfId="1941" xr:uid="{00000000-0005-0000-0000-000085070000}"/>
    <cellStyle name="백분율 11 4 4" xfId="1942" xr:uid="{00000000-0005-0000-0000-000086070000}"/>
    <cellStyle name="백분율 11 5" xfId="1943" xr:uid="{00000000-0005-0000-0000-000087070000}"/>
    <cellStyle name="백분율 11 5 2" xfId="1944" xr:uid="{00000000-0005-0000-0000-000088070000}"/>
    <cellStyle name="백분율 11 5 3" xfId="1945" xr:uid="{00000000-0005-0000-0000-000089070000}"/>
    <cellStyle name="백분율 11 5 4" xfId="1946" xr:uid="{00000000-0005-0000-0000-00008A070000}"/>
    <cellStyle name="백분율 11 6" xfId="1947" xr:uid="{00000000-0005-0000-0000-00008B070000}"/>
    <cellStyle name="백분율 11 6 2" xfId="1948" xr:uid="{00000000-0005-0000-0000-00008C070000}"/>
    <cellStyle name="백분율 11 6 3" xfId="1949" xr:uid="{00000000-0005-0000-0000-00008D070000}"/>
    <cellStyle name="백분율 11 6 4" xfId="1950" xr:uid="{00000000-0005-0000-0000-00008E070000}"/>
    <cellStyle name="백분율 11 7" xfId="1951" xr:uid="{00000000-0005-0000-0000-00008F070000}"/>
    <cellStyle name="백분율 11 7 2" xfId="1952" xr:uid="{00000000-0005-0000-0000-000090070000}"/>
    <cellStyle name="백분율 11 7 3" xfId="1953" xr:uid="{00000000-0005-0000-0000-000091070000}"/>
    <cellStyle name="백분율 11 7 4" xfId="1954" xr:uid="{00000000-0005-0000-0000-000092070000}"/>
    <cellStyle name="백분율 11 8" xfId="1955" xr:uid="{00000000-0005-0000-0000-000093070000}"/>
    <cellStyle name="백분율 11 8 2" xfId="1956" xr:uid="{00000000-0005-0000-0000-000094070000}"/>
    <cellStyle name="백분율 11 8 3" xfId="1957" xr:uid="{00000000-0005-0000-0000-000095070000}"/>
    <cellStyle name="백분율 11 8 4" xfId="1958" xr:uid="{00000000-0005-0000-0000-000096070000}"/>
    <cellStyle name="백분율 11 9" xfId="1959" xr:uid="{00000000-0005-0000-0000-000097070000}"/>
    <cellStyle name="백분율 11 9 2" xfId="1960" xr:uid="{00000000-0005-0000-0000-000098070000}"/>
    <cellStyle name="백분율 11 9 3" xfId="1961" xr:uid="{00000000-0005-0000-0000-000099070000}"/>
    <cellStyle name="백분율 11 9 4" xfId="1962" xr:uid="{00000000-0005-0000-0000-00009A070000}"/>
    <cellStyle name="백분율 12" xfId="1963" xr:uid="{00000000-0005-0000-0000-00009B070000}"/>
    <cellStyle name="백분율 12 10" xfId="1964" xr:uid="{00000000-0005-0000-0000-00009C070000}"/>
    <cellStyle name="백분율 12 10 2" xfId="1965" xr:uid="{00000000-0005-0000-0000-00009D070000}"/>
    <cellStyle name="백분율 12 10 3" xfId="1966" xr:uid="{00000000-0005-0000-0000-00009E070000}"/>
    <cellStyle name="백분율 12 10 4" xfId="1967" xr:uid="{00000000-0005-0000-0000-00009F070000}"/>
    <cellStyle name="백분율 12 11" xfId="1968" xr:uid="{00000000-0005-0000-0000-0000A0070000}"/>
    <cellStyle name="백분율 12 12" xfId="1969" xr:uid="{00000000-0005-0000-0000-0000A1070000}"/>
    <cellStyle name="백분율 12 13" xfId="1970" xr:uid="{00000000-0005-0000-0000-0000A2070000}"/>
    <cellStyle name="백분율 12 2" xfId="1971" xr:uid="{00000000-0005-0000-0000-0000A3070000}"/>
    <cellStyle name="백분율 12 2 2" xfId="1972" xr:uid="{00000000-0005-0000-0000-0000A4070000}"/>
    <cellStyle name="백분율 12 2 3" xfId="1973" xr:uid="{00000000-0005-0000-0000-0000A5070000}"/>
    <cellStyle name="백분율 12 2 4" xfId="1974" xr:uid="{00000000-0005-0000-0000-0000A6070000}"/>
    <cellStyle name="백분율 12 3" xfId="1975" xr:uid="{00000000-0005-0000-0000-0000A7070000}"/>
    <cellStyle name="백분율 12 3 2" xfId="1976" xr:uid="{00000000-0005-0000-0000-0000A8070000}"/>
    <cellStyle name="백분율 12 3 3" xfId="1977" xr:uid="{00000000-0005-0000-0000-0000A9070000}"/>
    <cellStyle name="백분율 12 3 4" xfId="1978" xr:uid="{00000000-0005-0000-0000-0000AA070000}"/>
    <cellStyle name="백분율 12 4" xfId="1979" xr:uid="{00000000-0005-0000-0000-0000AB070000}"/>
    <cellStyle name="백분율 12 4 2" xfId="1980" xr:uid="{00000000-0005-0000-0000-0000AC070000}"/>
    <cellStyle name="백분율 12 4 3" xfId="1981" xr:uid="{00000000-0005-0000-0000-0000AD070000}"/>
    <cellStyle name="백분율 12 4 4" xfId="1982" xr:uid="{00000000-0005-0000-0000-0000AE070000}"/>
    <cellStyle name="백분율 12 5" xfId="1983" xr:uid="{00000000-0005-0000-0000-0000AF070000}"/>
    <cellStyle name="백분율 12 5 2" xfId="1984" xr:uid="{00000000-0005-0000-0000-0000B0070000}"/>
    <cellStyle name="백분율 12 5 3" xfId="1985" xr:uid="{00000000-0005-0000-0000-0000B1070000}"/>
    <cellStyle name="백분율 12 5 4" xfId="1986" xr:uid="{00000000-0005-0000-0000-0000B2070000}"/>
    <cellStyle name="백분율 12 6" xfId="1987" xr:uid="{00000000-0005-0000-0000-0000B3070000}"/>
    <cellStyle name="백분율 12 6 2" xfId="1988" xr:uid="{00000000-0005-0000-0000-0000B4070000}"/>
    <cellStyle name="백분율 12 6 3" xfId="1989" xr:uid="{00000000-0005-0000-0000-0000B5070000}"/>
    <cellStyle name="백분율 12 6 4" xfId="1990" xr:uid="{00000000-0005-0000-0000-0000B6070000}"/>
    <cellStyle name="백분율 12 7" xfId="1991" xr:uid="{00000000-0005-0000-0000-0000B7070000}"/>
    <cellStyle name="백분율 12 7 2" xfId="1992" xr:uid="{00000000-0005-0000-0000-0000B8070000}"/>
    <cellStyle name="백분율 12 7 3" xfId="1993" xr:uid="{00000000-0005-0000-0000-0000B9070000}"/>
    <cellStyle name="백분율 12 7 4" xfId="1994" xr:uid="{00000000-0005-0000-0000-0000BA070000}"/>
    <cellStyle name="백분율 12 8" xfId="1995" xr:uid="{00000000-0005-0000-0000-0000BB070000}"/>
    <cellStyle name="백분율 12 8 2" xfId="1996" xr:uid="{00000000-0005-0000-0000-0000BC070000}"/>
    <cellStyle name="백분율 12 8 3" xfId="1997" xr:uid="{00000000-0005-0000-0000-0000BD070000}"/>
    <cellStyle name="백분율 12 8 4" xfId="1998" xr:uid="{00000000-0005-0000-0000-0000BE070000}"/>
    <cellStyle name="백분율 12 9" xfId="1999" xr:uid="{00000000-0005-0000-0000-0000BF070000}"/>
    <cellStyle name="백분율 12 9 2" xfId="2000" xr:uid="{00000000-0005-0000-0000-0000C0070000}"/>
    <cellStyle name="백분율 12 9 3" xfId="2001" xr:uid="{00000000-0005-0000-0000-0000C1070000}"/>
    <cellStyle name="백분율 12 9 4" xfId="2002" xr:uid="{00000000-0005-0000-0000-0000C2070000}"/>
    <cellStyle name="백분율 13" xfId="2003" xr:uid="{00000000-0005-0000-0000-0000C3070000}"/>
    <cellStyle name="백분율 13 10" xfId="2004" xr:uid="{00000000-0005-0000-0000-0000C4070000}"/>
    <cellStyle name="백분율 13 10 2" xfId="2005" xr:uid="{00000000-0005-0000-0000-0000C5070000}"/>
    <cellStyle name="백분율 13 10 3" xfId="2006" xr:uid="{00000000-0005-0000-0000-0000C6070000}"/>
    <cellStyle name="백분율 13 10 4" xfId="2007" xr:uid="{00000000-0005-0000-0000-0000C7070000}"/>
    <cellStyle name="백분율 13 11" xfId="2008" xr:uid="{00000000-0005-0000-0000-0000C8070000}"/>
    <cellStyle name="백분율 13 12" xfId="2009" xr:uid="{00000000-0005-0000-0000-0000C9070000}"/>
    <cellStyle name="백분율 13 13" xfId="2010" xr:uid="{00000000-0005-0000-0000-0000CA070000}"/>
    <cellStyle name="백분율 13 2" xfId="2011" xr:uid="{00000000-0005-0000-0000-0000CB070000}"/>
    <cellStyle name="백분율 13 2 2" xfId="2012" xr:uid="{00000000-0005-0000-0000-0000CC070000}"/>
    <cellStyle name="백분율 13 2 3" xfId="2013" xr:uid="{00000000-0005-0000-0000-0000CD070000}"/>
    <cellStyle name="백분율 13 2 4" xfId="2014" xr:uid="{00000000-0005-0000-0000-0000CE070000}"/>
    <cellStyle name="백분율 13 3" xfId="2015" xr:uid="{00000000-0005-0000-0000-0000CF070000}"/>
    <cellStyle name="백분율 13 3 2" xfId="2016" xr:uid="{00000000-0005-0000-0000-0000D0070000}"/>
    <cellStyle name="백분율 13 3 3" xfId="2017" xr:uid="{00000000-0005-0000-0000-0000D1070000}"/>
    <cellStyle name="백분율 13 3 4" xfId="2018" xr:uid="{00000000-0005-0000-0000-0000D2070000}"/>
    <cellStyle name="백분율 13 4" xfId="2019" xr:uid="{00000000-0005-0000-0000-0000D3070000}"/>
    <cellStyle name="백분율 13 4 2" xfId="2020" xr:uid="{00000000-0005-0000-0000-0000D4070000}"/>
    <cellStyle name="백분율 13 4 3" xfId="2021" xr:uid="{00000000-0005-0000-0000-0000D5070000}"/>
    <cellStyle name="백분율 13 4 4" xfId="2022" xr:uid="{00000000-0005-0000-0000-0000D6070000}"/>
    <cellStyle name="백분율 13 5" xfId="2023" xr:uid="{00000000-0005-0000-0000-0000D7070000}"/>
    <cellStyle name="백분율 13 5 2" xfId="2024" xr:uid="{00000000-0005-0000-0000-0000D8070000}"/>
    <cellStyle name="백분율 13 5 3" xfId="2025" xr:uid="{00000000-0005-0000-0000-0000D9070000}"/>
    <cellStyle name="백분율 13 5 4" xfId="2026" xr:uid="{00000000-0005-0000-0000-0000DA070000}"/>
    <cellStyle name="백분율 13 6" xfId="2027" xr:uid="{00000000-0005-0000-0000-0000DB070000}"/>
    <cellStyle name="백분율 13 6 2" xfId="2028" xr:uid="{00000000-0005-0000-0000-0000DC070000}"/>
    <cellStyle name="백분율 13 6 3" xfId="2029" xr:uid="{00000000-0005-0000-0000-0000DD070000}"/>
    <cellStyle name="백분율 13 6 4" xfId="2030" xr:uid="{00000000-0005-0000-0000-0000DE070000}"/>
    <cellStyle name="백분율 13 7" xfId="2031" xr:uid="{00000000-0005-0000-0000-0000DF070000}"/>
    <cellStyle name="백분율 13 7 2" xfId="2032" xr:uid="{00000000-0005-0000-0000-0000E0070000}"/>
    <cellStyle name="백분율 13 7 3" xfId="2033" xr:uid="{00000000-0005-0000-0000-0000E1070000}"/>
    <cellStyle name="백분율 13 7 4" xfId="2034" xr:uid="{00000000-0005-0000-0000-0000E2070000}"/>
    <cellStyle name="백분율 13 8" xfId="2035" xr:uid="{00000000-0005-0000-0000-0000E3070000}"/>
    <cellStyle name="백분율 13 8 2" xfId="2036" xr:uid="{00000000-0005-0000-0000-0000E4070000}"/>
    <cellStyle name="백분율 13 8 3" xfId="2037" xr:uid="{00000000-0005-0000-0000-0000E5070000}"/>
    <cellStyle name="백분율 13 8 4" xfId="2038" xr:uid="{00000000-0005-0000-0000-0000E6070000}"/>
    <cellStyle name="백분율 13 9" xfId="2039" xr:uid="{00000000-0005-0000-0000-0000E7070000}"/>
    <cellStyle name="백분율 13 9 2" xfId="2040" xr:uid="{00000000-0005-0000-0000-0000E8070000}"/>
    <cellStyle name="백분율 13 9 3" xfId="2041" xr:uid="{00000000-0005-0000-0000-0000E9070000}"/>
    <cellStyle name="백분율 13 9 4" xfId="2042" xr:uid="{00000000-0005-0000-0000-0000EA070000}"/>
    <cellStyle name="백분율 14" xfId="2043" xr:uid="{00000000-0005-0000-0000-0000EB070000}"/>
    <cellStyle name="백분율 14 2" xfId="2044" xr:uid="{00000000-0005-0000-0000-0000EC070000}"/>
    <cellStyle name="백분율 14 3" xfId="2045" xr:uid="{00000000-0005-0000-0000-0000ED070000}"/>
    <cellStyle name="백분율 14 4" xfId="2046" xr:uid="{00000000-0005-0000-0000-0000EE070000}"/>
    <cellStyle name="백분율 14 5" xfId="2047" xr:uid="{00000000-0005-0000-0000-0000EF070000}"/>
    <cellStyle name="백분율 15" xfId="2048" xr:uid="{00000000-0005-0000-0000-0000F0070000}"/>
    <cellStyle name="백분율 15 2" xfId="2049" xr:uid="{00000000-0005-0000-0000-0000F1070000}"/>
    <cellStyle name="백분율 15 3" xfId="2050" xr:uid="{00000000-0005-0000-0000-0000F2070000}"/>
    <cellStyle name="백분율 15 4" xfId="2051" xr:uid="{00000000-0005-0000-0000-0000F3070000}"/>
    <cellStyle name="백분율 15 5" xfId="2052" xr:uid="{00000000-0005-0000-0000-0000F4070000}"/>
    <cellStyle name="백분율 16" xfId="2053" xr:uid="{00000000-0005-0000-0000-0000F5070000}"/>
    <cellStyle name="백분율 16 2" xfId="2054" xr:uid="{00000000-0005-0000-0000-0000F6070000}"/>
    <cellStyle name="백분율 16 3" xfId="2055" xr:uid="{00000000-0005-0000-0000-0000F7070000}"/>
    <cellStyle name="백분율 16 4" xfId="2056" xr:uid="{00000000-0005-0000-0000-0000F8070000}"/>
    <cellStyle name="백분율 16 5" xfId="2057" xr:uid="{00000000-0005-0000-0000-0000F9070000}"/>
    <cellStyle name="백분율 2" xfId="2058" xr:uid="{00000000-0005-0000-0000-0000FA070000}"/>
    <cellStyle name="백분율 2 2" xfId="2059" xr:uid="{00000000-0005-0000-0000-0000FB070000}"/>
    <cellStyle name="백분율 2 2 2" xfId="2060" xr:uid="{00000000-0005-0000-0000-0000FC070000}"/>
    <cellStyle name="백분율 2 2 3" xfId="2061" xr:uid="{00000000-0005-0000-0000-0000FD070000}"/>
    <cellStyle name="백분율 2 2 4" xfId="2062" xr:uid="{00000000-0005-0000-0000-0000FE070000}"/>
    <cellStyle name="백분율 2 2 5" xfId="2063" xr:uid="{00000000-0005-0000-0000-0000FF070000}"/>
    <cellStyle name="백분율 2 3" xfId="2064" xr:uid="{00000000-0005-0000-0000-000000080000}"/>
    <cellStyle name="백분율 2 3 2" xfId="2065" xr:uid="{00000000-0005-0000-0000-000001080000}"/>
    <cellStyle name="백분율 2 3 3" xfId="2066" xr:uid="{00000000-0005-0000-0000-000002080000}"/>
    <cellStyle name="백분율 2 3 4" xfId="2067" xr:uid="{00000000-0005-0000-0000-000003080000}"/>
    <cellStyle name="백분율 2 3 5" xfId="2068" xr:uid="{00000000-0005-0000-0000-000004080000}"/>
    <cellStyle name="백분율 2 4" xfId="2069" xr:uid="{00000000-0005-0000-0000-000005080000}"/>
    <cellStyle name="백분율 2 4 2" xfId="2070" xr:uid="{00000000-0005-0000-0000-000006080000}"/>
    <cellStyle name="백분율 2 4 3" xfId="2071" xr:uid="{00000000-0005-0000-0000-000007080000}"/>
    <cellStyle name="백분율 2 4 4" xfId="2072" xr:uid="{00000000-0005-0000-0000-000008080000}"/>
    <cellStyle name="백분율 2 4 5" xfId="2073" xr:uid="{00000000-0005-0000-0000-000009080000}"/>
    <cellStyle name="백분율 2 5" xfId="2074" xr:uid="{00000000-0005-0000-0000-00000A080000}"/>
    <cellStyle name="백분율 2 6" xfId="2075" xr:uid="{00000000-0005-0000-0000-00000B080000}"/>
    <cellStyle name="백분율 2 7" xfId="2076" xr:uid="{00000000-0005-0000-0000-00000C080000}"/>
    <cellStyle name="백분율 2 8" xfId="2077" xr:uid="{00000000-0005-0000-0000-00000D080000}"/>
    <cellStyle name="백분율 3" xfId="2078" xr:uid="{00000000-0005-0000-0000-00000E080000}"/>
    <cellStyle name="백분율 3 2" xfId="2079" xr:uid="{00000000-0005-0000-0000-00000F080000}"/>
    <cellStyle name="백분율 3 2 2" xfId="2080" xr:uid="{00000000-0005-0000-0000-000010080000}"/>
    <cellStyle name="백분율 3 2 3" xfId="2081" xr:uid="{00000000-0005-0000-0000-000011080000}"/>
    <cellStyle name="백분율 3 2 4" xfId="2082" xr:uid="{00000000-0005-0000-0000-000012080000}"/>
    <cellStyle name="백분율 3 2 5" xfId="2083" xr:uid="{00000000-0005-0000-0000-000013080000}"/>
    <cellStyle name="백분율 3 3" xfId="2084" xr:uid="{00000000-0005-0000-0000-000014080000}"/>
    <cellStyle name="백분율 3 4" xfId="2085" xr:uid="{00000000-0005-0000-0000-000015080000}"/>
    <cellStyle name="백분율 3 5" xfId="2086" xr:uid="{00000000-0005-0000-0000-000016080000}"/>
    <cellStyle name="백분율 3 6" xfId="2087" xr:uid="{00000000-0005-0000-0000-000017080000}"/>
    <cellStyle name="백분율 4" xfId="2088" xr:uid="{00000000-0005-0000-0000-000018080000}"/>
    <cellStyle name="백분율 4 10" xfId="2089" xr:uid="{00000000-0005-0000-0000-000019080000}"/>
    <cellStyle name="백분율 4 10 2" xfId="2090" xr:uid="{00000000-0005-0000-0000-00001A080000}"/>
    <cellStyle name="백분율 4 10 3" xfId="2091" xr:uid="{00000000-0005-0000-0000-00001B080000}"/>
    <cellStyle name="백분율 4 10 4" xfId="2092" xr:uid="{00000000-0005-0000-0000-00001C080000}"/>
    <cellStyle name="백분율 4 11" xfId="2093" xr:uid="{00000000-0005-0000-0000-00001D080000}"/>
    <cellStyle name="백분율 4 12" xfId="2094" xr:uid="{00000000-0005-0000-0000-00001E080000}"/>
    <cellStyle name="백분율 4 13" xfId="2095" xr:uid="{00000000-0005-0000-0000-00001F080000}"/>
    <cellStyle name="백분율 4 2" xfId="2096" xr:uid="{00000000-0005-0000-0000-000020080000}"/>
    <cellStyle name="백분율 4 2 2" xfId="2097" xr:uid="{00000000-0005-0000-0000-000021080000}"/>
    <cellStyle name="백분율 4 2 3" xfId="2098" xr:uid="{00000000-0005-0000-0000-000022080000}"/>
    <cellStyle name="백분율 4 2 4" xfId="2099" xr:uid="{00000000-0005-0000-0000-000023080000}"/>
    <cellStyle name="백분율 4 3" xfId="2100" xr:uid="{00000000-0005-0000-0000-000024080000}"/>
    <cellStyle name="백분율 4 3 2" xfId="2101" xr:uid="{00000000-0005-0000-0000-000025080000}"/>
    <cellStyle name="백분율 4 3 3" xfId="2102" xr:uid="{00000000-0005-0000-0000-000026080000}"/>
    <cellStyle name="백분율 4 3 4" xfId="2103" xr:uid="{00000000-0005-0000-0000-000027080000}"/>
    <cellStyle name="백분율 4 4" xfId="2104" xr:uid="{00000000-0005-0000-0000-000028080000}"/>
    <cellStyle name="백분율 4 4 2" xfId="2105" xr:uid="{00000000-0005-0000-0000-000029080000}"/>
    <cellStyle name="백분율 4 4 3" xfId="2106" xr:uid="{00000000-0005-0000-0000-00002A080000}"/>
    <cellStyle name="백분율 4 4 4" xfId="2107" xr:uid="{00000000-0005-0000-0000-00002B080000}"/>
    <cellStyle name="백분율 4 5" xfId="2108" xr:uid="{00000000-0005-0000-0000-00002C080000}"/>
    <cellStyle name="백분율 4 5 2" xfId="2109" xr:uid="{00000000-0005-0000-0000-00002D080000}"/>
    <cellStyle name="백분율 4 5 3" xfId="2110" xr:uid="{00000000-0005-0000-0000-00002E080000}"/>
    <cellStyle name="백분율 4 5 4" xfId="2111" xr:uid="{00000000-0005-0000-0000-00002F080000}"/>
    <cellStyle name="백분율 4 6" xfId="2112" xr:uid="{00000000-0005-0000-0000-000030080000}"/>
    <cellStyle name="백분율 4 6 2" xfId="2113" xr:uid="{00000000-0005-0000-0000-000031080000}"/>
    <cellStyle name="백분율 4 6 3" xfId="2114" xr:uid="{00000000-0005-0000-0000-000032080000}"/>
    <cellStyle name="백분율 4 6 4" xfId="2115" xr:uid="{00000000-0005-0000-0000-000033080000}"/>
    <cellStyle name="백분율 4 7" xfId="2116" xr:uid="{00000000-0005-0000-0000-000034080000}"/>
    <cellStyle name="백분율 4 7 2" xfId="2117" xr:uid="{00000000-0005-0000-0000-000035080000}"/>
    <cellStyle name="백분율 4 7 3" xfId="2118" xr:uid="{00000000-0005-0000-0000-000036080000}"/>
    <cellStyle name="백분율 4 7 4" xfId="2119" xr:uid="{00000000-0005-0000-0000-000037080000}"/>
    <cellStyle name="백분율 4 8" xfId="2120" xr:uid="{00000000-0005-0000-0000-000038080000}"/>
    <cellStyle name="백분율 4 8 2" xfId="2121" xr:uid="{00000000-0005-0000-0000-000039080000}"/>
    <cellStyle name="백분율 4 8 3" xfId="2122" xr:uid="{00000000-0005-0000-0000-00003A080000}"/>
    <cellStyle name="백분율 4 8 4" xfId="2123" xr:uid="{00000000-0005-0000-0000-00003B080000}"/>
    <cellStyle name="백분율 4 9" xfId="2124" xr:uid="{00000000-0005-0000-0000-00003C080000}"/>
    <cellStyle name="백분율 4 9 2" xfId="2125" xr:uid="{00000000-0005-0000-0000-00003D080000}"/>
    <cellStyle name="백분율 4 9 3" xfId="2126" xr:uid="{00000000-0005-0000-0000-00003E080000}"/>
    <cellStyle name="백분율 4 9 4" xfId="2127" xr:uid="{00000000-0005-0000-0000-00003F080000}"/>
    <cellStyle name="백분율 5" xfId="2128" xr:uid="{00000000-0005-0000-0000-000040080000}"/>
    <cellStyle name="백분율 5 10" xfId="2129" xr:uid="{00000000-0005-0000-0000-000041080000}"/>
    <cellStyle name="백분율 5 10 2" xfId="2130" xr:uid="{00000000-0005-0000-0000-000042080000}"/>
    <cellStyle name="백분율 5 10 3" xfId="2131" xr:uid="{00000000-0005-0000-0000-000043080000}"/>
    <cellStyle name="백분율 5 10 4" xfId="2132" xr:uid="{00000000-0005-0000-0000-000044080000}"/>
    <cellStyle name="백분율 5 11" xfId="2133" xr:uid="{00000000-0005-0000-0000-000045080000}"/>
    <cellStyle name="백분율 5 12" xfId="2134" xr:uid="{00000000-0005-0000-0000-000046080000}"/>
    <cellStyle name="백분율 5 13" xfId="2135" xr:uid="{00000000-0005-0000-0000-000047080000}"/>
    <cellStyle name="백분율 5 2" xfId="2136" xr:uid="{00000000-0005-0000-0000-000048080000}"/>
    <cellStyle name="백분율 5 2 2" xfId="2137" xr:uid="{00000000-0005-0000-0000-000049080000}"/>
    <cellStyle name="백분율 5 2 3" xfId="2138" xr:uid="{00000000-0005-0000-0000-00004A080000}"/>
    <cellStyle name="백분율 5 2 4" xfId="2139" xr:uid="{00000000-0005-0000-0000-00004B080000}"/>
    <cellStyle name="백분율 5 3" xfId="2140" xr:uid="{00000000-0005-0000-0000-00004C080000}"/>
    <cellStyle name="백분율 5 3 2" xfId="2141" xr:uid="{00000000-0005-0000-0000-00004D080000}"/>
    <cellStyle name="백분율 5 3 3" xfId="2142" xr:uid="{00000000-0005-0000-0000-00004E080000}"/>
    <cellStyle name="백분율 5 3 4" xfId="2143" xr:uid="{00000000-0005-0000-0000-00004F080000}"/>
    <cellStyle name="백분율 5 4" xfId="2144" xr:uid="{00000000-0005-0000-0000-000050080000}"/>
    <cellStyle name="백분율 5 4 2" xfId="2145" xr:uid="{00000000-0005-0000-0000-000051080000}"/>
    <cellStyle name="백분율 5 4 3" xfId="2146" xr:uid="{00000000-0005-0000-0000-000052080000}"/>
    <cellStyle name="백분율 5 4 4" xfId="2147" xr:uid="{00000000-0005-0000-0000-000053080000}"/>
    <cellStyle name="백분율 5 5" xfId="2148" xr:uid="{00000000-0005-0000-0000-000054080000}"/>
    <cellStyle name="백분율 5 5 2" xfId="2149" xr:uid="{00000000-0005-0000-0000-000055080000}"/>
    <cellStyle name="백분율 5 5 3" xfId="2150" xr:uid="{00000000-0005-0000-0000-000056080000}"/>
    <cellStyle name="백분율 5 5 4" xfId="2151" xr:uid="{00000000-0005-0000-0000-000057080000}"/>
    <cellStyle name="백분율 5 6" xfId="2152" xr:uid="{00000000-0005-0000-0000-000058080000}"/>
    <cellStyle name="백분율 5 6 2" xfId="2153" xr:uid="{00000000-0005-0000-0000-000059080000}"/>
    <cellStyle name="백분율 5 6 3" xfId="2154" xr:uid="{00000000-0005-0000-0000-00005A080000}"/>
    <cellStyle name="백분율 5 6 4" xfId="2155" xr:uid="{00000000-0005-0000-0000-00005B080000}"/>
    <cellStyle name="백분율 5 7" xfId="2156" xr:uid="{00000000-0005-0000-0000-00005C080000}"/>
    <cellStyle name="백분율 5 7 2" xfId="2157" xr:uid="{00000000-0005-0000-0000-00005D080000}"/>
    <cellStyle name="백분율 5 7 3" xfId="2158" xr:uid="{00000000-0005-0000-0000-00005E080000}"/>
    <cellStyle name="백분율 5 7 4" xfId="2159" xr:uid="{00000000-0005-0000-0000-00005F080000}"/>
    <cellStyle name="백분율 5 8" xfId="2160" xr:uid="{00000000-0005-0000-0000-000060080000}"/>
    <cellStyle name="백분율 5 8 2" xfId="2161" xr:uid="{00000000-0005-0000-0000-000061080000}"/>
    <cellStyle name="백분율 5 8 3" xfId="2162" xr:uid="{00000000-0005-0000-0000-000062080000}"/>
    <cellStyle name="백분율 5 8 4" xfId="2163" xr:uid="{00000000-0005-0000-0000-000063080000}"/>
    <cellStyle name="백분율 5 9" xfId="2164" xr:uid="{00000000-0005-0000-0000-000064080000}"/>
    <cellStyle name="백분율 5 9 2" xfId="2165" xr:uid="{00000000-0005-0000-0000-000065080000}"/>
    <cellStyle name="백분율 5 9 3" xfId="2166" xr:uid="{00000000-0005-0000-0000-000066080000}"/>
    <cellStyle name="백분율 5 9 4" xfId="2167" xr:uid="{00000000-0005-0000-0000-000067080000}"/>
    <cellStyle name="백분율 6" xfId="2168" xr:uid="{00000000-0005-0000-0000-000068080000}"/>
    <cellStyle name="백분율 6 10" xfId="2169" xr:uid="{00000000-0005-0000-0000-000069080000}"/>
    <cellStyle name="백분율 6 10 2" xfId="2170" xr:uid="{00000000-0005-0000-0000-00006A080000}"/>
    <cellStyle name="백분율 6 10 3" xfId="2171" xr:uid="{00000000-0005-0000-0000-00006B080000}"/>
    <cellStyle name="백분율 6 10 4" xfId="2172" xr:uid="{00000000-0005-0000-0000-00006C080000}"/>
    <cellStyle name="백분율 6 11" xfId="2173" xr:uid="{00000000-0005-0000-0000-00006D080000}"/>
    <cellStyle name="백분율 6 12" xfId="2174" xr:uid="{00000000-0005-0000-0000-00006E080000}"/>
    <cellStyle name="백분율 6 13" xfId="2175" xr:uid="{00000000-0005-0000-0000-00006F080000}"/>
    <cellStyle name="백분율 6 2" xfId="2176" xr:uid="{00000000-0005-0000-0000-000070080000}"/>
    <cellStyle name="백분율 6 2 2" xfId="2177" xr:uid="{00000000-0005-0000-0000-000071080000}"/>
    <cellStyle name="백분율 6 2 3" xfId="2178" xr:uid="{00000000-0005-0000-0000-000072080000}"/>
    <cellStyle name="백분율 6 2 4" xfId="2179" xr:uid="{00000000-0005-0000-0000-000073080000}"/>
    <cellStyle name="백분율 6 3" xfId="2180" xr:uid="{00000000-0005-0000-0000-000074080000}"/>
    <cellStyle name="백분율 6 3 2" xfId="2181" xr:uid="{00000000-0005-0000-0000-000075080000}"/>
    <cellStyle name="백분율 6 3 3" xfId="2182" xr:uid="{00000000-0005-0000-0000-000076080000}"/>
    <cellStyle name="백분율 6 3 4" xfId="2183" xr:uid="{00000000-0005-0000-0000-000077080000}"/>
    <cellStyle name="백분율 6 4" xfId="2184" xr:uid="{00000000-0005-0000-0000-000078080000}"/>
    <cellStyle name="백분율 6 4 2" xfId="2185" xr:uid="{00000000-0005-0000-0000-000079080000}"/>
    <cellStyle name="백분율 6 4 3" xfId="2186" xr:uid="{00000000-0005-0000-0000-00007A080000}"/>
    <cellStyle name="백분율 6 4 4" xfId="2187" xr:uid="{00000000-0005-0000-0000-00007B080000}"/>
    <cellStyle name="백분율 6 5" xfId="2188" xr:uid="{00000000-0005-0000-0000-00007C080000}"/>
    <cellStyle name="백분율 6 5 2" xfId="2189" xr:uid="{00000000-0005-0000-0000-00007D080000}"/>
    <cellStyle name="백분율 6 5 3" xfId="2190" xr:uid="{00000000-0005-0000-0000-00007E080000}"/>
    <cellStyle name="백분율 6 5 4" xfId="2191" xr:uid="{00000000-0005-0000-0000-00007F080000}"/>
    <cellStyle name="백분율 6 6" xfId="2192" xr:uid="{00000000-0005-0000-0000-000080080000}"/>
    <cellStyle name="백분율 6 6 2" xfId="2193" xr:uid="{00000000-0005-0000-0000-000081080000}"/>
    <cellStyle name="백분율 6 6 3" xfId="2194" xr:uid="{00000000-0005-0000-0000-000082080000}"/>
    <cellStyle name="백분율 6 6 4" xfId="2195" xr:uid="{00000000-0005-0000-0000-000083080000}"/>
    <cellStyle name="백분율 6 7" xfId="2196" xr:uid="{00000000-0005-0000-0000-000084080000}"/>
    <cellStyle name="백분율 6 7 2" xfId="2197" xr:uid="{00000000-0005-0000-0000-000085080000}"/>
    <cellStyle name="백분율 6 7 3" xfId="2198" xr:uid="{00000000-0005-0000-0000-000086080000}"/>
    <cellStyle name="백분율 6 7 4" xfId="2199" xr:uid="{00000000-0005-0000-0000-000087080000}"/>
    <cellStyle name="백분율 6 8" xfId="2200" xr:uid="{00000000-0005-0000-0000-000088080000}"/>
    <cellStyle name="백분율 6 8 2" xfId="2201" xr:uid="{00000000-0005-0000-0000-000089080000}"/>
    <cellStyle name="백분율 6 8 3" xfId="2202" xr:uid="{00000000-0005-0000-0000-00008A080000}"/>
    <cellStyle name="백분율 6 8 4" xfId="2203" xr:uid="{00000000-0005-0000-0000-00008B080000}"/>
    <cellStyle name="백분율 6 9" xfId="2204" xr:uid="{00000000-0005-0000-0000-00008C080000}"/>
    <cellStyle name="백분율 6 9 2" xfId="2205" xr:uid="{00000000-0005-0000-0000-00008D080000}"/>
    <cellStyle name="백분율 6 9 3" xfId="2206" xr:uid="{00000000-0005-0000-0000-00008E080000}"/>
    <cellStyle name="백분율 6 9 4" xfId="2207" xr:uid="{00000000-0005-0000-0000-00008F080000}"/>
    <cellStyle name="백분율 7" xfId="2208" xr:uid="{00000000-0005-0000-0000-000090080000}"/>
    <cellStyle name="백분율 7 10" xfId="2209" xr:uid="{00000000-0005-0000-0000-000091080000}"/>
    <cellStyle name="백분율 7 10 2" xfId="2210" xr:uid="{00000000-0005-0000-0000-000092080000}"/>
    <cellStyle name="백분율 7 10 3" xfId="2211" xr:uid="{00000000-0005-0000-0000-000093080000}"/>
    <cellStyle name="백분율 7 10 4" xfId="2212" xr:uid="{00000000-0005-0000-0000-000094080000}"/>
    <cellStyle name="백분율 7 11" xfId="2213" xr:uid="{00000000-0005-0000-0000-000095080000}"/>
    <cellStyle name="백분율 7 12" xfId="2214" xr:uid="{00000000-0005-0000-0000-000096080000}"/>
    <cellStyle name="백분율 7 13" xfId="2215" xr:uid="{00000000-0005-0000-0000-000097080000}"/>
    <cellStyle name="백분율 7 2" xfId="2216" xr:uid="{00000000-0005-0000-0000-000098080000}"/>
    <cellStyle name="백분율 7 2 2" xfId="2217" xr:uid="{00000000-0005-0000-0000-000099080000}"/>
    <cellStyle name="백분율 7 2 3" xfId="2218" xr:uid="{00000000-0005-0000-0000-00009A080000}"/>
    <cellStyle name="백분율 7 2 4" xfId="2219" xr:uid="{00000000-0005-0000-0000-00009B080000}"/>
    <cellStyle name="백분율 7 3" xfId="2220" xr:uid="{00000000-0005-0000-0000-00009C080000}"/>
    <cellStyle name="백분율 7 3 2" xfId="2221" xr:uid="{00000000-0005-0000-0000-00009D080000}"/>
    <cellStyle name="백분율 7 3 3" xfId="2222" xr:uid="{00000000-0005-0000-0000-00009E080000}"/>
    <cellStyle name="백분율 7 3 4" xfId="2223" xr:uid="{00000000-0005-0000-0000-00009F080000}"/>
    <cellStyle name="백분율 7 4" xfId="2224" xr:uid="{00000000-0005-0000-0000-0000A0080000}"/>
    <cellStyle name="백분율 7 4 2" xfId="2225" xr:uid="{00000000-0005-0000-0000-0000A1080000}"/>
    <cellStyle name="백분율 7 4 3" xfId="2226" xr:uid="{00000000-0005-0000-0000-0000A2080000}"/>
    <cellStyle name="백분율 7 4 4" xfId="2227" xr:uid="{00000000-0005-0000-0000-0000A3080000}"/>
    <cellStyle name="백분율 7 5" xfId="2228" xr:uid="{00000000-0005-0000-0000-0000A4080000}"/>
    <cellStyle name="백분율 7 5 2" xfId="2229" xr:uid="{00000000-0005-0000-0000-0000A5080000}"/>
    <cellStyle name="백분율 7 5 3" xfId="2230" xr:uid="{00000000-0005-0000-0000-0000A6080000}"/>
    <cellStyle name="백분율 7 5 4" xfId="2231" xr:uid="{00000000-0005-0000-0000-0000A7080000}"/>
    <cellStyle name="백분율 7 6" xfId="2232" xr:uid="{00000000-0005-0000-0000-0000A8080000}"/>
    <cellStyle name="백분율 7 6 2" xfId="2233" xr:uid="{00000000-0005-0000-0000-0000A9080000}"/>
    <cellStyle name="백분율 7 6 3" xfId="2234" xr:uid="{00000000-0005-0000-0000-0000AA080000}"/>
    <cellStyle name="백분율 7 6 4" xfId="2235" xr:uid="{00000000-0005-0000-0000-0000AB080000}"/>
    <cellStyle name="백분율 7 7" xfId="2236" xr:uid="{00000000-0005-0000-0000-0000AC080000}"/>
    <cellStyle name="백분율 7 7 2" xfId="2237" xr:uid="{00000000-0005-0000-0000-0000AD080000}"/>
    <cellStyle name="백분율 7 7 3" xfId="2238" xr:uid="{00000000-0005-0000-0000-0000AE080000}"/>
    <cellStyle name="백분율 7 7 4" xfId="2239" xr:uid="{00000000-0005-0000-0000-0000AF080000}"/>
    <cellStyle name="백분율 7 8" xfId="2240" xr:uid="{00000000-0005-0000-0000-0000B0080000}"/>
    <cellStyle name="백분율 7 8 2" xfId="2241" xr:uid="{00000000-0005-0000-0000-0000B1080000}"/>
    <cellStyle name="백분율 7 8 3" xfId="2242" xr:uid="{00000000-0005-0000-0000-0000B2080000}"/>
    <cellStyle name="백분율 7 8 4" xfId="2243" xr:uid="{00000000-0005-0000-0000-0000B3080000}"/>
    <cellStyle name="백분율 7 9" xfId="2244" xr:uid="{00000000-0005-0000-0000-0000B4080000}"/>
    <cellStyle name="백분율 7 9 2" xfId="2245" xr:uid="{00000000-0005-0000-0000-0000B5080000}"/>
    <cellStyle name="백분율 7 9 3" xfId="2246" xr:uid="{00000000-0005-0000-0000-0000B6080000}"/>
    <cellStyle name="백분율 7 9 4" xfId="2247" xr:uid="{00000000-0005-0000-0000-0000B7080000}"/>
    <cellStyle name="백분율 8" xfId="2248" xr:uid="{00000000-0005-0000-0000-0000B8080000}"/>
    <cellStyle name="백분율 8 10" xfId="2249" xr:uid="{00000000-0005-0000-0000-0000B9080000}"/>
    <cellStyle name="백분율 8 10 2" xfId="2250" xr:uid="{00000000-0005-0000-0000-0000BA080000}"/>
    <cellStyle name="백분율 8 10 3" xfId="2251" xr:uid="{00000000-0005-0000-0000-0000BB080000}"/>
    <cellStyle name="백분율 8 10 4" xfId="2252" xr:uid="{00000000-0005-0000-0000-0000BC080000}"/>
    <cellStyle name="백분율 8 11" xfId="2253" xr:uid="{00000000-0005-0000-0000-0000BD080000}"/>
    <cellStyle name="백분율 8 12" xfId="2254" xr:uid="{00000000-0005-0000-0000-0000BE080000}"/>
    <cellStyle name="백분율 8 13" xfId="2255" xr:uid="{00000000-0005-0000-0000-0000BF080000}"/>
    <cellStyle name="백분율 8 2" xfId="2256" xr:uid="{00000000-0005-0000-0000-0000C0080000}"/>
    <cellStyle name="백분율 8 2 2" xfId="2257" xr:uid="{00000000-0005-0000-0000-0000C1080000}"/>
    <cellStyle name="백분율 8 2 3" xfId="2258" xr:uid="{00000000-0005-0000-0000-0000C2080000}"/>
    <cellStyle name="백분율 8 2 4" xfId="2259" xr:uid="{00000000-0005-0000-0000-0000C3080000}"/>
    <cellStyle name="백분율 8 3" xfId="2260" xr:uid="{00000000-0005-0000-0000-0000C4080000}"/>
    <cellStyle name="백분율 8 3 2" xfId="2261" xr:uid="{00000000-0005-0000-0000-0000C5080000}"/>
    <cellStyle name="백분율 8 3 3" xfId="2262" xr:uid="{00000000-0005-0000-0000-0000C6080000}"/>
    <cellStyle name="백분율 8 3 4" xfId="2263" xr:uid="{00000000-0005-0000-0000-0000C7080000}"/>
    <cellStyle name="백분율 8 4" xfId="2264" xr:uid="{00000000-0005-0000-0000-0000C8080000}"/>
    <cellStyle name="백분율 8 4 2" xfId="2265" xr:uid="{00000000-0005-0000-0000-0000C9080000}"/>
    <cellStyle name="백분율 8 4 3" xfId="2266" xr:uid="{00000000-0005-0000-0000-0000CA080000}"/>
    <cellStyle name="백분율 8 4 4" xfId="2267" xr:uid="{00000000-0005-0000-0000-0000CB080000}"/>
    <cellStyle name="백분율 8 5" xfId="2268" xr:uid="{00000000-0005-0000-0000-0000CC080000}"/>
    <cellStyle name="백분율 8 5 2" xfId="2269" xr:uid="{00000000-0005-0000-0000-0000CD080000}"/>
    <cellStyle name="백분율 8 5 3" xfId="2270" xr:uid="{00000000-0005-0000-0000-0000CE080000}"/>
    <cellStyle name="백분율 8 5 4" xfId="2271" xr:uid="{00000000-0005-0000-0000-0000CF080000}"/>
    <cellStyle name="백분율 8 6" xfId="2272" xr:uid="{00000000-0005-0000-0000-0000D0080000}"/>
    <cellStyle name="백분율 8 6 2" xfId="2273" xr:uid="{00000000-0005-0000-0000-0000D1080000}"/>
    <cellStyle name="백분율 8 6 3" xfId="2274" xr:uid="{00000000-0005-0000-0000-0000D2080000}"/>
    <cellStyle name="백분율 8 6 4" xfId="2275" xr:uid="{00000000-0005-0000-0000-0000D3080000}"/>
    <cellStyle name="백분율 8 7" xfId="2276" xr:uid="{00000000-0005-0000-0000-0000D4080000}"/>
    <cellStyle name="백분율 8 7 2" xfId="2277" xr:uid="{00000000-0005-0000-0000-0000D5080000}"/>
    <cellStyle name="백분율 8 7 3" xfId="2278" xr:uid="{00000000-0005-0000-0000-0000D6080000}"/>
    <cellStyle name="백분율 8 7 4" xfId="2279" xr:uid="{00000000-0005-0000-0000-0000D7080000}"/>
    <cellStyle name="백분율 8 8" xfId="2280" xr:uid="{00000000-0005-0000-0000-0000D8080000}"/>
    <cellStyle name="백분율 8 8 2" xfId="2281" xr:uid="{00000000-0005-0000-0000-0000D9080000}"/>
    <cellStyle name="백분율 8 8 3" xfId="2282" xr:uid="{00000000-0005-0000-0000-0000DA080000}"/>
    <cellStyle name="백분율 8 8 4" xfId="2283" xr:uid="{00000000-0005-0000-0000-0000DB080000}"/>
    <cellStyle name="백분율 8 9" xfId="2284" xr:uid="{00000000-0005-0000-0000-0000DC080000}"/>
    <cellStyle name="백분율 8 9 2" xfId="2285" xr:uid="{00000000-0005-0000-0000-0000DD080000}"/>
    <cellStyle name="백분율 8 9 3" xfId="2286" xr:uid="{00000000-0005-0000-0000-0000DE080000}"/>
    <cellStyle name="백분율 8 9 4" xfId="2287" xr:uid="{00000000-0005-0000-0000-0000DF080000}"/>
    <cellStyle name="백분율 9" xfId="2288" xr:uid="{00000000-0005-0000-0000-0000E0080000}"/>
    <cellStyle name="백분율 9 10" xfId="2289" xr:uid="{00000000-0005-0000-0000-0000E1080000}"/>
    <cellStyle name="백분율 9 10 2" xfId="2290" xr:uid="{00000000-0005-0000-0000-0000E2080000}"/>
    <cellStyle name="백분율 9 10 3" xfId="2291" xr:uid="{00000000-0005-0000-0000-0000E3080000}"/>
    <cellStyle name="백분율 9 10 4" xfId="2292" xr:uid="{00000000-0005-0000-0000-0000E4080000}"/>
    <cellStyle name="백분율 9 11" xfId="2293" xr:uid="{00000000-0005-0000-0000-0000E5080000}"/>
    <cellStyle name="백분율 9 12" xfId="2294" xr:uid="{00000000-0005-0000-0000-0000E6080000}"/>
    <cellStyle name="백분율 9 13" xfId="2295" xr:uid="{00000000-0005-0000-0000-0000E7080000}"/>
    <cellStyle name="백분율 9 2" xfId="2296" xr:uid="{00000000-0005-0000-0000-0000E8080000}"/>
    <cellStyle name="백분율 9 2 2" xfId="2297" xr:uid="{00000000-0005-0000-0000-0000E9080000}"/>
    <cellStyle name="백분율 9 2 3" xfId="2298" xr:uid="{00000000-0005-0000-0000-0000EA080000}"/>
    <cellStyle name="백분율 9 2 4" xfId="2299" xr:uid="{00000000-0005-0000-0000-0000EB080000}"/>
    <cellStyle name="백분율 9 3" xfId="2300" xr:uid="{00000000-0005-0000-0000-0000EC080000}"/>
    <cellStyle name="백분율 9 3 2" xfId="2301" xr:uid="{00000000-0005-0000-0000-0000ED080000}"/>
    <cellStyle name="백분율 9 3 3" xfId="2302" xr:uid="{00000000-0005-0000-0000-0000EE080000}"/>
    <cellStyle name="백분율 9 3 4" xfId="2303" xr:uid="{00000000-0005-0000-0000-0000EF080000}"/>
    <cellStyle name="백분율 9 4" xfId="2304" xr:uid="{00000000-0005-0000-0000-0000F0080000}"/>
    <cellStyle name="백분율 9 4 2" xfId="2305" xr:uid="{00000000-0005-0000-0000-0000F1080000}"/>
    <cellStyle name="백분율 9 4 3" xfId="2306" xr:uid="{00000000-0005-0000-0000-0000F2080000}"/>
    <cellStyle name="백분율 9 4 4" xfId="2307" xr:uid="{00000000-0005-0000-0000-0000F3080000}"/>
    <cellStyle name="백분율 9 5" xfId="2308" xr:uid="{00000000-0005-0000-0000-0000F4080000}"/>
    <cellStyle name="백분율 9 5 2" xfId="2309" xr:uid="{00000000-0005-0000-0000-0000F5080000}"/>
    <cellStyle name="백분율 9 5 3" xfId="2310" xr:uid="{00000000-0005-0000-0000-0000F6080000}"/>
    <cellStyle name="백분율 9 5 4" xfId="2311" xr:uid="{00000000-0005-0000-0000-0000F7080000}"/>
    <cellStyle name="백분율 9 6" xfId="2312" xr:uid="{00000000-0005-0000-0000-0000F8080000}"/>
    <cellStyle name="백분율 9 6 2" xfId="2313" xr:uid="{00000000-0005-0000-0000-0000F9080000}"/>
    <cellStyle name="백분율 9 6 3" xfId="2314" xr:uid="{00000000-0005-0000-0000-0000FA080000}"/>
    <cellStyle name="백분율 9 6 4" xfId="2315" xr:uid="{00000000-0005-0000-0000-0000FB080000}"/>
    <cellStyle name="백분율 9 7" xfId="2316" xr:uid="{00000000-0005-0000-0000-0000FC080000}"/>
    <cellStyle name="백분율 9 7 2" xfId="2317" xr:uid="{00000000-0005-0000-0000-0000FD080000}"/>
    <cellStyle name="백분율 9 7 3" xfId="2318" xr:uid="{00000000-0005-0000-0000-0000FE080000}"/>
    <cellStyle name="백분율 9 7 4" xfId="2319" xr:uid="{00000000-0005-0000-0000-0000FF080000}"/>
    <cellStyle name="백분율 9 8" xfId="2320" xr:uid="{00000000-0005-0000-0000-000000090000}"/>
    <cellStyle name="백분율 9 8 2" xfId="2321" xr:uid="{00000000-0005-0000-0000-000001090000}"/>
    <cellStyle name="백분율 9 8 3" xfId="2322" xr:uid="{00000000-0005-0000-0000-000002090000}"/>
    <cellStyle name="백분율 9 8 4" xfId="2323" xr:uid="{00000000-0005-0000-0000-000003090000}"/>
    <cellStyle name="백분율 9 9" xfId="2324" xr:uid="{00000000-0005-0000-0000-000004090000}"/>
    <cellStyle name="백분율 9 9 2" xfId="2325" xr:uid="{00000000-0005-0000-0000-000005090000}"/>
    <cellStyle name="백분율 9 9 3" xfId="2326" xr:uid="{00000000-0005-0000-0000-000006090000}"/>
    <cellStyle name="백분율 9 9 4" xfId="2327" xr:uid="{00000000-0005-0000-0000-000007090000}"/>
    <cellStyle name="백분율［△1］" xfId="2328" xr:uid="{00000000-0005-0000-0000-000008090000}"/>
    <cellStyle name="백분율［△1］ 2" xfId="2329" xr:uid="{00000000-0005-0000-0000-000009090000}"/>
    <cellStyle name="백분율［△1］ 3" xfId="2330" xr:uid="{00000000-0005-0000-0000-00000A090000}"/>
    <cellStyle name="백분율［△1］ 4" xfId="2331" xr:uid="{00000000-0005-0000-0000-00000B090000}"/>
    <cellStyle name="백분율［△1］ 5" xfId="2332" xr:uid="{00000000-0005-0000-0000-00000C090000}"/>
    <cellStyle name="백분율［△2］" xfId="2333" xr:uid="{00000000-0005-0000-0000-00000D090000}"/>
    <cellStyle name="백분율［△2］ 2" xfId="2334" xr:uid="{00000000-0005-0000-0000-00000E090000}"/>
    <cellStyle name="백분율［△2］ 3" xfId="2335" xr:uid="{00000000-0005-0000-0000-00000F090000}"/>
    <cellStyle name="백분율［△2］ 4" xfId="2336" xr:uid="{00000000-0005-0000-0000-000010090000}"/>
    <cellStyle name="백분율［△2］ 5" xfId="2337" xr:uid="{00000000-0005-0000-0000-000011090000}"/>
    <cellStyle name="보통" xfId="8" builtinId="28" customBuiltin="1"/>
    <cellStyle name="보통 2" xfId="2338" xr:uid="{00000000-0005-0000-0000-000013090000}"/>
    <cellStyle name="보통 2 2" xfId="2339" xr:uid="{00000000-0005-0000-0000-000014090000}"/>
    <cellStyle name="보통 3" xfId="2340" xr:uid="{00000000-0005-0000-0000-000015090000}"/>
    <cellStyle name="보통 4" xfId="2341" xr:uid="{00000000-0005-0000-0000-000016090000}"/>
    <cellStyle name="보통 5" xfId="2342" xr:uid="{00000000-0005-0000-0000-000017090000}"/>
    <cellStyle name="뷭?_7200000" xfId="2343" xr:uid="{00000000-0005-0000-0000-000018090000}"/>
    <cellStyle name="常规_OPTION_9910" xfId="2344" xr:uid="{00000000-0005-0000-0000-000019090000}"/>
    <cellStyle name="선택영역의 가운데로" xfId="2345" xr:uid="{00000000-0005-0000-0000-00001A090000}"/>
    <cellStyle name="선택영역의 가운데로 2" xfId="2346" xr:uid="{00000000-0005-0000-0000-00001B090000}"/>
    <cellStyle name="선택영역의 가운데로 3" xfId="2347" xr:uid="{00000000-0005-0000-0000-00001C090000}"/>
    <cellStyle name="선택영역의 가운데로 4" xfId="2348" xr:uid="{00000000-0005-0000-0000-00001D090000}"/>
    <cellStyle name="선택영역의 가운데로 5" xfId="2349" xr:uid="{00000000-0005-0000-0000-00001E090000}"/>
    <cellStyle name="설계서" xfId="2350" xr:uid="{00000000-0005-0000-0000-00001F090000}"/>
    <cellStyle name="설계서-내용" xfId="2351" xr:uid="{00000000-0005-0000-0000-000020090000}"/>
    <cellStyle name="설계서-내용 2" xfId="4631" xr:uid="{00000000-0005-0000-0000-000020090000}"/>
    <cellStyle name="설계서-내용-소수점" xfId="2352" xr:uid="{00000000-0005-0000-0000-000021090000}"/>
    <cellStyle name="설계서-내용-소수점 2" xfId="4632" xr:uid="{00000000-0005-0000-0000-000021090000}"/>
    <cellStyle name="설계서-내용-우" xfId="2353" xr:uid="{00000000-0005-0000-0000-000022090000}"/>
    <cellStyle name="설계서-내용-좌" xfId="2354" xr:uid="{00000000-0005-0000-0000-000023090000}"/>
    <cellStyle name="설계서-소제목" xfId="2355" xr:uid="{00000000-0005-0000-0000-000024090000}"/>
    <cellStyle name="설계서-소제목 2" xfId="4633" xr:uid="{00000000-0005-0000-0000-000024090000}"/>
    <cellStyle name="설계서-타이틀" xfId="2356" xr:uid="{00000000-0005-0000-0000-000025090000}"/>
    <cellStyle name="설계서-항목" xfId="2357" xr:uid="{00000000-0005-0000-0000-000026090000}"/>
    <cellStyle name="설명 텍스트" xfId="16" builtinId="53" customBuiltin="1"/>
    <cellStyle name="설명 텍스트 2" xfId="2358" xr:uid="{00000000-0005-0000-0000-000028090000}"/>
    <cellStyle name="설명 텍스트 2 2" xfId="2359" xr:uid="{00000000-0005-0000-0000-000029090000}"/>
    <cellStyle name="설명 텍스트 3" xfId="2360" xr:uid="{00000000-0005-0000-0000-00002A090000}"/>
    <cellStyle name="설명 텍스트 4" xfId="2361" xr:uid="{00000000-0005-0000-0000-00002B090000}"/>
    <cellStyle name="설명 텍스트 5" xfId="2362" xr:uid="{00000000-0005-0000-0000-00002C090000}"/>
    <cellStyle name="셀 확인" xfId="13" builtinId="23" customBuiltin="1"/>
    <cellStyle name="셀 확인 2" xfId="2363" xr:uid="{00000000-0005-0000-0000-00002E090000}"/>
    <cellStyle name="셀 확인 2 2" xfId="2364" xr:uid="{00000000-0005-0000-0000-00002F090000}"/>
    <cellStyle name="셀 확인 2 3" xfId="4634" xr:uid="{00000000-0005-0000-0000-00002E090000}"/>
    <cellStyle name="셀 확인 2 3 2" xfId="5732" xr:uid="{00000000-0005-0000-0000-00002E090000}"/>
    <cellStyle name="셀 확인 3" xfId="2365" xr:uid="{00000000-0005-0000-0000-000030090000}"/>
    <cellStyle name="셀 확인 3 2" xfId="4635" xr:uid="{00000000-0005-0000-0000-000030090000}"/>
    <cellStyle name="셀 확인 3 2 2" xfId="5733" xr:uid="{00000000-0005-0000-0000-000030090000}"/>
    <cellStyle name="셀 확인 4" xfId="2366" xr:uid="{00000000-0005-0000-0000-000031090000}"/>
    <cellStyle name="셀 확인 4 2" xfId="4636" xr:uid="{00000000-0005-0000-0000-000031090000}"/>
    <cellStyle name="셀 확인 4 2 2" xfId="5734" xr:uid="{00000000-0005-0000-0000-000031090000}"/>
    <cellStyle name="셀 확인 5" xfId="2367" xr:uid="{00000000-0005-0000-0000-000032090000}"/>
    <cellStyle name="수산" xfId="2368" xr:uid="{00000000-0005-0000-0000-000033090000}"/>
    <cellStyle name="숫자(R)" xfId="2369" xr:uid="{00000000-0005-0000-0000-000034090000}"/>
    <cellStyle name="쉼표 [0] 10" xfId="2370" xr:uid="{00000000-0005-0000-0000-000035090000}"/>
    <cellStyle name="쉼표 [0] 10 2" xfId="2371" xr:uid="{00000000-0005-0000-0000-000036090000}"/>
    <cellStyle name="쉼표 [0] 10 2 2" xfId="4638" xr:uid="{00000000-0005-0000-0000-000036090000}"/>
    <cellStyle name="쉼표 [0] 10 2 2 2" xfId="5736" xr:uid="{00000000-0005-0000-0000-000036090000}"/>
    <cellStyle name="쉼표 [0] 10 2 3" xfId="5193" xr:uid="{00000000-0005-0000-0000-000036090000}"/>
    <cellStyle name="쉼표 [0] 10 3" xfId="2372" xr:uid="{00000000-0005-0000-0000-000037090000}"/>
    <cellStyle name="쉼표 [0] 10 3 2" xfId="4639" xr:uid="{00000000-0005-0000-0000-000037090000}"/>
    <cellStyle name="쉼표 [0] 10 3 2 2" xfId="5737" xr:uid="{00000000-0005-0000-0000-000037090000}"/>
    <cellStyle name="쉼표 [0] 10 3 3" xfId="5194" xr:uid="{00000000-0005-0000-0000-000037090000}"/>
    <cellStyle name="쉼표 [0] 10 4" xfId="2373" xr:uid="{00000000-0005-0000-0000-000038090000}"/>
    <cellStyle name="쉼표 [0] 10 4 2" xfId="4640" xr:uid="{00000000-0005-0000-0000-000038090000}"/>
    <cellStyle name="쉼표 [0] 10 4 2 2" xfId="5738" xr:uid="{00000000-0005-0000-0000-000038090000}"/>
    <cellStyle name="쉼표 [0] 10 4 3" xfId="5195" xr:uid="{00000000-0005-0000-0000-000038090000}"/>
    <cellStyle name="쉼표 [0] 10 5" xfId="2374" xr:uid="{00000000-0005-0000-0000-000039090000}"/>
    <cellStyle name="쉼표 [0] 10 5 2" xfId="4641" xr:uid="{00000000-0005-0000-0000-000039090000}"/>
    <cellStyle name="쉼표 [0] 10 5 2 2" xfId="5739" xr:uid="{00000000-0005-0000-0000-000039090000}"/>
    <cellStyle name="쉼표 [0] 10 5 3" xfId="5196" xr:uid="{00000000-0005-0000-0000-000039090000}"/>
    <cellStyle name="쉼표 [0] 10 6" xfId="4637" xr:uid="{00000000-0005-0000-0000-000035090000}"/>
    <cellStyle name="쉼표 [0] 10 6 2" xfId="5735" xr:uid="{00000000-0005-0000-0000-000035090000}"/>
    <cellStyle name="쉼표 [0] 10 7" xfId="5192" xr:uid="{00000000-0005-0000-0000-000035090000}"/>
    <cellStyle name="쉼표 [0] 11" xfId="2375" xr:uid="{00000000-0005-0000-0000-00003A090000}"/>
    <cellStyle name="쉼표 [0] 11 2" xfId="4642" xr:uid="{00000000-0005-0000-0000-00003A090000}"/>
    <cellStyle name="쉼표 [0] 11 2 2" xfId="5740" xr:uid="{00000000-0005-0000-0000-00003A090000}"/>
    <cellStyle name="쉼표 [0] 11 3" xfId="5197" xr:uid="{00000000-0005-0000-0000-00003A090000}"/>
    <cellStyle name="쉼표 [0] 2" xfId="2376" xr:uid="{00000000-0005-0000-0000-00003B090000}"/>
    <cellStyle name="쉼표 [0] 2 10" xfId="2377" xr:uid="{00000000-0005-0000-0000-00003C090000}"/>
    <cellStyle name="쉼표 [0] 2 10 2" xfId="2378" xr:uid="{00000000-0005-0000-0000-00003D090000}"/>
    <cellStyle name="쉼표 [0] 2 10 2 2" xfId="4645" xr:uid="{00000000-0005-0000-0000-00003D090000}"/>
    <cellStyle name="쉼표 [0] 2 10 2 2 2" xfId="5743" xr:uid="{00000000-0005-0000-0000-00003D090000}"/>
    <cellStyle name="쉼표 [0] 2 10 2 3" xfId="5200" xr:uid="{00000000-0005-0000-0000-00003D090000}"/>
    <cellStyle name="쉼표 [0] 2 10 3" xfId="2379" xr:uid="{00000000-0005-0000-0000-00003E090000}"/>
    <cellStyle name="쉼표 [0] 2 10 3 2" xfId="4646" xr:uid="{00000000-0005-0000-0000-00003E090000}"/>
    <cellStyle name="쉼표 [0] 2 10 3 2 2" xfId="5744" xr:uid="{00000000-0005-0000-0000-00003E090000}"/>
    <cellStyle name="쉼표 [0] 2 10 3 3" xfId="5201" xr:uid="{00000000-0005-0000-0000-00003E090000}"/>
    <cellStyle name="쉼표 [0] 2 10 4" xfId="2380" xr:uid="{00000000-0005-0000-0000-00003F090000}"/>
    <cellStyle name="쉼표 [0] 2 10 4 2" xfId="4647" xr:uid="{00000000-0005-0000-0000-00003F090000}"/>
    <cellStyle name="쉼표 [0] 2 10 4 2 2" xfId="5745" xr:uid="{00000000-0005-0000-0000-00003F090000}"/>
    <cellStyle name="쉼표 [0] 2 10 4 3" xfId="5202" xr:uid="{00000000-0005-0000-0000-00003F090000}"/>
    <cellStyle name="쉼표 [0] 2 10 5" xfId="2381" xr:uid="{00000000-0005-0000-0000-000040090000}"/>
    <cellStyle name="쉼표 [0] 2 10 5 2" xfId="4648" xr:uid="{00000000-0005-0000-0000-000040090000}"/>
    <cellStyle name="쉼표 [0] 2 10 5 2 2" xfId="5746" xr:uid="{00000000-0005-0000-0000-000040090000}"/>
    <cellStyle name="쉼표 [0] 2 10 5 3" xfId="5203" xr:uid="{00000000-0005-0000-0000-000040090000}"/>
    <cellStyle name="쉼표 [0] 2 10 6" xfId="4644" xr:uid="{00000000-0005-0000-0000-00003C090000}"/>
    <cellStyle name="쉼표 [0] 2 10 6 2" xfId="5742" xr:uid="{00000000-0005-0000-0000-00003C090000}"/>
    <cellStyle name="쉼표 [0] 2 10 7" xfId="5199" xr:uid="{00000000-0005-0000-0000-00003C090000}"/>
    <cellStyle name="쉼표 [0] 2 11" xfId="2382" xr:uid="{00000000-0005-0000-0000-000041090000}"/>
    <cellStyle name="쉼표 [0] 2 11 2" xfId="2383" xr:uid="{00000000-0005-0000-0000-000042090000}"/>
    <cellStyle name="쉼표 [0] 2 11 2 2" xfId="4650" xr:uid="{00000000-0005-0000-0000-000042090000}"/>
    <cellStyle name="쉼표 [0] 2 11 2 2 2" xfId="5748" xr:uid="{00000000-0005-0000-0000-000042090000}"/>
    <cellStyle name="쉼표 [0] 2 11 2 3" xfId="5205" xr:uid="{00000000-0005-0000-0000-000042090000}"/>
    <cellStyle name="쉼표 [0] 2 11 3" xfId="2384" xr:uid="{00000000-0005-0000-0000-000043090000}"/>
    <cellStyle name="쉼표 [0] 2 11 3 2" xfId="4651" xr:uid="{00000000-0005-0000-0000-000043090000}"/>
    <cellStyle name="쉼표 [0] 2 11 3 2 2" xfId="5749" xr:uid="{00000000-0005-0000-0000-000043090000}"/>
    <cellStyle name="쉼표 [0] 2 11 3 3" xfId="5206" xr:uid="{00000000-0005-0000-0000-000043090000}"/>
    <cellStyle name="쉼표 [0] 2 11 4" xfId="2385" xr:uid="{00000000-0005-0000-0000-000044090000}"/>
    <cellStyle name="쉼표 [0] 2 11 4 2" xfId="4652" xr:uid="{00000000-0005-0000-0000-000044090000}"/>
    <cellStyle name="쉼표 [0] 2 11 4 2 2" xfId="5750" xr:uid="{00000000-0005-0000-0000-000044090000}"/>
    <cellStyle name="쉼표 [0] 2 11 4 3" xfId="5207" xr:uid="{00000000-0005-0000-0000-000044090000}"/>
    <cellStyle name="쉼표 [0] 2 11 5" xfId="2386" xr:uid="{00000000-0005-0000-0000-000045090000}"/>
    <cellStyle name="쉼표 [0] 2 11 5 2" xfId="4653" xr:uid="{00000000-0005-0000-0000-000045090000}"/>
    <cellStyle name="쉼표 [0] 2 11 5 2 2" xfId="5751" xr:uid="{00000000-0005-0000-0000-000045090000}"/>
    <cellStyle name="쉼표 [0] 2 11 5 3" xfId="5208" xr:uid="{00000000-0005-0000-0000-000045090000}"/>
    <cellStyle name="쉼표 [0] 2 11 6" xfId="4649" xr:uid="{00000000-0005-0000-0000-000041090000}"/>
    <cellStyle name="쉼표 [0] 2 11 6 2" xfId="5747" xr:uid="{00000000-0005-0000-0000-000041090000}"/>
    <cellStyle name="쉼표 [0] 2 11 7" xfId="5204" xr:uid="{00000000-0005-0000-0000-000041090000}"/>
    <cellStyle name="쉼표 [0] 2 12" xfId="2387" xr:uid="{00000000-0005-0000-0000-000046090000}"/>
    <cellStyle name="쉼표 [0] 2 12 2" xfId="2388" xr:uid="{00000000-0005-0000-0000-000047090000}"/>
    <cellStyle name="쉼표 [0] 2 12 2 2" xfId="4655" xr:uid="{00000000-0005-0000-0000-000047090000}"/>
    <cellStyle name="쉼표 [0] 2 12 2 2 2" xfId="5753" xr:uid="{00000000-0005-0000-0000-000047090000}"/>
    <cellStyle name="쉼표 [0] 2 12 2 3" xfId="5210" xr:uid="{00000000-0005-0000-0000-000047090000}"/>
    <cellStyle name="쉼표 [0] 2 12 3" xfId="2389" xr:uid="{00000000-0005-0000-0000-000048090000}"/>
    <cellStyle name="쉼표 [0] 2 12 3 2" xfId="4656" xr:uid="{00000000-0005-0000-0000-000048090000}"/>
    <cellStyle name="쉼표 [0] 2 12 3 2 2" xfId="5754" xr:uid="{00000000-0005-0000-0000-000048090000}"/>
    <cellStyle name="쉼표 [0] 2 12 3 3" xfId="5211" xr:uid="{00000000-0005-0000-0000-000048090000}"/>
    <cellStyle name="쉼표 [0] 2 12 4" xfId="2390" xr:uid="{00000000-0005-0000-0000-000049090000}"/>
    <cellStyle name="쉼표 [0] 2 12 4 2" xfId="4657" xr:uid="{00000000-0005-0000-0000-000049090000}"/>
    <cellStyle name="쉼표 [0] 2 12 4 2 2" xfId="5755" xr:uid="{00000000-0005-0000-0000-000049090000}"/>
    <cellStyle name="쉼표 [0] 2 12 4 3" xfId="5212" xr:uid="{00000000-0005-0000-0000-000049090000}"/>
    <cellStyle name="쉼표 [0] 2 12 5" xfId="2391" xr:uid="{00000000-0005-0000-0000-00004A090000}"/>
    <cellStyle name="쉼표 [0] 2 12 5 2" xfId="4658" xr:uid="{00000000-0005-0000-0000-00004A090000}"/>
    <cellStyle name="쉼표 [0] 2 12 5 2 2" xfId="5756" xr:uid="{00000000-0005-0000-0000-00004A090000}"/>
    <cellStyle name="쉼표 [0] 2 12 5 3" xfId="5213" xr:uid="{00000000-0005-0000-0000-00004A090000}"/>
    <cellStyle name="쉼표 [0] 2 12 6" xfId="4654" xr:uid="{00000000-0005-0000-0000-000046090000}"/>
    <cellStyle name="쉼표 [0] 2 12 6 2" xfId="5752" xr:uid="{00000000-0005-0000-0000-000046090000}"/>
    <cellStyle name="쉼표 [0] 2 12 7" xfId="5209" xr:uid="{00000000-0005-0000-0000-000046090000}"/>
    <cellStyle name="쉼표 [0] 2 13" xfId="2392" xr:uid="{00000000-0005-0000-0000-00004B090000}"/>
    <cellStyle name="쉼표 [0] 2 13 2" xfId="2393" xr:uid="{00000000-0005-0000-0000-00004C090000}"/>
    <cellStyle name="쉼표 [0] 2 13 2 2" xfId="4660" xr:uid="{00000000-0005-0000-0000-00004C090000}"/>
    <cellStyle name="쉼표 [0] 2 13 2 2 2" xfId="5758" xr:uid="{00000000-0005-0000-0000-00004C090000}"/>
    <cellStyle name="쉼표 [0] 2 13 2 3" xfId="5215" xr:uid="{00000000-0005-0000-0000-00004C090000}"/>
    <cellStyle name="쉼표 [0] 2 13 3" xfId="2394" xr:uid="{00000000-0005-0000-0000-00004D090000}"/>
    <cellStyle name="쉼표 [0] 2 13 3 2" xfId="4661" xr:uid="{00000000-0005-0000-0000-00004D090000}"/>
    <cellStyle name="쉼표 [0] 2 13 3 2 2" xfId="5759" xr:uid="{00000000-0005-0000-0000-00004D090000}"/>
    <cellStyle name="쉼표 [0] 2 13 3 3" xfId="5216" xr:uid="{00000000-0005-0000-0000-00004D090000}"/>
    <cellStyle name="쉼표 [0] 2 13 4" xfId="2395" xr:uid="{00000000-0005-0000-0000-00004E090000}"/>
    <cellStyle name="쉼표 [0] 2 13 4 2" xfId="4662" xr:uid="{00000000-0005-0000-0000-00004E090000}"/>
    <cellStyle name="쉼표 [0] 2 13 4 2 2" xfId="5760" xr:uid="{00000000-0005-0000-0000-00004E090000}"/>
    <cellStyle name="쉼표 [0] 2 13 4 3" xfId="5217" xr:uid="{00000000-0005-0000-0000-00004E090000}"/>
    <cellStyle name="쉼표 [0] 2 13 5" xfId="2396" xr:uid="{00000000-0005-0000-0000-00004F090000}"/>
    <cellStyle name="쉼표 [0] 2 13 5 2" xfId="4663" xr:uid="{00000000-0005-0000-0000-00004F090000}"/>
    <cellStyle name="쉼표 [0] 2 13 5 2 2" xfId="5761" xr:uid="{00000000-0005-0000-0000-00004F090000}"/>
    <cellStyle name="쉼표 [0] 2 13 5 3" xfId="5218" xr:uid="{00000000-0005-0000-0000-00004F090000}"/>
    <cellStyle name="쉼표 [0] 2 13 6" xfId="4659" xr:uid="{00000000-0005-0000-0000-00004B090000}"/>
    <cellStyle name="쉼표 [0] 2 13 6 2" xfId="5757" xr:uid="{00000000-0005-0000-0000-00004B090000}"/>
    <cellStyle name="쉼표 [0] 2 13 7" xfId="5214" xr:uid="{00000000-0005-0000-0000-00004B090000}"/>
    <cellStyle name="쉼표 [0] 2 14" xfId="2397" xr:uid="{00000000-0005-0000-0000-000050090000}"/>
    <cellStyle name="쉼표 [0] 2 14 2" xfId="4664" xr:uid="{00000000-0005-0000-0000-000050090000}"/>
    <cellStyle name="쉼표 [0] 2 14 2 2" xfId="5762" xr:uid="{00000000-0005-0000-0000-000050090000}"/>
    <cellStyle name="쉼표 [0] 2 14 3" xfId="5219" xr:uid="{00000000-0005-0000-0000-000050090000}"/>
    <cellStyle name="쉼표 [0] 2 15" xfId="2398" xr:uid="{00000000-0005-0000-0000-000051090000}"/>
    <cellStyle name="쉼표 [0] 2 15 2" xfId="4665" xr:uid="{00000000-0005-0000-0000-000051090000}"/>
    <cellStyle name="쉼표 [0] 2 15 2 2" xfId="5763" xr:uid="{00000000-0005-0000-0000-000051090000}"/>
    <cellStyle name="쉼표 [0] 2 15 3" xfId="5220" xr:uid="{00000000-0005-0000-0000-000051090000}"/>
    <cellStyle name="쉼표 [0] 2 16" xfId="2399" xr:uid="{00000000-0005-0000-0000-000052090000}"/>
    <cellStyle name="쉼표 [0] 2 16 2" xfId="4666" xr:uid="{00000000-0005-0000-0000-000052090000}"/>
    <cellStyle name="쉼표 [0] 2 16 2 2" xfId="5764" xr:uid="{00000000-0005-0000-0000-000052090000}"/>
    <cellStyle name="쉼표 [0] 2 16 3" xfId="5221" xr:uid="{00000000-0005-0000-0000-000052090000}"/>
    <cellStyle name="쉼표 [0] 2 17" xfId="2400" xr:uid="{00000000-0005-0000-0000-000053090000}"/>
    <cellStyle name="쉼표 [0] 2 17 2" xfId="4667" xr:uid="{00000000-0005-0000-0000-000053090000}"/>
    <cellStyle name="쉼표 [0] 2 17 2 2" xfId="5765" xr:uid="{00000000-0005-0000-0000-000053090000}"/>
    <cellStyle name="쉼표 [0] 2 17 3" xfId="5222" xr:uid="{00000000-0005-0000-0000-000053090000}"/>
    <cellStyle name="쉼표 [0] 2 18" xfId="4643" xr:uid="{00000000-0005-0000-0000-00003B090000}"/>
    <cellStyle name="쉼표 [0] 2 18 2" xfId="5741" xr:uid="{00000000-0005-0000-0000-00003B090000}"/>
    <cellStyle name="쉼표 [0] 2 19" xfId="5198" xr:uid="{00000000-0005-0000-0000-00003B090000}"/>
    <cellStyle name="쉼표 [0] 2 2" xfId="2401" xr:uid="{00000000-0005-0000-0000-000054090000}"/>
    <cellStyle name="쉼표 [0] 2 2 2" xfId="2402" xr:uid="{00000000-0005-0000-0000-000055090000}"/>
    <cellStyle name="쉼표 [0] 2 2 2 2" xfId="4669" xr:uid="{00000000-0005-0000-0000-000055090000}"/>
    <cellStyle name="쉼표 [0] 2 2 2 2 2" xfId="5767" xr:uid="{00000000-0005-0000-0000-000055090000}"/>
    <cellStyle name="쉼표 [0] 2 2 2 3" xfId="5224" xr:uid="{00000000-0005-0000-0000-000055090000}"/>
    <cellStyle name="쉼표 [0] 2 2 3" xfId="2403" xr:uid="{00000000-0005-0000-0000-000056090000}"/>
    <cellStyle name="쉼표 [0] 2 2 3 2" xfId="4670" xr:uid="{00000000-0005-0000-0000-000056090000}"/>
    <cellStyle name="쉼표 [0] 2 2 3 2 2" xfId="5768" xr:uid="{00000000-0005-0000-0000-000056090000}"/>
    <cellStyle name="쉼표 [0] 2 2 3 3" xfId="5225" xr:uid="{00000000-0005-0000-0000-000056090000}"/>
    <cellStyle name="쉼표 [0] 2 2 4" xfId="2404" xr:uid="{00000000-0005-0000-0000-000057090000}"/>
    <cellStyle name="쉼표 [0] 2 2 4 2" xfId="4671" xr:uid="{00000000-0005-0000-0000-000057090000}"/>
    <cellStyle name="쉼표 [0] 2 2 4 2 2" xfId="5769" xr:uid="{00000000-0005-0000-0000-000057090000}"/>
    <cellStyle name="쉼표 [0] 2 2 4 3" xfId="5226" xr:uid="{00000000-0005-0000-0000-000057090000}"/>
    <cellStyle name="쉼표 [0] 2 2 5" xfId="2405" xr:uid="{00000000-0005-0000-0000-000058090000}"/>
    <cellStyle name="쉼표 [0] 2 2 5 2" xfId="4672" xr:uid="{00000000-0005-0000-0000-000058090000}"/>
    <cellStyle name="쉼표 [0] 2 2 5 2 2" xfId="5770" xr:uid="{00000000-0005-0000-0000-000058090000}"/>
    <cellStyle name="쉼표 [0] 2 2 5 3" xfId="5227" xr:uid="{00000000-0005-0000-0000-000058090000}"/>
    <cellStyle name="쉼표 [0] 2 2 6" xfId="4668" xr:uid="{00000000-0005-0000-0000-000054090000}"/>
    <cellStyle name="쉼표 [0] 2 2 6 2" xfId="5766" xr:uid="{00000000-0005-0000-0000-000054090000}"/>
    <cellStyle name="쉼표 [0] 2 2 7" xfId="5223" xr:uid="{00000000-0005-0000-0000-000054090000}"/>
    <cellStyle name="쉼표 [0] 2 3" xfId="2406" xr:uid="{00000000-0005-0000-0000-000059090000}"/>
    <cellStyle name="쉼표 [0] 2 3 2" xfId="2407" xr:uid="{00000000-0005-0000-0000-00005A090000}"/>
    <cellStyle name="쉼표 [0] 2 3 2 2" xfId="4674" xr:uid="{00000000-0005-0000-0000-00005A090000}"/>
    <cellStyle name="쉼표 [0] 2 3 2 2 2" xfId="5772" xr:uid="{00000000-0005-0000-0000-00005A090000}"/>
    <cellStyle name="쉼표 [0] 2 3 2 3" xfId="5229" xr:uid="{00000000-0005-0000-0000-00005A090000}"/>
    <cellStyle name="쉼표 [0] 2 3 3" xfId="2408" xr:uid="{00000000-0005-0000-0000-00005B090000}"/>
    <cellStyle name="쉼표 [0] 2 3 3 2" xfId="4675" xr:uid="{00000000-0005-0000-0000-00005B090000}"/>
    <cellStyle name="쉼표 [0] 2 3 3 2 2" xfId="5773" xr:uid="{00000000-0005-0000-0000-00005B090000}"/>
    <cellStyle name="쉼표 [0] 2 3 3 3" xfId="5230" xr:uid="{00000000-0005-0000-0000-00005B090000}"/>
    <cellStyle name="쉼표 [0] 2 3 4" xfId="2409" xr:uid="{00000000-0005-0000-0000-00005C090000}"/>
    <cellStyle name="쉼표 [0] 2 3 4 2" xfId="4676" xr:uid="{00000000-0005-0000-0000-00005C090000}"/>
    <cellStyle name="쉼표 [0] 2 3 4 2 2" xfId="5774" xr:uid="{00000000-0005-0000-0000-00005C090000}"/>
    <cellStyle name="쉼표 [0] 2 3 4 3" xfId="5231" xr:uid="{00000000-0005-0000-0000-00005C090000}"/>
    <cellStyle name="쉼표 [0] 2 3 5" xfId="2410" xr:uid="{00000000-0005-0000-0000-00005D090000}"/>
    <cellStyle name="쉼표 [0] 2 3 5 2" xfId="4677" xr:uid="{00000000-0005-0000-0000-00005D090000}"/>
    <cellStyle name="쉼표 [0] 2 3 5 2 2" xfId="5775" xr:uid="{00000000-0005-0000-0000-00005D090000}"/>
    <cellStyle name="쉼표 [0] 2 3 5 3" xfId="5232" xr:uid="{00000000-0005-0000-0000-00005D090000}"/>
    <cellStyle name="쉼표 [0] 2 3 6" xfId="4673" xr:uid="{00000000-0005-0000-0000-000059090000}"/>
    <cellStyle name="쉼표 [0] 2 3 6 2" xfId="5771" xr:uid="{00000000-0005-0000-0000-000059090000}"/>
    <cellStyle name="쉼표 [0] 2 3 7" xfId="5228" xr:uid="{00000000-0005-0000-0000-000059090000}"/>
    <cellStyle name="쉼표 [0] 2 4" xfId="2411" xr:uid="{00000000-0005-0000-0000-00005E090000}"/>
    <cellStyle name="쉼표 [0] 2 4 2" xfId="2412" xr:uid="{00000000-0005-0000-0000-00005F090000}"/>
    <cellStyle name="쉼표 [0] 2 4 2 2" xfId="4679" xr:uid="{00000000-0005-0000-0000-00005F090000}"/>
    <cellStyle name="쉼표 [0] 2 4 2 2 2" xfId="5777" xr:uid="{00000000-0005-0000-0000-00005F090000}"/>
    <cellStyle name="쉼표 [0] 2 4 2 3" xfId="5234" xr:uid="{00000000-0005-0000-0000-00005F090000}"/>
    <cellStyle name="쉼표 [0] 2 4 3" xfId="2413" xr:uid="{00000000-0005-0000-0000-000060090000}"/>
    <cellStyle name="쉼표 [0] 2 4 3 2" xfId="4680" xr:uid="{00000000-0005-0000-0000-000060090000}"/>
    <cellStyle name="쉼표 [0] 2 4 3 2 2" xfId="5778" xr:uid="{00000000-0005-0000-0000-000060090000}"/>
    <cellStyle name="쉼표 [0] 2 4 3 3" xfId="5235" xr:uid="{00000000-0005-0000-0000-000060090000}"/>
    <cellStyle name="쉼표 [0] 2 4 4" xfId="2414" xr:uid="{00000000-0005-0000-0000-000061090000}"/>
    <cellStyle name="쉼표 [0] 2 4 4 2" xfId="4681" xr:uid="{00000000-0005-0000-0000-000061090000}"/>
    <cellStyle name="쉼표 [0] 2 4 4 2 2" xfId="5779" xr:uid="{00000000-0005-0000-0000-000061090000}"/>
    <cellStyle name="쉼표 [0] 2 4 4 3" xfId="5236" xr:uid="{00000000-0005-0000-0000-000061090000}"/>
    <cellStyle name="쉼표 [0] 2 4 5" xfId="2415" xr:uid="{00000000-0005-0000-0000-000062090000}"/>
    <cellStyle name="쉼표 [0] 2 4 5 2" xfId="4682" xr:uid="{00000000-0005-0000-0000-000062090000}"/>
    <cellStyle name="쉼표 [0] 2 4 5 2 2" xfId="5780" xr:uid="{00000000-0005-0000-0000-000062090000}"/>
    <cellStyle name="쉼표 [0] 2 4 5 3" xfId="5237" xr:uid="{00000000-0005-0000-0000-000062090000}"/>
    <cellStyle name="쉼표 [0] 2 4 6" xfId="4678" xr:uid="{00000000-0005-0000-0000-00005E090000}"/>
    <cellStyle name="쉼표 [0] 2 4 6 2" xfId="5776" xr:uid="{00000000-0005-0000-0000-00005E090000}"/>
    <cellStyle name="쉼표 [0] 2 4 7" xfId="5233" xr:uid="{00000000-0005-0000-0000-00005E090000}"/>
    <cellStyle name="쉼표 [0] 2 5" xfId="2416" xr:uid="{00000000-0005-0000-0000-000063090000}"/>
    <cellStyle name="쉼표 [0] 2 5 2" xfId="2417" xr:uid="{00000000-0005-0000-0000-000064090000}"/>
    <cellStyle name="쉼표 [0] 2 5 2 2" xfId="4684" xr:uid="{00000000-0005-0000-0000-000064090000}"/>
    <cellStyle name="쉼표 [0] 2 5 2 2 2" xfId="5782" xr:uid="{00000000-0005-0000-0000-000064090000}"/>
    <cellStyle name="쉼표 [0] 2 5 2 3" xfId="5239" xr:uid="{00000000-0005-0000-0000-000064090000}"/>
    <cellStyle name="쉼표 [0] 2 5 3" xfId="2418" xr:uid="{00000000-0005-0000-0000-000065090000}"/>
    <cellStyle name="쉼표 [0] 2 5 3 2" xfId="4685" xr:uid="{00000000-0005-0000-0000-000065090000}"/>
    <cellStyle name="쉼표 [0] 2 5 3 2 2" xfId="5783" xr:uid="{00000000-0005-0000-0000-000065090000}"/>
    <cellStyle name="쉼표 [0] 2 5 3 3" xfId="5240" xr:uid="{00000000-0005-0000-0000-000065090000}"/>
    <cellStyle name="쉼표 [0] 2 5 4" xfId="2419" xr:uid="{00000000-0005-0000-0000-000066090000}"/>
    <cellStyle name="쉼표 [0] 2 5 4 2" xfId="4686" xr:uid="{00000000-0005-0000-0000-000066090000}"/>
    <cellStyle name="쉼표 [0] 2 5 4 2 2" xfId="5784" xr:uid="{00000000-0005-0000-0000-000066090000}"/>
    <cellStyle name="쉼표 [0] 2 5 4 3" xfId="5241" xr:uid="{00000000-0005-0000-0000-000066090000}"/>
    <cellStyle name="쉼표 [0] 2 5 5" xfId="2420" xr:uid="{00000000-0005-0000-0000-000067090000}"/>
    <cellStyle name="쉼표 [0] 2 5 5 2" xfId="4687" xr:uid="{00000000-0005-0000-0000-000067090000}"/>
    <cellStyle name="쉼표 [0] 2 5 5 2 2" xfId="5785" xr:uid="{00000000-0005-0000-0000-000067090000}"/>
    <cellStyle name="쉼표 [0] 2 5 5 3" xfId="5242" xr:uid="{00000000-0005-0000-0000-000067090000}"/>
    <cellStyle name="쉼표 [0] 2 5 6" xfId="4683" xr:uid="{00000000-0005-0000-0000-000063090000}"/>
    <cellStyle name="쉼표 [0] 2 5 6 2" xfId="5781" xr:uid="{00000000-0005-0000-0000-000063090000}"/>
    <cellStyle name="쉼표 [0] 2 5 7" xfId="5238" xr:uid="{00000000-0005-0000-0000-000063090000}"/>
    <cellStyle name="쉼표 [0] 2 6" xfId="2421" xr:uid="{00000000-0005-0000-0000-000068090000}"/>
    <cellStyle name="쉼표 [0] 2 6 2" xfId="2422" xr:uid="{00000000-0005-0000-0000-000069090000}"/>
    <cellStyle name="쉼표 [0] 2 6 2 2" xfId="4689" xr:uid="{00000000-0005-0000-0000-000069090000}"/>
    <cellStyle name="쉼표 [0] 2 6 2 2 2" xfId="5787" xr:uid="{00000000-0005-0000-0000-000069090000}"/>
    <cellStyle name="쉼표 [0] 2 6 2 3" xfId="5244" xr:uid="{00000000-0005-0000-0000-000069090000}"/>
    <cellStyle name="쉼표 [0] 2 6 3" xfId="2423" xr:uid="{00000000-0005-0000-0000-00006A090000}"/>
    <cellStyle name="쉼표 [0] 2 6 3 2" xfId="4690" xr:uid="{00000000-0005-0000-0000-00006A090000}"/>
    <cellStyle name="쉼표 [0] 2 6 3 2 2" xfId="5788" xr:uid="{00000000-0005-0000-0000-00006A090000}"/>
    <cellStyle name="쉼표 [0] 2 6 3 3" xfId="5245" xr:uid="{00000000-0005-0000-0000-00006A090000}"/>
    <cellStyle name="쉼표 [0] 2 6 4" xfId="2424" xr:uid="{00000000-0005-0000-0000-00006B090000}"/>
    <cellStyle name="쉼표 [0] 2 6 4 2" xfId="4691" xr:uid="{00000000-0005-0000-0000-00006B090000}"/>
    <cellStyle name="쉼표 [0] 2 6 4 2 2" xfId="5789" xr:uid="{00000000-0005-0000-0000-00006B090000}"/>
    <cellStyle name="쉼표 [0] 2 6 4 3" xfId="5246" xr:uid="{00000000-0005-0000-0000-00006B090000}"/>
    <cellStyle name="쉼표 [0] 2 6 5" xfId="2425" xr:uid="{00000000-0005-0000-0000-00006C090000}"/>
    <cellStyle name="쉼표 [0] 2 6 5 2" xfId="4692" xr:uid="{00000000-0005-0000-0000-00006C090000}"/>
    <cellStyle name="쉼표 [0] 2 6 5 2 2" xfId="5790" xr:uid="{00000000-0005-0000-0000-00006C090000}"/>
    <cellStyle name="쉼표 [0] 2 6 5 3" xfId="5247" xr:uid="{00000000-0005-0000-0000-00006C090000}"/>
    <cellStyle name="쉼표 [0] 2 6 6" xfId="4688" xr:uid="{00000000-0005-0000-0000-000068090000}"/>
    <cellStyle name="쉼표 [0] 2 6 6 2" xfId="5786" xr:uid="{00000000-0005-0000-0000-000068090000}"/>
    <cellStyle name="쉼표 [0] 2 6 7" xfId="5243" xr:uid="{00000000-0005-0000-0000-000068090000}"/>
    <cellStyle name="쉼표 [0] 2 7" xfId="2426" xr:uid="{00000000-0005-0000-0000-00006D090000}"/>
    <cellStyle name="쉼표 [0] 2 7 2" xfId="2427" xr:uid="{00000000-0005-0000-0000-00006E090000}"/>
    <cellStyle name="쉼표 [0] 2 7 2 2" xfId="4694" xr:uid="{00000000-0005-0000-0000-00006E090000}"/>
    <cellStyle name="쉼표 [0] 2 7 2 2 2" xfId="5792" xr:uid="{00000000-0005-0000-0000-00006E090000}"/>
    <cellStyle name="쉼표 [0] 2 7 2 3" xfId="5249" xr:uid="{00000000-0005-0000-0000-00006E090000}"/>
    <cellStyle name="쉼표 [0] 2 7 3" xfId="2428" xr:uid="{00000000-0005-0000-0000-00006F090000}"/>
    <cellStyle name="쉼표 [0] 2 7 3 2" xfId="4695" xr:uid="{00000000-0005-0000-0000-00006F090000}"/>
    <cellStyle name="쉼표 [0] 2 7 3 2 2" xfId="5793" xr:uid="{00000000-0005-0000-0000-00006F090000}"/>
    <cellStyle name="쉼표 [0] 2 7 3 3" xfId="5250" xr:uid="{00000000-0005-0000-0000-00006F090000}"/>
    <cellStyle name="쉼표 [0] 2 7 4" xfId="2429" xr:uid="{00000000-0005-0000-0000-000070090000}"/>
    <cellStyle name="쉼표 [0] 2 7 4 2" xfId="4696" xr:uid="{00000000-0005-0000-0000-000070090000}"/>
    <cellStyle name="쉼표 [0] 2 7 4 2 2" xfId="5794" xr:uid="{00000000-0005-0000-0000-000070090000}"/>
    <cellStyle name="쉼표 [0] 2 7 4 3" xfId="5251" xr:uid="{00000000-0005-0000-0000-000070090000}"/>
    <cellStyle name="쉼표 [0] 2 7 5" xfId="2430" xr:uid="{00000000-0005-0000-0000-000071090000}"/>
    <cellStyle name="쉼표 [0] 2 7 5 2" xfId="4697" xr:uid="{00000000-0005-0000-0000-000071090000}"/>
    <cellStyle name="쉼표 [0] 2 7 5 2 2" xfId="5795" xr:uid="{00000000-0005-0000-0000-000071090000}"/>
    <cellStyle name="쉼표 [0] 2 7 5 3" xfId="5252" xr:uid="{00000000-0005-0000-0000-000071090000}"/>
    <cellStyle name="쉼표 [0] 2 7 6" xfId="4693" xr:uid="{00000000-0005-0000-0000-00006D090000}"/>
    <cellStyle name="쉼표 [0] 2 7 6 2" xfId="5791" xr:uid="{00000000-0005-0000-0000-00006D090000}"/>
    <cellStyle name="쉼표 [0] 2 7 7" xfId="5248" xr:uid="{00000000-0005-0000-0000-00006D090000}"/>
    <cellStyle name="쉼표 [0] 2 8" xfId="2431" xr:uid="{00000000-0005-0000-0000-000072090000}"/>
    <cellStyle name="쉼표 [0] 2 8 2" xfId="2432" xr:uid="{00000000-0005-0000-0000-000073090000}"/>
    <cellStyle name="쉼표 [0] 2 8 2 2" xfId="4699" xr:uid="{00000000-0005-0000-0000-000073090000}"/>
    <cellStyle name="쉼표 [0] 2 8 2 2 2" xfId="5797" xr:uid="{00000000-0005-0000-0000-000073090000}"/>
    <cellStyle name="쉼표 [0] 2 8 2 3" xfId="5254" xr:uid="{00000000-0005-0000-0000-000073090000}"/>
    <cellStyle name="쉼표 [0] 2 8 3" xfId="2433" xr:uid="{00000000-0005-0000-0000-000074090000}"/>
    <cellStyle name="쉼표 [0] 2 8 3 2" xfId="4700" xr:uid="{00000000-0005-0000-0000-000074090000}"/>
    <cellStyle name="쉼표 [0] 2 8 3 2 2" xfId="5798" xr:uid="{00000000-0005-0000-0000-000074090000}"/>
    <cellStyle name="쉼표 [0] 2 8 3 3" xfId="5255" xr:uid="{00000000-0005-0000-0000-000074090000}"/>
    <cellStyle name="쉼표 [0] 2 8 4" xfId="2434" xr:uid="{00000000-0005-0000-0000-000075090000}"/>
    <cellStyle name="쉼표 [0] 2 8 4 2" xfId="4701" xr:uid="{00000000-0005-0000-0000-000075090000}"/>
    <cellStyle name="쉼표 [0] 2 8 4 2 2" xfId="5799" xr:uid="{00000000-0005-0000-0000-000075090000}"/>
    <cellStyle name="쉼표 [0] 2 8 4 3" xfId="5256" xr:uid="{00000000-0005-0000-0000-000075090000}"/>
    <cellStyle name="쉼표 [0] 2 8 5" xfId="2435" xr:uid="{00000000-0005-0000-0000-000076090000}"/>
    <cellStyle name="쉼표 [0] 2 8 5 2" xfId="4702" xr:uid="{00000000-0005-0000-0000-000076090000}"/>
    <cellStyle name="쉼표 [0] 2 8 5 2 2" xfId="5800" xr:uid="{00000000-0005-0000-0000-000076090000}"/>
    <cellStyle name="쉼표 [0] 2 8 5 3" xfId="5257" xr:uid="{00000000-0005-0000-0000-000076090000}"/>
    <cellStyle name="쉼표 [0] 2 8 6" xfId="4698" xr:uid="{00000000-0005-0000-0000-000072090000}"/>
    <cellStyle name="쉼표 [0] 2 8 6 2" xfId="5796" xr:uid="{00000000-0005-0000-0000-000072090000}"/>
    <cellStyle name="쉼표 [0] 2 8 7" xfId="5253" xr:uid="{00000000-0005-0000-0000-000072090000}"/>
    <cellStyle name="쉼표 [0] 2 9" xfId="2436" xr:uid="{00000000-0005-0000-0000-000077090000}"/>
    <cellStyle name="쉼표 [0] 2 9 2" xfId="2437" xr:uid="{00000000-0005-0000-0000-000078090000}"/>
    <cellStyle name="쉼표 [0] 2 9 2 2" xfId="4704" xr:uid="{00000000-0005-0000-0000-000078090000}"/>
    <cellStyle name="쉼표 [0] 2 9 2 2 2" xfId="5802" xr:uid="{00000000-0005-0000-0000-000078090000}"/>
    <cellStyle name="쉼표 [0] 2 9 2 3" xfId="5259" xr:uid="{00000000-0005-0000-0000-000078090000}"/>
    <cellStyle name="쉼표 [0] 2 9 3" xfId="2438" xr:uid="{00000000-0005-0000-0000-000079090000}"/>
    <cellStyle name="쉼표 [0] 2 9 3 2" xfId="4705" xr:uid="{00000000-0005-0000-0000-000079090000}"/>
    <cellStyle name="쉼표 [0] 2 9 3 2 2" xfId="5803" xr:uid="{00000000-0005-0000-0000-000079090000}"/>
    <cellStyle name="쉼표 [0] 2 9 3 3" xfId="5260" xr:uid="{00000000-0005-0000-0000-000079090000}"/>
    <cellStyle name="쉼표 [0] 2 9 4" xfId="2439" xr:uid="{00000000-0005-0000-0000-00007A090000}"/>
    <cellStyle name="쉼표 [0] 2 9 4 2" xfId="4706" xr:uid="{00000000-0005-0000-0000-00007A090000}"/>
    <cellStyle name="쉼표 [0] 2 9 4 2 2" xfId="5804" xr:uid="{00000000-0005-0000-0000-00007A090000}"/>
    <cellStyle name="쉼표 [0] 2 9 4 3" xfId="5261" xr:uid="{00000000-0005-0000-0000-00007A090000}"/>
    <cellStyle name="쉼표 [0] 2 9 5" xfId="2440" xr:uid="{00000000-0005-0000-0000-00007B090000}"/>
    <cellStyle name="쉼표 [0] 2 9 5 2" xfId="4707" xr:uid="{00000000-0005-0000-0000-00007B090000}"/>
    <cellStyle name="쉼표 [0] 2 9 5 2 2" xfId="5805" xr:uid="{00000000-0005-0000-0000-00007B090000}"/>
    <cellStyle name="쉼표 [0] 2 9 5 3" xfId="5262" xr:uid="{00000000-0005-0000-0000-00007B090000}"/>
    <cellStyle name="쉼표 [0] 2 9 6" xfId="4703" xr:uid="{00000000-0005-0000-0000-000077090000}"/>
    <cellStyle name="쉼표 [0] 2 9 6 2" xfId="5801" xr:uid="{00000000-0005-0000-0000-000077090000}"/>
    <cellStyle name="쉼표 [0] 2 9 7" xfId="5258" xr:uid="{00000000-0005-0000-0000-000077090000}"/>
    <cellStyle name="쉼표 [0] 3" xfId="2441" xr:uid="{00000000-0005-0000-0000-00007C090000}"/>
    <cellStyle name="쉼표 [0] 3 2" xfId="4708" xr:uid="{00000000-0005-0000-0000-00007C090000}"/>
    <cellStyle name="쉼표 [0] 3 2 2" xfId="5806" xr:uid="{00000000-0005-0000-0000-00007C090000}"/>
    <cellStyle name="쉼표 [0] 3 3" xfId="5263" xr:uid="{00000000-0005-0000-0000-00007C090000}"/>
    <cellStyle name="쉼표 [0] 4" xfId="2442" xr:uid="{00000000-0005-0000-0000-00007D090000}"/>
    <cellStyle name="쉼표 [0] 4 2" xfId="2443" xr:uid="{00000000-0005-0000-0000-00007E090000}"/>
    <cellStyle name="쉼표 [0] 4 3" xfId="2444" xr:uid="{00000000-0005-0000-0000-00007F090000}"/>
    <cellStyle name="쉼표 [0] 4 4" xfId="2445" xr:uid="{00000000-0005-0000-0000-000080090000}"/>
    <cellStyle name="쉼표 [0] 4 5" xfId="2446" xr:uid="{00000000-0005-0000-0000-000081090000}"/>
    <cellStyle name="쉼표 [0] 5" xfId="2447" xr:uid="{00000000-0005-0000-0000-000082090000}"/>
    <cellStyle name="쉼표 [0] 5 2" xfId="2448" xr:uid="{00000000-0005-0000-0000-000083090000}"/>
    <cellStyle name="쉼표 [0] 5 3" xfId="2449" xr:uid="{00000000-0005-0000-0000-000084090000}"/>
    <cellStyle name="쉼표 [0] 5 4" xfId="2450" xr:uid="{00000000-0005-0000-0000-000085090000}"/>
    <cellStyle name="쉼표 [0] 5 5" xfId="2451" xr:uid="{00000000-0005-0000-0000-000086090000}"/>
    <cellStyle name="쉼표 [0] 6" xfId="2452" xr:uid="{00000000-0005-0000-0000-000087090000}"/>
    <cellStyle name="쉼표 [0] 6 10" xfId="2453" xr:uid="{00000000-0005-0000-0000-000088090000}"/>
    <cellStyle name="쉼표 [0] 6 10 2" xfId="2454" xr:uid="{00000000-0005-0000-0000-000089090000}"/>
    <cellStyle name="쉼표 [0] 6 10 2 2" xfId="4711" xr:uid="{00000000-0005-0000-0000-000089090000}"/>
    <cellStyle name="쉼표 [0] 6 10 2 2 2" xfId="5809" xr:uid="{00000000-0005-0000-0000-000089090000}"/>
    <cellStyle name="쉼표 [0] 6 10 2 3" xfId="5266" xr:uid="{00000000-0005-0000-0000-000089090000}"/>
    <cellStyle name="쉼표 [0] 6 10 3" xfId="2455" xr:uid="{00000000-0005-0000-0000-00008A090000}"/>
    <cellStyle name="쉼표 [0] 6 10 3 2" xfId="4712" xr:uid="{00000000-0005-0000-0000-00008A090000}"/>
    <cellStyle name="쉼표 [0] 6 10 3 2 2" xfId="5810" xr:uid="{00000000-0005-0000-0000-00008A090000}"/>
    <cellStyle name="쉼표 [0] 6 10 3 3" xfId="5267" xr:uid="{00000000-0005-0000-0000-00008A090000}"/>
    <cellStyle name="쉼표 [0] 6 10 4" xfId="2456" xr:uid="{00000000-0005-0000-0000-00008B090000}"/>
    <cellStyle name="쉼표 [0] 6 10 4 2" xfId="4713" xr:uid="{00000000-0005-0000-0000-00008B090000}"/>
    <cellStyle name="쉼표 [0] 6 10 4 2 2" xfId="5811" xr:uid="{00000000-0005-0000-0000-00008B090000}"/>
    <cellStyle name="쉼표 [0] 6 10 4 3" xfId="5268" xr:uid="{00000000-0005-0000-0000-00008B090000}"/>
    <cellStyle name="쉼표 [0] 6 10 5" xfId="4710" xr:uid="{00000000-0005-0000-0000-000088090000}"/>
    <cellStyle name="쉼표 [0] 6 10 5 2" xfId="5808" xr:uid="{00000000-0005-0000-0000-000088090000}"/>
    <cellStyle name="쉼표 [0] 6 10 6" xfId="5265" xr:uid="{00000000-0005-0000-0000-000088090000}"/>
    <cellStyle name="쉼표 [0] 6 11" xfId="2457" xr:uid="{00000000-0005-0000-0000-00008C090000}"/>
    <cellStyle name="쉼표 [0] 6 11 2" xfId="4714" xr:uid="{00000000-0005-0000-0000-00008C090000}"/>
    <cellStyle name="쉼표 [0] 6 11 2 2" xfId="5812" xr:uid="{00000000-0005-0000-0000-00008C090000}"/>
    <cellStyle name="쉼표 [0] 6 11 3" xfId="5269" xr:uid="{00000000-0005-0000-0000-00008C090000}"/>
    <cellStyle name="쉼표 [0] 6 12" xfId="2458" xr:uid="{00000000-0005-0000-0000-00008D090000}"/>
    <cellStyle name="쉼표 [0] 6 12 2" xfId="4715" xr:uid="{00000000-0005-0000-0000-00008D090000}"/>
    <cellStyle name="쉼표 [0] 6 12 2 2" xfId="5813" xr:uid="{00000000-0005-0000-0000-00008D090000}"/>
    <cellStyle name="쉼표 [0] 6 12 3" xfId="5270" xr:uid="{00000000-0005-0000-0000-00008D090000}"/>
    <cellStyle name="쉼표 [0] 6 13" xfId="2459" xr:uid="{00000000-0005-0000-0000-00008E090000}"/>
    <cellStyle name="쉼표 [0] 6 13 2" xfId="4716" xr:uid="{00000000-0005-0000-0000-00008E090000}"/>
    <cellStyle name="쉼표 [0] 6 13 2 2" xfId="5814" xr:uid="{00000000-0005-0000-0000-00008E090000}"/>
    <cellStyle name="쉼표 [0] 6 13 3" xfId="5271" xr:uid="{00000000-0005-0000-0000-00008E090000}"/>
    <cellStyle name="쉼표 [0] 6 14" xfId="4709" xr:uid="{00000000-0005-0000-0000-000087090000}"/>
    <cellStyle name="쉼표 [0] 6 14 2" xfId="5807" xr:uid="{00000000-0005-0000-0000-000087090000}"/>
    <cellStyle name="쉼표 [0] 6 15" xfId="5264" xr:uid="{00000000-0005-0000-0000-000087090000}"/>
    <cellStyle name="쉼표 [0] 6 2" xfId="2460" xr:uid="{00000000-0005-0000-0000-00008F090000}"/>
    <cellStyle name="쉼표 [0] 6 2 2" xfId="2461" xr:uid="{00000000-0005-0000-0000-000090090000}"/>
    <cellStyle name="쉼표 [0] 6 2 2 2" xfId="4718" xr:uid="{00000000-0005-0000-0000-000090090000}"/>
    <cellStyle name="쉼표 [0] 6 2 2 2 2" xfId="5816" xr:uid="{00000000-0005-0000-0000-000090090000}"/>
    <cellStyle name="쉼표 [0] 6 2 2 3" xfId="5273" xr:uid="{00000000-0005-0000-0000-000090090000}"/>
    <cellStyle name="쉼표 [0] 6 2 3" xfId="2462" xr:uid="{00000000-0005-0000-0000-000091090000}"/>
    <cellStyle name="쉼표 [0] 6 2 3 2" xfId="4719" xr:uid="{00000000-0005-0000-0000-000091090000}"/>
    <cellStyle name="쉼표 [0] 6 2 3 2 2" xfId="5817" xr:uid="{00000000-0005-0000-0000-000091090000}"/>
    <cellStyle name="쉼표 [0] 6 2 3 3" xfId="5274" xr:uid="{00000000-0005-0000-0000-000091090000}"/>
    <cellStyle name="쉼표 [0] 6 2 4" xfId="2463" xr:uid="{00000000-0005-0000-0000-000092090000}"/>
    <cellStyle name="쉼표 [0] 6 2 4 2" xfId="4720" xr:uid="{00000000-0005-0000-0000-000092090000}"/>
    <cellStyle name="쉼표 [0] 6 2 4 2 2" xfId="5818" xr:uid="{00000000-0005-0000-0000-000092090000}"/>
    <cellStyle name="쉼표 [0] 6 2 4 3" xfId="5275" xr:uid="{00000000-0005-0000-0000-000092090000}"/>
    <cellStyle name="쉼표 [0] 6 2 5" xfId="4717" xr:uid="{00000000-0005-0000-0000-00008F090000}"/>
    <cellStyle name="쉼표 [0] 6 2 5 2" xfId="5815" xr:uid="{00000000-0005-0000-0000-00008F090000}"/>
    <cellStyle name="쉼표 [0] 6 2 6" xfId="5272" xr:uid="{00000000-0005-0000-0000-00008F090000}"/>
    <cellStyle name="쉼표 [0] 6 3" xfId="2464" xr:uid="{00000000-0005-0000-0000-000093090000}"/>
    <cellStyle name="쉼표 [0] 6 3 2" xfId="2465" xr:uid="{00000000-0005-0000-0000-000094090000}"/>
    <cellStyle name="쉼표 [0] 6 3 2 2" xfId="4722" xr:uid="{00000000-0005-0000-0000-000094090000}"/>
    <cellStyle name="쉼표 [0] 6 3 2 2 2" xfId="5820" xr:uid="{00000000-0005-0000-0000-000094090000}"/>
    <cellStyle name="쉼표 [0] 6 3 2 3" xfId="5277" xr:uid="{00000000-0005-0000-0000-000094090000}"/>
    <cellStyle name="쉼표 [0] 6 3 3" xfId="2466" xr:uid="{00000000-0005-0000-0000-000095090000}"/>
    <cellStyle name="쉼표 [0] 6 3 3 2" xfId="4723" xr:uid="{00000000-0005-0000-0000-000095090000}"/>
    <cellStyle name="쉼표 [0] 6 3 3 2 2" xfId="5821" xr:uid="{00000000-0005-0000-0000-000095090000}"/>
    <cellStyle name="쉼표 [0] 6 3 3 3" xfId="5278" xr:uid="{00000000-0005-0000-0000-000095090000}"/>
    <cellStyle name="쉼표 [0] 6 3 4" xfId="2467" xr:uid="{00000000-0005-0000-0000-000096090000}"/>
    <cellStyle name="쉼표 [0] 6 3 4 2" xfId="4724" xr:uid="{00000000-0005-0000-0000-000096090000}"/>
    <cellStyle name="쉼표 [0] 6 3 4 2 2" xfId="5822" xr:uid="{00000000-0005-0000-0000-000096090000}"/>
    <cellStyle name="쉼표 [0] 6 3 4 3" xfId="5279" xr:uid="{00000000-0005-0000-0000-000096090000}"/>
    <cellStyle name="쉼표 [0] 6 3 5" xfId="4721" xr:uid="{00000000-0005-0000-0000-000093090000}"/>
    <cellStyle name="쉼표 [0] 6 3 5 2" xfId="5819" xr:uid="{00000000-0005-0000-0000-000093090000}"/>
    <cellStyle name="쉼표 [0] 6 3 6" xfId="5276" xr:uid="{00000000-0005-0000-0000-000093090000}"/>
    <cellStyle name="쉼표 [0] 6 4" xfId="2468" xr:uid="{00000000-0005-0000-0000-000097090000}"/>
    <cellStyle name="쉼표 [0] 6 4 2" xfId="2469" xr:uid="{00000000-0005-0000-0000-000098090000}"/>
    <cellStyle name="쉼표 [0] 6 4 2 2" xfId="4726" xr:uid="{00000000-0005-0000-0000-000098090000}"/>
    <cellStyle name="쉼표 [0] 6 4 2 2 2" xfId="5824" xr:uid="{00000000-0005-0000-0000-000098090000}"/>
    <cellStyle name="쉼표 [0] 6 4 2 3" xfId="5281" xr:uid="{00000000-0005-0000-0000-000098090000}"/>
    <cellStyle name="쉼표 [0] 6 4 3" xfId="2470" xr:uid="{00000000-0005-0000-0000-000099090000}"/>
    <cellStyle name="쉼표 [0] 6 4 3 2" xfId="4727" xr:uid="{00000000-0005-0000-0000-000099090000}"/>
    <cellStyle name="쉼표 [0] 6 4 3 2 2" xfId="5825" xr:uid="{00000000-0005-0000-0000-000099090000}"/>
    <cellStyle name="쉼표 [0] 6 4 3 3" xfId="5282" xr:uid="{00000000-0005-0000-0000-000099090000}"/>
    <cellStyle name="쉼표 [0] 6 4 4" xfId="2471" xr:uid="{00000000-0005-0000-0000-00009A090000}"/>
    <cellStyle name="쉼표 [0] 6 4 4 2" xfId="4728" xr:uid="{00000000-0005-0000-0000-00009A090000}"/>
    <cellStyle name="쉼표 [0] 6 4 4 2 2" xfId="5826" xr:uid="{00000000-0005-0000-0000-00009A090000}"/>
    <cellStyle name="쉼표 [0] 6 4 4 3" xfId="5283" xr:uid="{00000000-0005-0000-0000-00009A090000}"/>
    <cellStyle name="쉼표 [0] 6 4 5" xfId="4725" xr:uid="{00000000-0005-0000-0000-000097090000}"/>
    <cellStyle name="쉼표 [0] 6 4 5 2" xfId="5823" xr:uid="{00000000-0005-0000-0000-000097090000}"/>
    <cellStyle name="쉼표 [0] 6 4 6" xfId="5280" xr:uid="{00000000-0005-0000-0000-000097090000}"/>
    <cellStyle name="쉼표 [0] 6 5" xfId="2472" xr:uid="{00000000-0005-0000-0000-00009B090000}"/>
    <cellStyle name="쉼표 [0] 6 5 2" xfId="2473" xr:uid="{00000000-0005-0000-0000-00009C090000}"/>
    <cellStyle name="쉼표 [0] 6 5 2 2" xfId="4730" xr:uid="{00000000-0005-0000-0000-00009C090000}"/>
    <cellStyle name="쉼표 [0] 6 5 2 2 2" xfId="5828" xr:uid="{00000000-0005-0000-0000-00009C090000}"/>
    <cellStyle name="쉼표 [0] 6 5 2 3" xfId="5285" xr:uid="{00000000-0005-0000-0000-00009C090000}"/>
    <cellStyle name="쉼표 [0] 6 5 3" xfId="2474" xr:uid="{00000000-0005-0000-0000-00009D090000}"/>
    <cellStyle name="쉼표 [0] 6 5 3 2" xfId="4731" xr:uid="{00000000-0005-0000-0000-00009D090000}"/>
    <cellStyle name="쉼표 [0] 6 5 3 2 2" xfId="5829" xr:uid="{00000000-0005-0000-0000-00009D090000}"/>
    <cellStyle name="쉼표 [0] 6 5 3 3" xfId="5286" xr:uid="{00000000-0005-0000-0000-00009D090000}"/>
    <cellStyle name="쉼표 [0] 6 5 4" xfId="2475" xr:uid="{00000000-0005-0000-0000-00009E090000}"/>
    <cellStyle name="쉼표 [0] 6 5 4 2" xfId="4732" xr:uid="{00000000-0005-0000-0000-00009E090000}"/>
    <cellStyle name="쉼표 [0] 6 5 4 2 2" xfId="5830" xr:uid="{00000000-0005-0000-0000-00009E090000}"/>
    <cellStyle name="쉼표 [0] 6 5 4 3" xfId="5287" xr:uid="{00000000-0005-0000-0000-00009E090000}"/>
    <cellStyle name="쉼표 [0] 6 5 5" xfId="4729" xr:uid="{00000000-0005-0000-0000-00009B090000}"/>
    <cellStyle name="쉼표 [0] 6 5 5 2" xfId="5827" xr:uid="{00000000-0005-0000-0000-00009B090000}"/>
    <cellStyle name="쉼표 [0] 6 5 6" xfId="5284" xr:uid="{00000000-0005-0000-0000-00009B090000}"/>
    <cellStyle name="쉼표 [0] 6 6" xfId="2476" xr:uid="{00000000-0005-0000-0000-00009F090000}"/>
    <cellStyle name="쉼표 [0] 6 6 2" xfId="2477" xr:uid="{00000000-0005-0000-0000-0000A0090000}"/>
    <cellStyle name="쉼표 [0] 6 6 2 2" xfId="4734" xr:uid="{00000000-0005-0000-0000-0000A0090000}"/>
    <cellStyle name="쉼표 [0] 6 6 2 2 2" xfId="5832" xr:uid="{00000000-0005-0000-0000-0000A0090000}"/>
    <cellStyle name="쉼표 [0] 6 6 2 3" xfId="5289" xr:uid="{00000000-0005-0000-0000-0000A0090000}"/>
    <cellStyle name="쉼표 [0] 6 6 3" xfId="2478" xr:uid="{00000000-0005-0000-0000-0000A1090000}"/>
    <cellStyle name="쉼표 [0] 6 6 3 2" xfId="4735" xr:uid="{00000000-0005-0000-0000-0000A1090000}"/>
    <cellStyle name="쉼표 [0] 6 6 3 2 2" xfId="5833" xr:uid="{00000000-0005-0000-0000-0000A1090000}"/>
    <cellStyle name="쉼표 [0] 6 6 3 3" xfId="5290" xr:uid="{00000000-0005-0000-0000-0000A1090000}"/>
    <cellStyle name="쉼표 [0] 6 6 4" xfId="2479" xr:uid="{00000000-0005-0000-0000-0000A2090000}"/>
    <cellStyle name="쉼표 [0] 6 6 4 2" xfId="4736" xr:uid="{00000000-0005-0000-0000-0000A2090000}"/>
    <cellStyle name="쉼표 [0] 6 6 4 2 2" xfId="5834" xr:uid="{00000000-0005-0000-0000-0000A2090000}"/>
    <cellStyle name="쉼표 [0] 6 6 4 3" xfId="5291" xr:uid="{00000000-0005-0000-0000-0000A2090000}"/>
    <cellStyle name="쉼표 [0] 6 6 5" xfId="4733" xr:uid="{00000000-0005-0000-0000-00009F090000}"/>
    <cellStyle name="쉼표 [0] 6 6 5 2" xfId="5831" xr:uid="{00000000-0005-0000-0000-00009F090000}"/>
    <cellStyle name="쉼표 [0] 6 6 6" xfId="5288" xr:uid="{00000000-0005-0000-0000-00009F090000}"/>
    <cellStyle name="쉼표 [0] 6 7" xfId="2480" xr:uid="{00000000-0005-0000-0000-0000A3090000}"/>
    <cellStyle name="쉼표 [0] 6 7 2" xfId="2481" xr:uid="{00000000-0005-0000-0000-0000A4090000}"/>
    <cellStyle name="쉼표 [0] 6 7 2 2" xfId="4738" xr:uid="{00000000-0005-0000-0000-0000A4090000}"/>
    <cellStyle name="쉼표 [0] 6 7 2 2 2" xfId="5836" xr:uid="{00000000-0005-0000-0000-0000A4090000}"/>
    <cellStyle name="쉼표 [0] 6 7 2 3" xfId="5293" xr:uid="{00000000-0005-0000-0000-0000A4090000}"/>
    <cellStyle name="쉼표 [0] 6 7 3" xfId="2482" xr:uid="{00000000-0005-0000-0000-0000A5090000}"/>
    <cellStyle name="쉼표 [0] 6 7 3 2" xfId="4739" xr:uid="{00000000-0005-0000-0000-0000A5090000}"/>
    <cellStyle name="쉼표 [0] 6 7 3 2 2" xfId="5837" xr:uid="{00000000-0005-0000-0000-0000A5090000}"/>
    <cellStyle name="쉼표 [0] 6 7 3 3" xfId="5294" xr:uid="{00000000-0005-0000-0000-0000A5090000}"/>
    <cellStyle name="쉼표 [0] 6 7 4" xfId="2483" xr:uid="{00000000-0005-0000-0000-0000A6090000}"/>
    <cellStyle name="쉼표 [0] 6 7 4 2" xfId="4740" xr:uid="{00000000-0005-0000-0000-0000A6090000}"/>
    <cellStyle name="쉼표 [0] 6 7 4 2 2" xfId="5838" xr:uid="{00000000-0005-0000-0000-0000A6090000}"/>
    <cellStyle name="쉼표 [0] 6 7 4 3" xfId="5295" xr:uid="{00000000-0005-0000-0000-0000A6090000}"/>
    <cellStyle name="쉼표 [0] 6 7 5" xfId="4737" xr:uid="{00000000-0005-0000-0000-0000A3090000}"/>
    <cellStyle name="쉼표 [0] 6 7 5 2" xfId="5835" xr:uid="{00000000-0005-0000-0000-0000A3090000}"/>
    <cellStyle name="쉼표 [0] 6 7 6" xfId="5292" xr:uid="{00000000-0005-0000-0000-0000A3090000}"/>
    <cellStyle name="쉼표 [0] 6 8" xfId="2484" xr:uid="{00000000-0005-0000-0000-0000A7090000}"/>
    <cellStyle name="쉼표 [0] 6 8 2" xfId="2485" xr:uid="{00000000-0005-0000-0000-0000A8090000}"/>
    <cellStyle name="쉼표 [0] 6 8 2 2" xfId="4742" xr:uid="{00000000-0005-0000-0000-0000A8090000}"/>
    <cellStyle name="쉼표 [0] 6 8 2 2 2" xfId="5840" xr:uid="{00000000-0005-0000-0000-0000A8090000}"/>
    <cellStyle name="쉼표 [0] 6 8 2 3" xfId="5297" xr:uid="{00000000-0005-0000-0000-0000A8090000}"/>
    <cellStyle name="쉼표 [0] 6 8 3" xfId="2486" xr:uid="{00000000-0005-0000-0000-0000A9090000}"/>
    <cellStyle name="쉼표 [0] 6 8 3 2" xfId="4743" xr:uid="{00000000-0005-0000-0000-0000A9090000}"/>
    <cellStyle name="쉼표 [0] 6 8 3 2 2" xfId="5841" xr:uid="{00000000-0005-0000-0000-0000A9090000}"/>
    <cellStyle name="쉼표 [0] 6 8 3 3" xfId="5298" xr:uid="{00000000-0005-0000-0000-0000A9090000}"/>
    <cellStyle name="쉼표 [0] 6 8 4" xfId="2487" xr:uid="{00000000-0005-0000-0000-0000AA090000}"/>
    <cellStyle name="쉼표 [0] 6 8 4 2" xfId="4744" xr:uid="{00000000-0005-0000-0000-0000AA090000}"/>
    <cellStyle name="쉼표 [0] 6 8 4 2 2" xfId="5842" xr:uid="{00000000-0005-0000-0000-0000AA090000}"/>
    <cellStyle name="쉼표 [0] 6 8 4 3" xfId="5299" xr:uid="{00000000-0005-0000-0000-0000AA090000}"/>
    <cellStyle name="쉼표 [0] 6 8 5" xfId="4741" xr:uid="{00000000-0005-0000-0000-0000A7090000}"/>
    <cellStyle name="쉼표 [0] 6 8 5 2" xfId="5839" xr:uid="{00000000-0005-0000-0000-0000A7090000}"/>
    <cellStyle name="쉼표 [0] 6 8 6" xfId="5296" xr:uid="{00000000-0005-0000-0000-0000A7090000}"/>
    <cellStyle name="쉼표 [0] 6 9" xfId="2488" xr:uid="{00000000-0005-0000-0000-0000AB090000}"/>
    <cellStyle name="쉼표 [0] 6 9 2" xfId="2489" xr:uid="{00000000-0005-0000-0000-0000AC090000}"/>
    <cellStyle name="쉼표 [0] 6 9 2 2" xfId="4746" xr:uid="{00000000-0005-0000-0000-0000AC090000}"/>
    <cellStyle name="쉼표 [0] 6 9 2 2 2" xfId="5844" xr:uid="{00000000-0005-0000-0000-0000AC090000}"/>
    <cellStyle name="쉼표 [0] 6 9 2 3" xfId="5301" xr:uid="{00000000-0005-0000-0000-0000AC090000}"/>
    <cellStyle name="쉼표 [0] 6 9 3" xfId="2490" xr:uid="{00000000-0005-0000-0000-0000AD090000}"/>
    <cellStyle name="쉼표 [0] 6 9 3 2" xfId="4747" xr:uid="{00000000-0005-0000-0000-0000AD090000}"/>
    <cellStyle name="쉼표 [0] 6 9 3 2 2" xfId="5845" xr:uid="{00000000-0005-0000-0000-0000AD090000}"/>
    <cellStyle name="쉼표 [0] 6 9 3 3" xfId="5302" xr:uid="{00000000-0005-0000-0000-0000AD090000}"/>
    <cellStyle name="쉼표 [0] 6 9 4" xfId="2491" xr:uid="{00000000-0005-0000-0000-0000AE090000}"/>
    <cellStyle name="쉼표 [0] 6 9 4 2" xfId="4748" xr:uid="{00000000-0005-0000-0000-0000AE090000}"/>
    <cellStyle name="쉼표 [0] 6 9 4 2 2" xfId="5846" xr:uid="{00000000-0005-0000-0000-0000AE090000}"/>
    <cellStyle name="쉼표 [0] 6 9 4 3" xfId="5303" xr:uid="{00000000-0005-0000-0000-0000AE090000}"/>
    <cellStyle name="쉼표 [0] 6 9 5" xfId="4745" xr:uid="{00000000-0005-0000-0000-0000AB090000}"/>
    <cellStyle name="쉼표 [0] 6 9 5 2" xfId="5843" xr:uid="{00000000-0005-0000-0000-0000AB090000}"/>
    <cellStyle name="쉼표 [0] 6 9 6" xfId="5300" xr:uid="{00000000-0005-0000-0000-0000AB090000}"/>
    <cellStyle name="쉼표 [0] 7" xfId="2492" xr:uid="{00000000-0005-0000-0000-0000AF090000}"/>
    <cellStyle name="쉼표 [0] 7 2" xfId="2493" xr:uid="{00000000-0005-0000-0000-0000B0090000}"/>
    <cellStyle name="쉼표 [0] 7 2 2" xfId="4750" xr:uid="{00000000-0005-0000-0000-0000B0090000}"/>
    <cellStyle name="쉼표 [0] 7 2 2 2" xfId="5848" xr:uid="{00000000-0005-0000-0000-0000B0090000}"/>
    <cellStyle name="쉼표 [0] 7 2 3" xfId="5305" xr:uid="{00000000-0005-0000-0000-0000B0090000}"/>
    <cellStyle name="쉼표 [0] 7 3" xfId="2494" xr:uid="{00000000-0005-0000-0000-0000B1090000}"/>
    <cellStyle name="쉼표 [0] 7 3 2" xfId="4751" xr:uid="{00000000-0005-0000-0000-0000B1090000}"/>
    <cellStyle name="쉼표 [0] 7 3 2 2" xfId="5849" xr:uid="{00000000-0005-0000-0000-0000B1090000}"/>
    <cellStyle name="쉼표 [0] 7 3 3" xfId="5306" xr:uid="{00000000-0005-0000-0000-0000B1090000}"/>
    <cellStyle name="쉼표 [0] 7 4" xfId="2495" xr:uid="{00000000-0005-0000-0000-0000B2090000}"/>
    <cellStyle name="쉼표 [0] 7 4 2" xfId="4752" xr:uid="{00000000-0005-0000-0000-0000B2090000}"/>
    <cellStyle name="쉼표 [0] 7 4 2 2" xfId="5850" xr:uid="{00000000-0005-0000-0000-0000B2090000}"/>
    <cellStyle name="쉼표 [0] 7 4 3" xfId="5307" xr:uid="{00000000-0005-0000-0000-0000B2090000}"/>
    <cellStyle name="쉼표 [0] 7 5" xfId="4749" xr:uid="{00000000-0005-0000-0000-0000AF090000}"/>
    <cellStyle name="쉼표 [0] 7 5 2" xfId="5847" xr:uid="{00000000-0005-0000-0000-0000AF090000}"/>
    <cellStyle name="쉼표 [0] 7 6" xfId="5304" xr:uid="{00000000-0005-0000-0000-0000AF090000}"/>
    <cellStyle name="쉼표 [0] 8" xfId="2496" xr:uid="{00000000-0005-0000-0000-0000B3090000}"/>
    <cellStyle name="쉼표 [0] 8 2" xfId="2497" xr:uid="{00000000-0005-0000-0000-0000B4090000}"/>
    <cellStyle name="쉼표 [0] 8 2 2" xfId="4754" xr:uid="{00000000-0005-0000-0000-0000B4090000}"/>
    <cellStyle name="쉼표 [0] 8 2 2 2" xfId="5852" xr:uid="{00000000-0005-0000-0000-0000B4090000}"/>
    <cellStyle name="쉼표 [0] 8 2 3" xfId="5309" xr:uid="{00000000-0005-0000-0000-0000B4090000}"/>
    <cellStyle name="쉼표 [0] 8 3" xfId="2498" xr:uid="{00000000-0005-0000-0000-0000B5090000}"/>
    <cellStyle name="쉼표 [0] 8 3 2" xfId="4755" xr:uid="{00000000-0005-0000-0000-0000B5090000}"/>
    <cellStyle name="쉼표 [0] 8 3 2 2" xfId="5853" xr:uid="{00000000-0005-0000-0000-0000B5090000}"/>
    <cellStyle name="쉼표 [0] 8 3 3" xfId="5310" xr:uid="{00000000-0005-0000-0000-0000B5090000}"/>
    <cellStyle name="쉼표 [0] 8 4" xfId="2499" xr:uid="{00000000-0005-0000-0000-0000B6090000}"/>
    <cellStyle name="쉼표 [0] 8 4 2" xfId="4756" xr:uid="{00000000-0005-0000-0000-0000B6090000}"/>
    <cellStyle name="쉼표 [0] 8 4 2 2" xfId="5854" xr:uid="{00000000-0005-0000-0000-0000B6090000}"/>
    <cellStyle name="쉼표 [0] 8 4 3" xfId="5311" xr:uid="{00000000-0005-0000-0000-0000B6090000}"/>
    <cellStyle name="쉼표 [0] 8 5" xfId="2500" xr:uid="{00000000-0005-0000-0000-0000B7090000}"/>
    <cellStyle name="쉼표 [0] 8 5 2" xfId="4757" xr:uid="{00000000-0005-0000-0000-0000B7090000}"/>
    <cellStyle name="쉼표 [0] 8 5 2 2" xfId="5855" xr:uid="{00000000-0005-0000-0000-0000B7090000}"/>
    <cellStyle name="쉼표 [0] 8 5 3" xfId="5312" xr:uid="{00000000-0005-0000-0000-0000B7090000}"/>
    <cellStyle name="쉼표 [0] 8 6" xfId="4753" xr:uid="{00000000-0005-0000-0000-0000B3090000}"/>
    <cellStyle name="쉼표 [0] 8 6 2" xfId="5851" xr:uid="{00000000-0005-0000-0000-0000B3090000}"/>
    <cellStyle name="쉼표 [0] 8 7" xfId="5308" xr:uid="{00000000-0005-0000-0000-0000B3090000}"/>
    <cellStyle name="쉼표 [0] 9" xfId="2501" xr:uid="{00000000-0005-0000-0000-0000B8090000}"/>
    <cellStyle name="쉼표 [0] 9 2" xfId="2502" xr:uid="{00000000-0005-0000-0000-0000B9090000}"/>
    <cellStyle name="쉼표 [0] 9 2 2" xfId="4759" xr:uid="{00000000-0005-0000-0000-0000B9090000}"/>
    <cellStyle name="쉼표 [0] 9 2 2 2" xfId="5857" xr:uid="{00000000-0005-0000-0000-0000B9090000}"/>
    <cellStyle name="쉼표 [0] 9 2 3" xfId="5314" xr:uid="{00000000-0005-0000-0000-0000B9090000}"/>
    <cellStyle name="쉼표 [0] 9 3" xfId="2503" xr:uid="{00000000-0005-0000-0000-0000BA090000}"/>
    <cellStyle name="쉼표 [0] 9 3 2" xfId="4760" xr:uid="{00000000-0005-0000-0000-0000BA090000}"/>
    <cellStyle name="쉼표 [0] 9 3 2 2" xfId="5858" xr:uid="{00000000-0005-0000-0000-0000BA090000}"/>
    <cellStyle name="쉼표 [0] 9 3 3" xfId="5315" xr:uid="{00000000-0005-0000-0000-0000BA090000}"/>
    <cellStyle name="쉼표 [0] 9 4" xfId="2504" xr:uid="{00000000-0005-0000-0000-0000BB090000}"/>
    <cellStyle name="쉼표 [0] 9 4 2" xfId="4761" xr:uid="{00000000-0005-0000-0000-0000BB090000}"/>
    <cellStyle name="쉼표 [0] 9 4 2 2" xfId="5859" xr:uid="{00000000-0005-0000-0000-0000BB090000}"/>
    <cellStyle name="쉼표 [0] 9 4 3" xfId="5316" xr:uid="{00000000-0005-0000-0000-0000BB090000}"/>
    <cellStyle name="쉼표 [0] 9 5" xfId="2505" xr:uid="{00000000-0005-0000-0000-0000BC090000}"/>
    <cellStyle name="쉼표 [0] 9 5 2" xfId="4762" xr:uid="{00000000-0005-0000-0000-0000BC090000}"/>
    <cellStyle name="쉼표 [0] 9 5 2 2" xfId="5860" xr:uid="{00000000-0005-0000-0000-0000BC090000}"/>
    <cellStyle name="쉼표 [0] 9 5 3" xfId="5317" xr:uid="{00000000-0005-0000-0000-0000BC090000}"/>
    <cellStyle name="쉼표 [0] 9 6" xfId="4758" xr:uid="{00000000-0005-0000-0000-0000B8090000}"/>
    <cellStyle name="쉼표 [0] 9 6 2" xfId="5856" xr:uid="{00000000-0005-0000-0000-0000B8090000}"/>
    <cellStyle name="쉼표 [0] 9 7" xfId="5313" xr:uid="{00000000-0005-0000-0000-0000B8090000}"/>
    <cellStyle name="쉼표 2" xfId="2506" xr:uid="{00000000-0005-0000-0000-0000BD090000}"/>
    <cellStyle name="쉼표 2 2" xfId="2507" xr:uid="{00000000-0005-0000-0000-0000BE090000}"/>
    <cellStyle name="쉼표 2 3" xfId="2508" xr:uid="{00000000-0005-0000-0000-0000BF090000}"/>
    <cellStyle name="쉼표 2 4" xfId="2509" xr:uid="{00000000-0005-0000-0000-0000C0090000}"/>
    <cellStyle name="쉼표 2 5" xfId="2510" xr:uid="{00000000-0005-0000-0000-0000C1090000}"/>
    <cellStyle name="쉼표 3" xfId="2511" xr:uid="{00000000-0005-0000-0000-0000C2090000}"/>
    <cellStyle name="쉼표 3 2" xfId="2512" xr:uid="{00000000-0005-0000-0000-0000C3090000}"/>
    <cellStyle name="쉼표 3 3" xfId="2513" xr:uid="{00000000-0005-0000-0000-0000C4090000}"/>
    <cellStyle name="쉼표 3 4" xfId="2514" xr:uid="{00000000-0005-0000-0000-0000C5090000}"/>
    <cellStyle name="쉼표 3 5" xfId="2515" xr:uid="{00000000-0005-0000-0000-0000C6090000}"/>
    <cellStyle name="스타일 1" xfId="2516" xr:uid="{00000000-0005-0000-0000-0000C7090000}"/>
    <cellStyle name="스타일 1 2" xfId="2517" xr:uid="{00000000-0005-0000-0000-0000C8090000}"/>
    <cellStyle name="스타일 1 3" xfId="2518" xr:uid="{00000000-0005-0000-0000-0000C9090000}"/>
    <cellStyle name="스타일 1 4" xfId="2519" xr:uid="{00000000-0005-0000-0000-0000CA090000}"/>
    <cellStyle name="스타일 1_11년 자료정비_시험사업_시스템-산출내역서_V1.3" xfId="2520" xr:uid="{00000000-0005-0000-0000-0000CB090000}"/>
    <cellStyle name="스타일 2" xfId="2521" xr:uid="{00000000-0005-0000-0000-0000CC090000}"/>
    <cellStyle name="안건회계법인" xfId="2522" xr:uid="{00000000-0005-0000-0000-0000CD090000}"/>
    <cellStyle name="연결된 셀" xfId="12" builtinId="24" customBuiltin="1"/>
    <cellStyle name="연결된 셀 2" xfId="2523" xr:uid="{00000000-0005-0000-0000-0000CF090000}"/>
    <cellStyle name="연결된 셀 2 2" xfId="2524" xr:uid="{00000000-0005-0000-0000-0000D0090000}"/>
    <cellStyle name="연결된 셀 3" xfId="2525" xr:uid="{00000000-0005-0000-0000-0000D1090000}"/>
    <cellStyle name="연결된 셀 4" xfId="2526" xr:uid="{00000000-0005-0000-0000-0000D2090000}"/>
    <cellStyle name="연결된 셀 5" xfId="2527" xr:uid="{00000000-0005-0000-0000-0000D3090000}"/>
    <cellStyle name="요약" xfId="17" builtinId="25" customBuiltin="1"/>
    <cellStyle name="요약 2" xfId="2528" xr:uid="{00000000-0005-0000-0000-0000D5090000}"/>
    <cellStyle name="요약 2 2" xfId="2529" xr:uid="{00000000-0005-0000-0000-0000D6090000}"/>
    <cellStyle name="요약 2 3" xfId="4763" xr:uid="{00000000-0005-0000-0000-0000D5090000}"/>
    <cellStyle name="요약 3" xfId="2530" xr:uid="{00000000-0005-0000-0000-0000D7090000}"/>
    <cellStyle name="요약 3 2" xfId="4764" xr:uid="{00000000-0005-0000-0000-0000D7090000}"/>
    <cellStyle name="요약 4" xfId="2531" xr:uid="{00000000-0005-0000-0000-0000D8090000}"/>
    <cellStyle name="요약 4 2" xfId="4765" xr:uid="{00000000-0005-0000-0000-0000D8090000}"/>
    <cellStyle name="요약 5" xfId="2532" xr:uid="{00000000-0005-0000-0000-0000D9090000}"/>
    <cellStyle name="요약 5 2" xfId="4766" xr:uid="{00000000-0005-0000-0000-0000D9090000}"/>
    <cellStyle name="요약 6" xfId="2533" xr:uid="{00000000-0005-0000-0000-0000DA090000}"/>
    <cellStyle name="요약 6 2" xfId="4767" xr:uid="{00000000-0005-0000-0000-0000DA090000}"/>
    <cellStyle name="요약 7" xfId="2534" xr:uid="{00000000-0005-0000-0000-0000DB090000}"/>
    <cellStyle name="원" xfId="2535" xr:uid="{00000000-0005-0000-0000-0000DC090000}"/>
    <cellStyle name="원 2" xfId="2536" xr:uid="{00000000-0005-0000-0000-0000DD090000}"/>
    <cellStyle name="원 3" xfId="2537" xr:uid="{00000000-0005-0000-0000-0000DE090000}"/>
    <cellStyle name="원 4" xfId="2538" xr:uid="{00000000-0005-0000-0000-0000DF090000}"/>
    <cellStyle name="원 5" xfId="2539" xr:uid="{00000000-0005-0000-0000-0000E0090000}"/>
    <cellStyle name="원_0008금감원통합감독검사정보시스템" xfId="2540" xr:uid="{00000000-0005-0000-0000-0000E1090000}"/>
    <cellStyle name="원_0008금감원통합감독검사정보시스템 2" xfId="2541" xr:uid="{00000000-0005-0000-0000-0000E2090000}"/>
    <cellStyle name="원_0008금감원통합감독검사정보시스템 3" xfId="2542" xr:uid="{00000000-0005-0000-0000-0000E3090000}"/>
    <cellStyle name="원_0008금감원통합감독검사정보시스템 4" xfId="2543" xr:uid="{00000000-0005-0000-0000-0000E4090000}"/>
    <cellStyle name="원_0008금감원통합감독검사정보시스템 5" xfId="2544" xr:uid="{00000000-0005-0000-0000-0000E5090000}"/>
    <cellStyle name="원_0009김포공항LED교체공사(광일)" xfId="2545" xr:uid="{00000000-0005-0000-0000-0000E6090000}"/>
    <cellStyle name="원_0009김포공항LED교체공사(광일) 2" xfId="2546" xr:uid="{00000000-0005-0000-0000-0000E7090000}"/>
    <cellStyle name="원_0009김포공항LED교체공사(광일) 3" xfId="2547" xr:uid="{00000000-0005-0000-0000-0000E8090000}"/>
    <cellStyle name="원_0009김포공항LED교체공사(광일) 4" xfId="2548" xr:uid="{00000000-0005-0000-0000-0000E9090000}"/>
    <cellStyle name="원_0009김포공항LED교체공사(광일) 5" xfId="2549" xr:uid="{00000000-0005-0000-0000-0000EA090000}"/>
    <cellStyle name="원_0011KIST소각설비제작설치" xfId="2550" xr:uid="{00000000-0005-0000-0000-0000EB090000}"/>
    <cellStyle name="원_0011KIST소각설비제작설치 2" xfId="2551" xr:uid="{00000000-0005-0000-0000-0000EC090000}"/>
    <cellStyle name="원_0011KIST소각설비제작설치 3" xfId="2552" xr:uid="{00000000-0005-0000-0000-0000ED090000}"/>
    <cellStyle name="원_0011KIST소각설비제작설치 4" xfId="2553" xr:uid="{00000000-0005-0000-0000-0000EE090000}"/>
    <cellStyle name="원_0011KIST소각설비제작설치 5" xfId="2554" xr:uid="{00000000-0005-0000-0000-0000EF090000}"/>
    <cellStyle name="원_0011긴급전화기정산(99년형광일)" xfId="2555" xr:uid="{00000000-0005-0000-0000-0000F0090000}"/>
    <cellStyle name="원_0011긴급전화기정산(99년형광일) 2" xfId="2556" xr:uid="{00000000-0005-0000-0000-0000F1090000}"/>
    <cellStyle name="원_0011긴급전화기정산(99년형광일) 3" xfId="2557" xr:uid="{00000000-0005-0000-0000-0000F2090000}"/>
    <cellStyle name="원_0011긴급전화기정산(99년형광일) 4" xfId="2558" xr:uid="{00000000-0005-0000-0000-0000F3090000}"/>
    <cellStyle name="원_0011긴급전화기정산(99년형광일) 5" xfId="2559" xr:uid="{00000000-0005-0000-0000-0000F4090000}"/>
    <cellStyle name="원_0011부산종합경기장전광판" xfId="2560" xr:uid="{00000000-0005-0000-0000-0000F5090000}"/>
    <cellStyle name="원_0011부산종합경기장전광판 2" xfId="2561" xr:uid="{00000000-0005-0000-0000-0000F6090000}"/>
    <cellStyle name="원_0011부산종합경기장전광판 3" xfId="2562" xr:uid="{00000000-0005-0000-0000-0000F7090000}"/>
    <cellStyle name="원_0011부산종합경기장전광판 4" xfId="2563" xr:uid="{00000000-0005-0000-0000-0000F8090000}"/>
    <cellStyle name="원_0011부산종합경기장전광판 5" xfId="2564" xr:uid="{00000000-0005-0000-0000-0000F9090000}"/>
    <cellStyle name="원_0012문화유적지표석제작설치" xfId="2565" xr:uid="{00000000-0005-0000-0000-0000FA090000}"/>
    <cellStyle name="원_0012문화유적지표석제작설치 2" xfId="2566" xr:uid="{00000000-0005-0000-0000-0000FB090000}"/>
    <cellStyle name="원_0012문화유적지표석제작설치 3" xfId="2567" xr:uid="{00000000-0005-0000-0000-0000FC090000}"/>
    <cellStyle name="원_0012문화유적지표석제작설치 4" xfId="2568" xr:uid="{00000000-0005-0000-0000-0000FD090000}"/>
    <cellStyle name="원_0012문화유적지표석제작설치 5" xfId="2569" xr:uid="{00000000-0005-0000-0000-0000FE090000}"/>
    <cellStyle name="원_0102국제조명신공항분수조명" xfId="2570" xr:uid="{00000000-0005-0000-0000-0000FF090000}"/>
    <cellStyle name="원_0102국제조명신공항분수조명 2" xfId="2571" xr:uid="{00000000-0005-0000-0000-0000000A0000}"/>
    <cellStyle name="원_0102국제조명신공항분수조명 3" xfId="2572" xr:uid="{00000000-0005-0000-0000-0000010A0000}"/>
    <cellStyle name="원_0102국제조명신공항분수조명 4" xfId="2573" xr:uid="{00000000-0005-0000-0000-0000020A0000}"/>
    <cellStyle name="원_0102국제조명신공항분수조명 5" xfId="2574" xr:uid="{00000000-0005-0000-0000-0000030A0000}"/>
    <cellStyle name="원_0103회전식현수막게시대제작설치" xfId="2575" xr:uid="{00000000-0005-0000-0000-0000040A0000}"/>
    <cellStyle name="원_0103회전식현수막게시대제작설치 2" xfId="2576" xr:uid="{00000000-0005-0000-0000-0000050A0000}"/>
    <cellStyle name="원_0103회전식현수막게시대제작설치 3" xfId="2577" xr:uid="{00000000-0005-0000-0000-0000060A0000}"/>
    <cellStyle name="원_0103회전식현수막게시대제작설치 4" xfId="2578" xr:uid="{00000000-0005-0000-0000-0000070A0000}"/>
    <cellStyle name="원_0103회전식현수막게시대제작설치 5" xfId="2579" xr:uid="{00000000-0005-0000-0000-0000080A0000}"/>
    <cellStyle name="원_0104포항시침출수처리시스템" xfId="2580" xr:uid="{00000000-0005-0000-0000-0000090A0000}"/>
    <cellStyle name="원_0104포항시침출수처리시스템 2" xfId="2581" xr:uid="{00000000-0005-0000-0000-00000A0A0000}"/>
    <cellStyle name="원_0104포항시침출수처리시스템 3" xfId="2582" xr:uid="{00000000-0005-0000-0000-00000B0A0000}"/>
    <cellStyle name="원_0104포항시침출수처리시스템 4" xfId="2583" xr:uid="{00000000-0005-0000-0000-00000C0A0000}"/>
    <cellStyle name="원_0104포항시침출수처리시스템 5" xfId="2584" xr:uid="{00000000-0005-0000-0000-00000D0A0000}"/>
    <cellStyle name="원_0105담배자판기개조원가" xfId="2585" xr:uid="{00000000-0005-0000-0000-00000E0A0000}"/>
    <cellStyle name="원_0105담배자판기개조원가 2" xfId="2586" xr:uid="{00000000-0005-0000-0000-00000F0A0000}"/>
    <cellStyle name="원_0105담배자판기개조원가 3" xfId="2587" xr:uid="{00000000-0005-0000-0000-0000100A0000}"/>
    <cellStyle name="원_0105담배자판기개조원가 4" xfId="2588" xr:uid="{00000000-0005-0000-0000-0000110A0000}"/>
    <cellStyle name="원_0105담배자판기개조원가 5" xfId="2589" xr:uid="{00000000-0005-0000-0000-0000120A0000}"/>
    <cellStyle name="원_0106LG인버터냉난방기제작-1" xfId="2590" xr:uid="{00000000-0005-0000-0000-0000130A0000}"/>
    <cellStyle name="원_0106LG인버터냉난방기제작-1 2" xfId="2591" xr:uid="{00000000-0005-0000-0000-0000140A0000}"/>
    <cellStyle name="원_0106LG인버터냉난방기제작-1 3" xfId="2592" xr:uid="{00000000-0005-0000-0000-0000150A0000}"/>
    <cellStyle name="원_0106LG인버터냉난방기제작-1 4" xfId="2593" xr:uid="{00000000-0005-0000-0000-0000160A0000}"/>
    <cellStyle name="원_0106LG인버터냉난방기제작-1 5" xfId="2594" xr:uid="{00000000-0005-0000-0000-0000170A0000}"/>
    <cellStyle name="원_0107광전송장비구매설치" xfId="2595" xr:uid="{00000000-0005-0000-0000-0000180A0000}"/>
    <cellStyle name="원_0107광전송장비구매설치 2" xfId="2596" xr:uid="{00000000-0005-0000-0000-0000190A0000}"/>
    <cellStyle name="원_0107광전송장비구매설치 3" xfId="2597" xr:uid="{00000000-0005-0000-0000-00001A0A0000}"/>
    <cellStyle name="원_0107광전송장비구매설치 4" xfId="2598" xr:uid="{00000000-0005-0000-0000-00001B0A0000}"/>
    <cellStyle name="원_0107광전송장비구매설치 5" xfId="2599" xr:uid="{00000000-0005-0000-0000-00001C0A0000}"/>
    <cellStyle name="원_0107도공IBS설비SW부문(참조)" xfId="2600" xr:uid="{00000000-0005-0000-0000-00001D0A0000}"/>
    <cellStyle name="원_0107도공IBS설비SW부문(참조) 2" xfId="2601" xr:uid="{00000000-0005-0000-0000-00001E0A0000}"/>
    <cellStyle name="원_0107도공IBS설비SW부문(참조) 3" xfId="2602" xr:uid="{00000000-0005-0000-0000-00001F0A0000}"/>
    <cellStyle name="원_0107도공IBS설비SW부문(참조) 4" xfId="2603" xr:uid="{00000000-0005-0000-0000-0000200A0000}"/>
    <cellStyle name="원_0107도공IBS설비SW부문(참조) 5" xfId="2604" xr:uid="{00000000-0005-0000-0000-0000210A0000}"/>
    <cellStyle name="원_0107문화재복원용목재-8월6일" xfId="2605" xr:uid="{00000000-0005-0000-0000-0000220A0000}"/>
    <cellStyle name="원_0107문화재복원용목재-8월6일 2" xfId="2606" xr:uid="{00000000-0005-0000-0000-0000230A0000}"/>
    <cellStyle name="원_0107문화재복원용목재-8월6일 3" xfId="2607" xr:uid="{00000000-0005-0000-0000-0000240A0000}"/>
    <cellStyle name="원_0107문화재복원용목재-8월6일 4" xfId="2608" xr:uid="{00000000-0005-0000-0000-0000250A0000}"/>
    <cellStyle name="원_0107문화재복원용목재-8월6일 5" xfId="2609" xr:uid="{00000000-0005-0000-0000-0000260A0000}"/>
    <cellStyle name="원_0107포천영중수배전반(제조,설치)" xfId="2610" xr:uid="{00000000-0005-0000-0000-0000270A0000}"/>
    <cellStyle name="원_0107포천영중수배전반(제조,설치) 2" xfId="2611" xr:uid="{00000000-0005-0000-0000-0000280A0000}"/>
    <cellStyle name="원_0107포천영중수배전반(제조,설치) 3" xfId="2612" xr:uid="{00000000-0005-0000-0000-0000290A0000}"/>
    <cellStyle name="원_0107포천영중수배전반(제조,설치) 4" xfId="2613" xr:uid="{00000000-0005-0000-0000-00002A0A0000}"/>
    <cellStyle name="원_0107포천영중수배전반(제조,설치) 5" xfId="2614" xr:uid="{00000000-0005-0000-0000-00002B0A0000}"/>
    <cellStyle name="원_0108농기반미곡건조기제작설치" xfId="2615" xr:uid="{00000000-0005-0000-0000-00002C0A0000}"/>
    <cellStyle name="원_0108농기반미곡건조기제작설치 2" xfId="2616" xr:uid="{00000000-0005-0000-0000-00002D0A0000}"/>
    <cellStyle name="원_0108농기반미곡건조기제작설치 3" xfId="2617" xr:uid="{00000000-0005-0000-0000-00002E0A0000}"/>
    <cellStyle name="원_0108농기반미곡건조기제작설치 4" xfId="2618" xr:uid="{00000000-0005-0000-0000-00002F0A0000}"/>
    <cellStyle name="원_0108농기반미곡건조기제작설치 5" xfId="2619" xr:uid="{00000000-0005-0000-0000-0000300A0000}"/>
    <cellStyle name="원_0108담배인삼공사영업춘추복" xfId="2620" xr:uid="{00000000-0005-0000-0000-0000310A0000}"/>
    <cellStyle name="원_0108담배인삼공사영업춘추복 2" xfId="2621" xr:uid="{00000000-0005-0000-0000-0000320A0000}"/>
    <cellStyle name="원_0108담배인삼공사영업춘추복 3" xfId="2622" xr:uid="{00000000-0005-0000-0000-0000330A0000}"/>
    <cellStyle name="원_0108담배인삼공사영업춘추복 4" xfId="2623" xr:uid="{00000000-0005-0000-0000-0000340A0000}"/>
    <cellStyle name="원_0108담배인삼공사영업춘추복 5" xfId="2624" xr:uid="{00000000-0005-0000-0000-0000350A0000}"/>
    <cellStyle name="원_0108한국전기교통-LED교통신호등((원본))" xfId="2625" xr:uid="{00000000-0005-0000-0000-0000360A0000}"/>
    <cellStyle name="원_0108한국전기교통-LED교통신호등((원본)) 2" xfId="2626" xr:uid="{00000000-0005-0000-0000-0000370A0000}"/>
    <cellStyle name="원_0108한국전기교통-LED교통신호등((원본)) 3" xfId="2627" xr:uid="{00000000-0005-0000-0000-0000380A0000}"/>
    <cellStyle name="원_0108한국전기교통-LED교통신호등((원본)) 4" xfId="2628" xr:uid="{00000000-0005-0000-0000-0000390A0000}"/>
    <cellStyle name="원_0108한국전기교통-LED교통신호등((원본)) 5" xfId="2629" xr:uid="{00000000-0005-0000-0000-00003A0A0000}"/>
    <cellStyle name="원_0111해양수산부등명기제작" xfId="2630" xr:uid="{00000000-0005-0000-0000-00003B0A0000}"/>
    <cellStyle name="원_0111해양수산부등명기제작 2" xfId="2631" xr:uid="{00000000-0005-0000-0000-00003C0A0000}"/>
    <cellStyle name="원_0111해양수산부등명기제작 3" xfId="2632" xr:uid="{00000000-0005-0000-0000-00003D0A0000}"/>
    <cellStyle name="원_0111해양수산부등명기제작 4" xfId="2633" xr:uid="{00000000-0005-0000-0000-00003E0A0000}"/>
    <cellStyle name="원_0111해양수산부등명기제작 5" xfId="2634" xr:uid="{00000000-0005-0000-0000-00003F0A0000}"/>
    <cellStyle name="원_0111핸디소프트-전자표준문서시스템" xfId="2635" xr:uid="{00000000-0005-0000-0000-0000400A0000}"/>
    <cellStyle name="원_0111핸디소프트-전자표준문서시스템 2" xfId="2636" xr:uid="{00000000-0005-0000-0000-0000410A0000}"/>
    <cellStyle name="원_0111핸디소프트-전자표준문서시스템 3" xfId="2637" xr:uid="{00000000-0005-0000-0000-0000420A0000}"/>
    <cellStyle name="원_0111핸디소프트-전자표준문서시스템 4" xfId="2638" xr:uid="{00000000-0005-0000-0000-0000430A0000}"/>
    <cellStyle name="원_0111핸디소프트-전자표준문서시스템 5" xfId="2639" xr:uid="{00000000-0005-0000-0000-0000440A0000}"/>
    <cellStyle name="원_0112금감원사무자동화시스템" xfId="2640" xr:uid="{00000000-0005-0000-0000-0000450A0000}"/>
    <cellStyle name="원_0112금감원사무자동화시스템 2" xfId="2641" xr:uid="{00000000-0005-0000-0000-0000460A0000}"/>
    <cellStyle name="원_0112금감원사무자동화시스템 3" xfId="2642" xr:uid="{00000000-0005-0000-0000-0000470A0000}"/>
    <cellStyle name="원_0112금감원사무자동화시스템 4" xfId="2643" xr:uid="{00000000-0005-0000-0000-0000480A0000}"/>
    <cellStyle name="원_0112금감원사무자동화시스템 5" xfId="2644" xr:uid="{00000000-0005-0000-0000-0000490A0000}"/>
    <cellStyle name="원_0112수도권매립지SW원가" xfId="2645" xr:uid="{00000000-0005-0000-0000-00004A0A0000}"/>
    <cellStyle name="원_0112수도권매립지SW원가 2" xfId="2646" xr:uid="{00000000-0005-0000-0000-00004B0A0000}"/>
    <cellStyle name="원_0112수도권매립지SW원가 3" xfId="2647" xr:uid="{00000000-0005-0000-0000-00004C0A0000}"/>
    <cellStyle name="원_0112수도권매립지SW원가 4" xfId="2648" xr:uid="{00000000-0005-0000-0000-00004D0A0000}"/>
    <cellStyle name="원_0112수도권매립지SW원가 5" xfId="2649" xr:uid="{00000000-0005-0000-0000-00004E0A0000}"/>
    <cellStyle name="원_0112중고원-HRD종합정보망구축(完)" xfId="2650" xr:uid="{00000000-0005-0000-0000-00004F0A0000}"/>
    <cellStyle name="원_0112중고원-HRD종합정보망구축(完) 2" xfId="2651" xr:uid="{00000000-0005-0000-0000-0000500A0000}"/>
    <cellStyle name="원_0112중고원-HRD종합정보망구축(完) 3" xfId="2652" xr:uid="{00000000-0005-0000-0000-0000510A0000}"/>
    <cellStyle name="원_0112중고원-HRD종합정보망구축(完) 4" xfId="2653" xr:uid="{00000000-0005-0000-0000-0000520A0000}"/>
    <cellStyle name="원_0112중고원-HRD종합정보망구축(完) 5" xfId="2654" xr:uid="{00000000-0005-0000-0000-0000530A0000}"/>
    <cellStyle name="원_0201종합예술회관의자제작설치-1" xfId="2655" xr:uid="{00000000-0005-0000-0000-0000540A0000}"/>
    <cellStyle name="원_0201종합예술회관의자제작설치-1 2" xfId="2656" xr:uid="{00000000-0005-0000-0000-0000550A0000}"/>
    <cellStyle name="원_0201종합예술회관의자제작설치-1 3" xfId="2657" xr:uid="{00000000-0005-0000-0000-0000560A0000}"/>
    <cellStyle name="원_0201종합예술회관의자제작설치-1 4" xfId="2658" xr:uid="{00000000-0005-0000-0000-0000570A0000}"/>
    <cellStyle name="원_0201종합예술회관의자제작설치-1 5" xfId="2659" xr:uid="{00000000-0005-0000-0000-0000580A0000}"/>
    <cellStyle name="원_0202마사회근무복" xfId="2660" xr:uid="{00000000-0005-0000-0000-0000590A0000}"/>
    <cellStyle name="원_0202마사회근무복 2" xfId="2661" xr:uid="{00000000-0005-0000-0000-00005A0A0000}"/>
    <cellStyle name="원_0202마사회근무복 3" xfId="2662" xr:uid="{00000000-0005-0000-0000-00005B0A0000}"/>
    <cellStyle name="원_0202마사회근무복 4" xfId="2663" xr:uid="{00000000-0005-0000-0000-00005C0A0000}"/>
    <cellStyle name="원_0202마사회근무복 5" xfId="2664" xr:uid="{00000000-0005-0000-0000-00005D0A0000}"/>
    <cellStyle name="원_0202부경교재-승강칠판" xfId="2665" xr:uid="{00000000-0005-0000-0000-00005E0A0000}"/>
    <cellStyle name="원_0202부경교재-승강칠판 2" xfId="2666" xr:uid="{00000000-0005-0000-0000-00005F0A0000}"/>
    <cellStyle name="원_0202부경교재-승강칠판 3" xfId="2667" xr:uid="{00000000-0005-0000-0000-0000600A0000}"/>
    <cellStyle name="원_0202부경교재-승강칠판 4" xfId="2668" xr:uid="{00000000-0005-0000-0000-0000610A0000}"/>
    <cellStyle name="원_0202부경교재-승강칠판 5" xfId="2669" xr:uid="{00000000-0005-0000-0000-0000620A0000}"/>
    <cellStyle name="원_0204한국석묘납골함-1규격" xfId="2670" xr:uid="{00000000-0005-0000-0000-0000630A0000}"/>
    <cellStyle name="원_0204한국석묘납골함-1규격 2" xfId="2671" xr:uid="{00000000-0005-0000-0000-0000640A0000}"/>
    <cellStyle name="원_0204한국석묘납골함-1규격 3" xfId="2672" xr:uid="{00000000-0005-0000-0000-0000650A0000}"/>
    <cellStyle name="원_0204한국석묘납골함-1규격 4" xfId="2673" xr:uid="{00000000-0005-0000-0000-0000660A0000}"/>
    <cellStyle name="원_0204한국석묘납골함-1규격 5" xfId="2674" xr:uid="{00000000-0005-0000-0000-0000670A0000}"/>
    <cellStyle name="원_0206금감원금융정보교환망재구축" xfId="2675" xr:uid="{00000000-0005-0000-0000-0000680A0000}"/>
    <cellStyle name="원_0206금감원금융정보교환망재구축 2" xfId="2676" xr:uid="{00000000-0005-0000-0000-0000690A0000}"/>
    <cellStyle name="원_0206금감원금융정보교환망재구축 3" xfId="2677" xr:uid="{00000000-0005-0000-0000-00006A0A0000}"/>
    <cellStyle name="원_0206금감원금융정보교환망재구축 4" xfId="2678" xr:uid="{00000000-0005-0000-0000-00006B0A0000}"/>
    <cellStyle name="원_0206금감원금융정보교환망재구축 5" xfId="2679" xr:uid="{00000000-0005-0000-0000-00006C0A0000}"/>
    <cellStyle name="원_0206정통부수납장표기기제작설치" xfId="2680" xr:uid="{00000000-0005-0000-0000-00006D0A0000}"/>
    <cellStyle name="원_0206정통부수납장표기기제작설치 2" xfId="2681" xr:uid="{00000000-0005-0000-0000-00006E0A0000}"/>
    <cellStyle name="원_0206정통부수납장표기기제작설치 3" xfId="2682" xr:uid="{00000000-0005-0000-0000-00006F0A0000}"/>
    <cellStyle name="원_0206정통부수납장표기기제작설치 4" xfId="2683" xr:uid="{00000000-0005-0000-0000-0000700A0000}"/>
    <cellStyle name="원_0206정통부수납장표기기제작설치 5" xfId="2684" xr:uid="{00000000-0005-0000-0000-0000710A0000}"/>
    <cellStyle name="원_0207담배인삼공사-담요" xfId="2685" xr:uid="{00000000-0005-0000-0000-0000720A0000}"/>
    <cellStyle name="원_0207담배인삼공사-담요 2" xfId="2686" xr:uid="{00000000-0005-0000-0000-0000730A0000}"/>
    <cellStyle name="원_0207담배인삼공사-담요 3" xfId="2687" xr:uid="{00000000-0005-0000-0000-0000740A0000}"/>
    <cellStyle name="원_0207담배인삼공사-담요 4" xfId="2688" xr:uid="{00000000-0005-0000-0000-0000750A0000}"/>
    <cellStyle name="원_0207담배인삼공사-담요 5" xfId="2689" xr:uid="{00000000-0005-0000-0000-0000760A0000}"/>
    <cellStyle name="원_0208레비텍-다층여과기설계변경" xfId="2690" xr:uid="{00000000-0005-0000-0000-0000770A0000}"/>
    <cellStyle name="원_0208레비텍-다층여과기설계변경 2" xfId="2691" xr:uid="{00000000-0005-0000-0000-0000780A0000}"/>
    <cellStyle name="원_0208레비텍-다층여과기설계변경 3" xfId="2692" xr:uid="{00000000-0005-0000-0000-0000790A0000}"/>
    <cellStyle name="원_0208레비텍-다층여과기설계변경 4" xfId="2693" xr:uid="{00000000-0005-0000-0000-00007A0A0000}"/>
    <cellStyle name="원_0208레비텍-다층여과기설계변경 5" xfId="2694" xr:uid="{00000000-0005-0000-0000-00007B0A0000}"/>
    <cellStyle name="원_0209이산화염소발생기-설치(50K)" xfId="2695" xr:uid="{00000000-0005-0000-0000-00007C0A0000}"/>
    <cellStyle name="원_0209이산화염소발생기-설치(50K) 2" xfId="2696" xr:uid="{00000000-0005-0000-0000-00007D0A0000}"/>
    <cellStyle name="원_0209이산화염소발생기-설치(50K) 3" xfId="2697" xr:uid="{00000000-0005-0000-0000-00007E0A0000}"/>
    <cellStyle name="원_0209이산화염소발생기-설치(50K) 4" xfId="2698" xr:uid="{00000000-0005-0000-0000-00007F0A0000}"/>
    <cellStyle name="원_0209이산화염소발생기-설치(50K) 5" xfId="2699" xr:uid="{00000000-0005-0000-0000-0000800A0000}"/>
    <cellStyle name="원_0210현대정보기술-TD이중계" xfId="2700" xr:uid="{00000000-0005-0000-0000-0000810A0000}"/>
    <cellStyle name="원_0210현대정보기술-TD이중계 2" xfId="2701" xr:uid="{00000000-0005-0000-0000-0000820A0000}"/>
    <cellStyle name="원_0210현대정보기술-TD이중계 3" xfId="2702" xr:uid="{00000000-0005-0000-0000-0000830A0000}"/>
    <cellStyle name="원_0210현대정보기술-TD이중계 4" xfId="2703" xr:uid="{00000000-0005-0000-0000-0000840A0000}"/>
    <cellStyle name="원_0210현대정보기술-TD이중계 5" xfId="2704" xr:uid="{00000000-0005-0000-0000-0000850A0000}"/>
    <cellStyle name="원_0211조달청-#1대북지원사업정산(1월7일)" xfId="2705" xr:uid="{00000000-0005-0000-0000-0000860A0000}"/>
    <cellStyle name="원_0211조달청-#1대북지원사업정산(1월7일) 2" xfId="2706" xr:uid="{00000000-0005-0000-0000-0000870A0000}"/>
    <cellStyle name="원_0211조달청-#1대북지원사업정산(1월7일) 3" xfId="2707" xr:uid="{00000000-0005-0000-0000-0000880A0000}"/>
    <cellStyle name="원_0211조달청-#1대북지원사업정산(1월7일) 4" xfId="2708" xr:uid="{00000000-0005-0000-0000-0000890A0000}"/>
    <cellStyle name="원_0211조달청-#1대북지원사업정산(1월7일) 5" xfId="2709" xr:uid="{00000000-0005-0000-0000-00008A0A0000}"/>
    <cellStyle name="원_0212금감원-법규정보시스템(完)" xfId="2710" xr:uid="{00000000-0005-0000-0000-00008B0A0000}"/>
    <cellStyle name="원_0212금감원-법규정보시스템(完) 2" xfId="2711" xr:uid="{00000000-0005-0000-0000-00008C0A0000}"/>
    <cellStyle name="원_0212금감원-법규정보시스템(完) 3" xfId="2712" xr:uid="{00000000-0005-0000-0000-00008D0A0000}"/>
    <cellStyle name="원_0212금감원-법규정보시스템(完) 4" xfId="2713" xr:uid="{00000000-0005-0000-0000-00008E0A0000}"/>
    <cellStyle name="원_0212금감원-법규정보시스템(完) 5" xfId="2714" xr:uid="{00000000-0005-0000-0000-00008F0A0000}"/>
    <cellStyle name="원_0301교통방송-CCTV유지보수" xfId="2715" xr:uid="{00000000-0005-0000-0000-0000900A0000}"/>
    <cellStyle name="원_0301교통방송-CCTV유지보수 2" xfId="2716" xr:uid="{00000000-0005-0000-0000-0000910A0000}"/>
    <cellStyle name="원_0301교통방송-CCTV유지보수 3" xfId="2717" xr:uid="{00000000-0005-0000-0000-0000920A0000}"/>
    <cellStyle name="원_0301교통방송-CCTV유지보수 4" xfId="2718" xr:uid="{00000000-0005-0000-0000-0000930A0000}"/>
    <cellStyle name="원_0301교통방송-CCTV유지보수 5" xfId="2719" xr:uid="{00000000-0005-0000-0000-0000940A0000}"/>
    <cellStyle name="원_0302인천경찰청-무인단속기위탁관리" xfId="2720" xr:uid="{00000000-0005-0000-0000-0000950A0000}"/>
    <cellStyle name="원_0302인천경찰청-무인단속기위탁관리 2" xfId="2721" xr:uid="{00000000-0005-0000-0000-0000960A0000}"/>
    <cellStyle name="원_0302인천경찰청-무인단속기위탁관리 3" xfId="2722" xr:uid="{00000000-0005-0000-0000-0000970A0000}"/>
    <cellStyle name="원_0302인천경찰청-무인단속기위탁관리 4" xfId="2723" xr:uid="{00000000-0005-0000-0000-0000980A0000}"/>
    <cellStyle name="원_0302인천경찰청-무인단속기위탁관리 5" xfId="2724" xr:uid="{00000000-0005-0000-0000-0000990A0000}"/>
    <cellStyle name="원_0302조달청-대북지원2차(안성연)" xfId="2725" xr:uid="{00000000-0005-0000-0000-00009A0A0000}"/>
    <cellStyle name="원_0302조달청-대북지원2차(안성연) 2" xfId="2726" xr:uid="{00000000-0005-0000-0000-00009B0A0000}"/>
    <cellStyle name="원_0302조달청-대북지원2차(안성연) 3" xfId="2727" xr:uid="{00000000-0005-0000-0000-00009C0A0000}"/>
    <cellStyle name="원_0302조달청-대북지원2차(안성연) 4" xfId="2728" xr:uid="{00000000-0005-0000-0000-00009D0A0000}"/>
    <cellStyle name="원_0302조달청-대북지원2차(안성연) 5" xfId="2729" xr:uid="{00000000-0005-0000-0000-00009E0A0000}"/>
    <cellStyle name="원_0302조달청-대북지원2차(최수현)" xfId="2730" xr:uid="{00000000-0005-0000-0000-00009F0A0000}"/>
    <cellStyle name="원_0302조달청-대북지원2차(최수현) 2" xfId="2731" xr:uid="{00000000-0005-0000-0000-0000A00A0000}"/>
    <cellStyle name="원_0302조달청-대북지원2차(최수현) 3" xfId="2732" xr:uid="{00000000-0005-0000-0000-0000A10A0000}"/>
    <cellStyle name="원_0302조달청-대북지원2차(최수현) 4" xfId="2733" xr:uid="{00000000-0005-0000-0000-0000A20A0000}"/>
    <cellStyle name="원_0302조달청-대북지원2차(최수현) 5" xfId="2734" xr:uid="{00000000-0005-0000-0000-0000A30A0000}"/>
    <cellStyle name="원_0302표준문서-쌍용정보통신(신)" xfId="2735" xr:uid="{00000000-0005-0000-0000-0000A40A0000}"/>
    <cellStyle name="원_0302표준문서-쌍용정보통신(신) 2" xfId="2736" xr:uid="{00000000-0005-0000-0000-0000A50A0000}"/>
    <cellStyle name="원_0302표준문서-쌍용정보통신(신) 3" xfId="2737" xr:uid="{00000000-0005-0000-0000-0000A60A0000}"/>
    <cellStyle name="원_0302표준문서-쌍용정보통신(신) 4" xfId="2738" xr:uid="{00000000-0005-0000-0000-0000A70A0000}"/>
    <cellStyle name="원_0302표준문서-쌍용정보통신(신) 5" xfId="2739" xr:uid="{00000000-0005-0000-0000-0000A80A0000}"/>
    <cellStyle name="원_0304소프트파워-정부표준전자문서시스템" xfId="2740" xr:uid="{00000000-0005-0000-0000-0000A90A0000}"/>
    <cellStyle name="원_0304소프트파워-정부표준전자문서시스템 2" xfId="2741" xr:uid="{00000000-0005-0000-0000-0000AA0A0000}"/>
    <cellStyle name="원_0304소프트파워-정부표준전자문서시스템 3" xfId="2742" xr:uid="{00000000-0005-0000-0000-0000AB0A0000}"/>
    <cellStyle name="원_0304소프트파워-정부표준전자문서시스템 4" xfId="2743" xr:uid="{00000000-0005-0000-0000-0000AC0A0000}"/>
    <cellStyle name="원_0304소프트파워-정부표준전자문서시스템 5" xfId="2744" xr:uid="{00000000-0005-0000-0000-0000AD0A0000}"/>
    <cellStyle name="원_0304소프트파워-정부표준전자문서시스템(完)" xfId="2745" xr:uid="{00000000-0005-0000-0000-0000AE0A0000}"/>
    <cellStyle name="원_0304소프트파워-정부표준전자문서시스템(完) 2" xfId="2746" xr:uid="{00000000-0005-0000-0000-0000AF0A0000}"/>
    <cellStyle name="원_0304소프트파워-정부표준전자문서시스템(完) 3" xfId="2747" xr:uid="{00000000-0005-0000-0000-0000B00A0000}"/>
    <cellStyle name="원_0304소프트파워-정부표준전자문서시스템(完) 4" xfId="2748" xr:uid="{00000000-0005-0000-0000-0000B10A0000}"/>
    <cellStyle name="원_0304소프트파워-정부표준전자문서시스템(完) 5" xfId="2749" xr:uid="{00000000-0005-0000-0000-0000B20A0000}"/>
    <cellStyle name="원_0304철도청-주변환장치-1" xfId="2750" xr:uid="{00000000-0005-0000-0000-0000B30A0000}"/>
    <cellStyle name="원_0304철도청-주변환장치-1 2" xfId="2751" xr:uid="{00000000-0005-0000-0000-0000B40A0000}"/>
    <cellStyle name="원_0304철도청-주변환장치-1 3" xfId="2752" xr:uid="{00000000-0005-0000-0000-0000B50A0000}"/>
    <cellStyle name="원_0304철도청-주변환장치-1 4" xfId="2753" xr:uid="{00000000-0005-0000-0000-0000B60A0000}"/>
    <cellStyle name="원_0304철도청-주변환장치-1 5" xfId="2754" xr:uid="{00000000-0005-0000-0000-0000B70A0000}"/>
    <cellStyle name="원_0305금감원-금융통계정보시스템구축(完)" xfId="2755" xr:uid="{00000000-0005-0000-0000-0000B80A0000}"/>
    <cellStyle name="원_0305금감원-금융통계정보시스템구축(完) 2" xfId="2756" xr:uid="{00000000-0005-0000-0000-0000B90A0000}"/>
    <cellStyle name="원_0305금감원-금융통계정보시스템구축(完) 3" xfId="2757" xr:uid="{00000000-0005-0000-0000-0000BA0A0000}"/>
    <cellStyle name="원_0305금감원-금융통계정보시스템구축(完) 4" xfId="2758" xr:uid="{00000000-0005-0000-0000-0000BB0A0000}"/>
    <cellStyle name="원_0305금감원-금융통계정보시스템구축(完) 5" xfId="2759" xr:uid="{00000000-0005-0000-0000-0000BC0A0000}"/>
    <cellStyle name="원_0305제낭조합-면범포지" xfId="2760" xr:uid="{00000000-0005-0000-0000-0000BD0A0000}"/>
    <cellStyle name="원_0305제낭조합-면범포지 2" xfId="2761" xr:uid="{00000000-0005-0000-0000-0000BE0A0000}"/>
    <cellStyle name="원_0305제낭조합-면범포지 3" xfId="2762" xr:uid="{00000000-0005-0000-0000-0000BF0A0000}"/>
    <cellStyle name="원_0305제낭조합-면범포지 4" xfId="2763" xr:uid="{00000000-0005-0000-0000-0000C00A0000}"/>
    <cellStyle name="원_0305제낭조합-면범포지 5" xfId="2764" xr:uid="{00000000-0005-0000-0000-0000C10A0000}"/>
    <cellStyle name="원_0306제낭공업협동조합-면범포지원단(경비까지)" xfId="2765" xr:uid="{00000000-0005-0000-0000-0000C20A0000}"/>
    <cellStyle name="원_0306제낭공업협동조합-면범포지원단(경비까지) 2" xfId="2766" xr:uid="{00000000-0005-0000-0000-0000C30A0000}"/>
    <cellStyle name="원_0306제낭공업협동조합-면범포지원단(경비까지) 3" xfId="2767" xr:uid="{00000000-0005-0000-0000-0000C40A0000}"/>
    <cellStyle name="원_0306제낭공업협동조합-면범포지원단(경비까지) 4" xfId="2768" xr:uid="{00000000-0005-0000-0000-0000C50A0000}"/>
    <cellStyle name="원_0306제낭공업협동조합-면범포지원단(경비까지) 5" xfId="2769" xr:uid="{00000000-0005-0000-0000-0000C60A0000}"/>
    <cellStyle name="원_0307경찰청-무인교통단속표준SW개발용역(完)" xfId="2770" xr:uid="{00000000-0005-0000-0000-0000C70A0000}"/>
    <cellStyle name="원_0307경찰청-무인교통단속표준SW개발용역(完) 2" xfId="2771" xr:uid="{00000000-0005-0000-0000-0000C80A0000}"/>
    <cellStyle name="원_0307경찰청-무인교통단속표준SW개발용역(完) 3" xfId="2772" xr:uid="{00000000-0005-0000-0000-0000C90A0000}"/>
    <cellStyle name="원_0307경찰청-무인교통단속표준SW개발용역(完) 4" xfId="2773" xr:uid="{00000000-0005-0000-0000-0000CA0A0000}"/>
    <cellStyle name="원_0307경찰청-무인교통단속표준SW개발용역(完) 5" xfId="2774" xr:uid="{00000000-0005-0000-0000-0000CB0A0000}"/>
    <cellStyle name="원_0308조달청-#8대북지원사업정산" xfId="2775" xr:uid="{00000000-0005-0000-0000-0000CC0A0000}"/>
    <cellStyle name="원_0308조달청-#8대북지원사업정산 2" xfId="2776" xr:uid="{00000000-0005-0000-0000-0000CD0A0000}"/>
    <cellStyle name="원_0308조달청-#8대북지원사업정산 3" xfId="2777" xr:uid="{00000000-0005-0000-0000-0000CE0A0000}"/>
    <cellStyle name="원_0308조달청-#8대북지원사업정산 4" xfId="2778" xr:uid="{00000000-0005-0000-0000-0000CF0A0000}"/>
    <cellStyle name="원_0308조달청-#8대북지원사업정산 5" xfId="2779" xr:uid="{00000000-0005-0000-0000-0000D00A0000}"/>
    <cellStyle name="원_0309두합크린텍-설치원가" xfId="2780" xr:uid="{00000000-0005-0000-0000-0000D10A0000}"/>
    <cellStyle name="원_0309두합크린텍-설치원가 2" xfId="2781" xr:uid="{00000000-0005-0000-0000-0000D20A0000}"/>
    <cellStyle name="원_0309두합크린텍-설치원가 3" xfId="2782" xr:uid="{00000000-0005-0000-0000-0000D30A0000}"/>
    <cellStyle name="원_0309두합크린텍-설치원가 4" xfId="2783" xr:uid="{00000000-0005-0000-0000-0000D40A0000}"/>
    <cellStyle name="원_0309두합크린텍-설치원가 5" xfId="2784" xr:uid="{00000000-0005-0000-0000-0000D50A0000}"/>
    <cellStyle name="원_0309조달청-#9대북지원사업정산" xfId="2785" xr:uid="{00000000-0005-0000-0000-0000D60A0000}"/>
    <cellStyle name="원_0309조달청-#9대북지원사업정산 2" xfId="2786" xr:uid="{00000000-0005-0000-0000-0000D70A0000}"/>
    <cellStyle name="원_0309조달청-#9대북지원사업정산 3" xfId="2787" xr:uid="{00000000-0005-0000-0000-0000D80A0000}"/>
    <cellStyle name="원_0309조달청-#9대북지원사업정산 4" xfId="2788" xr:uid="{00000000-0005-0000-0000-0000D90A0000}"/>
    <cellStyle name="원_0309조달청-#9대북지원사업정산 5" xfId="2789" xr:uid="{00000000-0005-0000-0000-0000DA0A0000}"/>
    <cellStyle name="원_0310여주상수도-탈수기(유천ENG)" xfId="2790" xr:uid="{00000000-0005-0000-0000-0000DB0A0000}"/>
    <cellStyle name="원_0310여주상수도-탈수기(유천ENG) 2" xfId="2791" xr:uid="{00000000-0005-0000-0000-0000DC0A0000}"/>
    <cellStyle name="원_0310여주상수도-탈수기(유천ENG) 3" xfId="2792" xr:uid="{00000000-0005-0000-0000-0000DD0A0000}"/>
    <cellStyle name="원_0310여주상수도-탈수기(유천ENG) 4" xfId="2793" xr:uid="{00000000-0005-0000-0000-0000DE0A0000}"/>
    <cellStyle name="원_0310여주상수도-탈수기(유천ENG) 5" xfId="2794" xr:uid="{00000000-0005-0000-0000-0000DF0A0000}"/>
    <cellStyle name="원_0311대기해양작업시간" xfId="2795" xr:uid="{00000000-0005-0000-0000-0000E00A0000}"/>
    <cellStyle name="원_0311대기해양작업시간 2" xfId="2796" xr:uid="{00000000-0005-0000-0000-0000E10A0000}"/>
    <cellStyle name="원_0311대기해양작업시간 3" xfId="2797" xr:uid="{00000000-0005-0000-0000-0000E20A0000}"/>
    <cellStyle name="원_0311대기해양작업시간 4" xfId="2798" xr:uid="{00000000-0005-0000-0000-0000E30A0000}"/>
    <cellStyle name="원_0311대기해양작업시간 5" xfId="2799" xr:uid="{00000000-0005-0000-0000-0000E40A0000}"/>
    <cellStyle name="원_0311대기해양중형등명기" xfId="2800" xr:uid="{00000000-0005-0000-0000-0000E50A0000}"/>
    <cellStyle name="원_0311대기해양중형등명기 2" xfId="2801" xr:uid="{00000000-0005-0000-0000-0000E60A0000}"/>
    <cellStyle name="원_0311대기해양중형등명기 3" xfId="2802" xr:uid="{00000000-0005-0000-0000-0000E70A0000}"/>
    <cellStyle name="원_0311대기해양중형등명기 4" xfId="2803" xr:uid="{00000000-0005-0000-0000-0000E80A0000}"/>
    <cellStyle name="원_0311대기해양중형등명기 5" xfId="2804" xr:uid="{00000000-0005-0000-0000-0000E90A0000}"/>
    <cellStyle name="원_0312국민체육진흥공단-전기부문" xfId="2805" xr:uid="{00000000-0005-0000-0000-0000EA0A0000}"/>
    <cellStyle name="원_0312국민체육진흥공단-전기부문 2" xfId="2806" xr:uid="{00000000-0005-0000-0000-0000EB0A0000}"/>
    <cellStyle name="원_0312국민체육진흥공단-전기부문 3" xfId="2807" xr:uid="{00000000-0005-0000-0000-0000EC0A0000}"/>
    <cellStyle name="원_0312국민체육진흥공단-전기부문 4" xfId="2808" xr:uid="{00000000-0005-0000-0000-0000ED0A0000}"/>
    <cellStyle name="원_0312국민체육진흥공단-전기부문 5" xfId="2809" xr:uid="{00000000-0005-0000-0000-0000EE0A0000}"/>
    <cellStyle name="원_0312대기해양-중형등명기제작설치" xfId="2810" xr:uid="{00000000-0005-0000-0000-0000EF0A0000}"/>
    <cellStyle name="원_0312대기해양-중형등명기제작설치 2" xfId="2811" xr:uid="{00000000-0005-0000-0000-0000F00A0000}"/>
    <cellStyle name="원_0312대기해양-중형등명기제작설치 3" xfId="2812" xr:uid="{00000000-0005-0000-0000-0000F10A0000}"/>
    <cellStyle name="원_0312대기해양-중형등명기제작설치 4" xfId="2813" xr:uid="{00000000-0005-0000-0000-0000F20A0000}"/>
    <cellStyle name="원_0312대기해양-중형등명기제작설치 5" xfId="2814" xr:uid="{00000000-0005-0000-0000-0000F30A0000}"/>
    <cellStyle name="원_0312라이준-칼라아스콘4규격" xfId="2815" xr:uid="{00000000-0005-0000-0000-0000F40A0000}"/>
    <cellStyle name="원_0312라이준-칼라아스콘4규격 2" xfId="2816" xr:uid="{00000000-0005-0000-0000-0000F50A0000}"/>
    <cellStyle name="원_0312라이준-칼라아스콘4규격 3" xfId="2817" xr:uid="{00000000-0005-0000-0000-0000F60A0000}"/>
    <cellStyle name="원_0312라이준-칼라아스콘4규격 4" xfId="2818" xr:uid="{00000000-0005-0000-0000-0000F70A0000}"/>
    <cellStyle name="원_0312라이준-칼라아스콘4규격 5" xfId="2819" xr:uid="{00000000-0005-0000-0000-0000F80A0000}"/>
    <cellStyle name="원_0401집진기프로그램SW개발비산정" xfId="2820" xr:uid="{00000000-0005-0000-0000-0000F90A0000}"/>
    <cellStyle name="원_0401집진기프로그램SW개발비산정 2" xfId="2821" xr:uid="{00000000-0005-0000-0000-0000FA0A0000}"/>
    <cellStyle name="원_0401집진기프로그램SW개발비산정 3" xfId="2822" xr:uid="{00000000-0005-0000-0000-0000FB0A0000}"/>
    <cellStyle name="원_0401집진기프로그램SW개발비산정 4" xfId="2823" xr:uid="{00000000-0005-0000-0000-0000FC0A0000}"/>
    <cellStyle name="원_0401집진기프로그램SW개발비산정 5" xfId="2824" xr:uid="{00000000-0005-0000-0000-0000FD0A0000}"/>
    <cellStyle name="원_0404도로공사-전자지불(SW부문)" xfId="2825" xr:uid="{00000000-0005-0000-0000-0000FE0A0000}"/>
    <cellStyle name="원_0404도로공사-전자지불(SW부문) 2" xfId="2826" xr:uid="{00000000-0005-0000-0000-0000FF0A0000}"/>
    <cellStyle name="원_0404도로공사-전자지불(SW부문) 3" xfId="2827" xr:uid="{00000000-0005-0000-0000-0000000B0000}"/>
    <cellStyle name="원_0404도로공사-전자지불(SW부문) 4" xfId="2828" xr:uid="{00000000-0005-0000-0000-0000010B0000}"/>
    <cellStyle name="원_0404도로공사-전자지불(SW부문) 5" xfId="2829" xr:uid="{00000000-0005-0000-0000-0000020B0000}"/>
    <cellStyle name="원_2001-06조달청신성-한냉지형" xfId="2830" xr:uid="{00000000-0005-0000-0000-0000030B0000}"/>
    <cellStyle name="원_2001-06조달청신성-한냉지형 2" xfId="2831" xr:uid="{00000000-0005-0000-0000-0000040B0000}"/>
    <cellStyle name="원_2001-06조달청신성-한냉지형 3" xfId="2832" xr:uid="{00000000-0005-0000-0000-0000050B0000}"/>
    <cellStyle name="원_2001-06조달청신성-한냉지형 4" xfId="2833" xr:uid="{00000000-0005-0000-0000-0000060B0000}"/>
    <cellStyle name="원_2001-06조달청신성-한냉지형 5" xfId="2834" xr:uid="{00000000-0005-0000-0000-0000070B0000}"/>
    <cellStyle name="원_2002-03경찰대학-졸업식" xfId="2835" xr:uid="{00000000-0005-0000-0000-0000080B0000}"/>
    <cellStyle name="원_2002-03경찰대학-졸업식 2" xfId="2836" xr:uid="{00000000-0005-0000-0000-0000090B0000}"/>
    <cellStyle name="원_2002-03경찰대학-졸업식 3" xfId="2837" xr:uid="{00000000-0005-0000-0000-00000A0B0000}"/>
    <cellStyle name="원_2002-03경찰대학-졸업식 4" xfId="2838" xr:uid="{00000000-0005-0000-0000-00000B0B0000}"/>
    <cellStyle name="원_2002-03경찰대학-졸업식 5" xfId="2839" xr:uid="{00000000-0005-0000-0000-00000C0B0000}"/>
    <cellStyle name="원_2002-03경찰청-경찰표지장" xfId="2840" xr:uid="{00000000-0005-0000-0000-00000D0B0000}"/>
    <cellStyle name="원_2002-03경찰청-경찰표지장 2" xfId="2841" xr:uid="{00000000-0005-0000-0000-00000E0B0000}"/>
    <cellStyle name="원_2002-03경찰청-경찰표지장 3" xfId="2842" xr:uid="{00000000-0005-0000-0000-00000F0B0000}"/>
    <cellStyle name="원_2002-03경찰청-경찰표지장 4" xfId="2843" xr:uid="{00000000-0005-0000-0000-0000100B0000}"/>
    <cellStyle name="원_2002-03경찰청-경찰표지장 5" xfId="2844" xr:uid="{00000000-0005-0000-0000-0000110B0000}"/>
    <cellStyle name="원_2002-03반디-가로등(열주형)" xfId="2845" xr:uid="{00000000-0005-0000-0000-0000120B0000}"/>
    <cellStyle name="원_2002-03반디-가로등(열주형) 2" xfId="2846" xr:uid="{00000000-0005-0000-0000-0000130B0000}"/>
    <cellStyle name="원_2002-03반디-가로등(열주형) 3" xfId="2847" xr:uid="{00000000-0005-0000-0000-0000140B0000}"/>
    <cellStyle name="원_2002-03반디-가로등(열주형) 4" xfId="2848" xr:uid="{00000000-0005-0000-0000-0000150B0000}"/>
    <cellStyle name="원_2002-03반디-가로등(열주형) 5" xfId="2849" xr:uid="{00000000-0005-0000-0000-0000160B0000}"/>
    <cellStyle name="원_2002-03신화전자-감지기" xfId="2850" xr:uid="{00000000-0005-0000-0000-0000170B0000}"/>
    <cellStyle name="원_2002-03신화전자-감지기 2" xfId="2851" xr:uid="{00000000-0005-0000-0000-0000180B0000}"/>
    <cellStyle name="원_2002-03신화전자-감지기 3" xfId="2852" xr:uid="{00000000-0005-0000-0000-0000190B0000}"/>
    <cellStyle name="원_2002-03신화전자-감지기 4" xfId="2853" xr:uid="{00000000-0005-0000-0000-00001A0B0000}"/>
    <cellStyle name="원_2002-03신화전자-감지기 5" xfId="2854" xr:uid="{00000000-0005-0000-0000-00001B0B0000}"/>
    <cellStyle name="원_2002-04강원랜드-슬러트머신" xfId="2855" xr:uid="{00000000-0005-0000-0000-00001C0B0000}"/>
    <cellStyle name="원_2002-04강원랜드-슬러트머신 2" xfId="2856" xr:uid="{00000000-0005-0000-0000-00001D0B0000}"/>
    <cellStyle name="원_2002-04강원랜드-슬러트머신 3" xfId="2857" xr:uid="{00000000-0005-0000-0000-00001E0B0000}"/>
    <cellStyle name="원_2002-04강원랜드-슬러트머신 4" xfId="2858" xr:uid="{00000000-0005-0000-0000-00001F0B0000}"/>
    <cellStyle name="원_2002-04강원랜드-슬러트머신 5" xfId="2859" xr:uid="{00000000-0005-0000-0000-0000200B0000}"/>
    <cellStyle name="원_2002-04메가컴-외주무대" xfId="2860" xr:uid="{00000000-0005-0000-0000-0000210B0000}"/>
    <cellStyle name="원_2002-04메가컴-외주무대 2" xfId="2861" xr:uid="{00000000-0005-0000-0000-0000220B0000}"/>
    <cellStyle name="원_2002-04메가컴-외주무대 3" xfId="2862" xr:uid="{00000000-0005-0000-0000-0000230B0000}"/>
    <cellStyle name="원_2002-04메가컴-외주무대 4" xfId="2863" xr:uid="{00000000-0005-0000-0000-0000240B0000}"/>
    <cellStyle name="원_2002-04메가컴-외주무대 5" xfId="2864" xr:uid="{00000000-0005-0000-0000-0000250B0000}"/>
    <cellStyle name="원_2002-04엘지애드-무대" xfId="2865" xr:uid="{00000000-0005-0000-0000-0000260B0000}"/>
    <cellStyle name="원_2002-04엘지애드-무대 2" xfId="2866" xr:uid="{00000000-0005-0000-0000-0000270B0000}"/>
    <cellStyle name="원_2002-04엘지애드-무대 3" xfId="2867" xr:uid="{00000000-0005-0000-0000-0000280B0000}"/>
    <cellStyle name="원_2002-04엘지애드-무대 4" xfId="2868" xr:uid="{00000000-0005-0000-0000-0000290B0000}"/>
    <cellStyle name="원_2002-04엘지애드-무대 5" xfId="2869" xr:uid="{00000000-0005-0000-0000-00002A0B0000}"/>
    <cellStyle name="원_2002-05강원랜드-슬러트머신(넥스터)" xfId="2870" xr:uid="{00000000-0005-0000-0000-00002B0B0000}"/>
    <cellStyle name="원_2002-05강원랜드-슬러트머신(넥스터) 2" xfId="2871" xr:uid="{00000000-0005-0000-0000-00002C0B0000}"/>
    <cellStyle name="원_2002-05강원랜드-슬러트머신(넥스터) 3" xfId="2872" xr:uid="{00000000-0005-0000-0000-00002D0B0000}"/>
    <cellStyle name="원_2002-05강원랜드-슬러트머신(넥스터) 4" xfId="2873" xr:uid="{00000000-0005-0000-0000-00002E0B0000}"/>
    <cellStyle name="원_2002-05강원랜드-슬러트머신(넥스터) 5" xfId="2874" xr:uid="{00000000-0005-0000-0000-00002F0B0000}"/>
    <cellStyle name="원_2002-05경기경찰청-냉온수기공사" xfId="2875" xr:uid="{00000000-0005-0000-0000-0000300B0000}"/>
    <cellStyle name="원_2002-05경기경찰청-냉온수기공사 2" xfId="2876" xr:uid="{00000000-0005-0000-0000-0000310B0000}"/>
    <cellStyle name="원_2002-05경기경찰청-냉온수기공사 3" xfId="2877" xr:uid="{00000000-0005-0000-0000-0000320B0000}"/>
    <cellStyle name="원_2002-05경기경찰청-냉온수기공사 4" xfId="2878" xr:uid="{00000000-0005-0000-0000-0000330B0000}"/>
    <cellStyle name="원_2002-05경기경찰청-냉온수기공사 5" xfId="2879" xr:uid="{00000000-0005-0000-0000-0000340B0000}"/>
    <cellStyle name="원_2002-05대통령비서실-카페트" xfId="2880" xr:uid="{00000000-0005-0000-0000-0000350B0000}"/>
    <cellStyle name="원_2002-05대통령비서실-카페트 2" xfId="2881" xr:uid="{00000000-0005-0000-0000-0000360B0000}"/>
    <cellStyle name="원_2002-05대통령비서실-카페트 3" xfId="2882" xr:uid="{00000000-0005-0000-0000-0000370B0000}"/>
    <cellStyle name="원_2002-05대통령비서실-카페트 4" xfId="2883" xr:uid="{00000000-0005-0000-0000-0000380B0000}"/>
    <cellStyle name="원_2002-05대통령비서실-카페트 5" xfId="2884" xr:uid="{00000000-0005-0000-0000-0000390B0000}"/>
    <cellStyle name="원_2002결과표" xfId="2885" xr:uid="{00000000-0005-0000-0000-00003A0B0000}"/>
    <cellStyle name="원_2002결과표 2" xfId="2886" xr:uid="{00000000-0005-0000-0000-00003B0B0000}"/>
    <cellStyle name="원_2002결과표 3" xfId="2887" xr:uid="{00000000-0005-0000-0000-00003C0B0000}"/>
    <cellStyle name="원_2002결과표 4" xfId="2888" xr:uid="{00000000-0005-0000-0000-00003D0B0000}"/>
    <cellStyle name="원_2002결과표 5" xfId="2889" xr:uid="{00000000-0005-0000-0000-00003E0B0000}"/>
    <cellStyle name="원_2002결과표1" xfId="2890" xr:uid="{00000000-0005-0000-0000-00003F0B0000}"/>
    <cellStyle name="원_2002결과표1 2" xfId="2891" xr:uid="{00000000-0005-0000-0000-0000400B0000}"/>
    <cellStyle name="원_2002결과표1 3" xfId="2892" xr:uid="{00000000-0005-0000-0000-0000410B0000}"/>
    <cellStyle name="원_2002결과표1 4" xfId="2893" xr:uid="{00000000-0005-0000-0000-0000420B0000}"/>
    <cellStyle name="원_2002결과표1 5" xfId="2894" xr:uid="{00000000-0005-0000-0000-0000430B0000}"/>
    <cellStyle name="원_2003-01정일사-표창5종" xfId="2895" xr:uid="{00000000-0005-0000-0000-0000440B0000}"/>
    <cellStyle name="원_2003-01정일사-표창5종 2" xfId="2896" xr:uid="{00000000-0005-0000-0000-0000450B0000}"/>
    <cellStyle name="원_2003-01정일사-표창5종 3" xfId="2897" xr:uid="{00000000-0005-0000-0000-0000460B0000}"/>
    <cellStyle name="원_2003-01정일사-표창5종 4" xfId="2898" xr:uid="{00000000-0005-0000-0000-0000470B0000}"/>
    <cellStyle name="원_2003-01정일사-표창5종 5" xfId="2899" xr:uid="{00000000-0005-0000-0000-0000480B0000}"/>
    <cellStyle name="원_Pilot플랜트-계변경" xfId="2900" xr:uid="{00000000-0005-0000-0000-0000490B0000}"/>
    <cellStyle name="원_Pilot플랜트-계변경 2" xfId="2901" xr:uid="{00000000-0005-0000-0000-00004A0B0000}"/>
    <cellStyle name="원_Pilot플랜트-계변경 3" xfId="2902" xr:uid="{00000000-0005-0000-0000-00004B0B0000}"/>
    <cellStyle name="원_Pilot플랜트-계변경 4" xfId="2903" xr:uid="{00000000-0005-0000-0000-00004C0B0000}"/>
    <cellStyle name="원_Pilot플랜트-계변경 5" xfId="2904" xr:uid="{00000000-0005-0000-0000-00004D0B0000}"/>
    <cellStyle name="원_Pilot플랜트이전설치-변경최종" xfId="2905" xr:uid="{00000000-0005-0000-0000-00004E0B0000}"/>
    <cellStyle name="원_Pilot플랜트이전설치-변경최종 2" xfId="2906" xr:uid="{00000000-0005-0000-0000-00004F0B0000}"/>
    <cellStyle name="원_Pilot플랜트이전설치-변경최종 3" xfId="2907" xr:uid="{00000000-0005-0000-0000-0000500B0000}"/>
    <cellStyle name="원_Pilot플랜트이전설치-변경최종 4" xfId="2908" xr:uid="{00000000-0005-0000-0000-0000510B0000}"/>
    <cellStyle name="원_Pilot플랜트이전설치-변경최종 5" xfId="2909" xr:uid="{00000000-0005-0000-0000-0000520B0000}"/>
    <cellStyle name="원_SW(케이비)" xfId="2910" xr:uid="{00000000-0005-0000-0000-0000530B0000}"/>
    <cellStyle name="원_SW(케이비) 2" xfId="2911" xr:uid="{00000000-0005-0000-0000-0000540B0000}"/>
    <cellStyle name="원_SW(케이비) 3" xfId="2912" xr:uid="{00000000-0005-0000-0000-0000550B0000}"/>
    <cellStyle name="원_SW(케이비) 4" xfId="2913" xr:uid="{00000000-0005-0000-0000-0000560B0000}"/>
    <cellStyle name="원_SW(케이비) 5" xfId="2914" xr:uid="{00000000-0005-0000-0000-0000570B0000}"/>
    <cellStyle name="원_간지,목차,페이지,표지" xfId="2915" xr:uid="{00000000-0005-0000-0000-0000580B0000}"/>
    <cellStyle name="원_간지,목차,페이지,표지 2" xfId="2916" xr:uid="{00000000-0005-0000-0000-0000590B0000}"/>
    <cellStyle name="원_간지,목차,페이지,표지 3" xfId="2917" xr:uid="{00000000-0005-0000-0000-00005A0B0000}"/>
    <cellStyle name="원_간지,목차,페이지,표지 4" xfId="2918" xr:uid="{00000000-0005-0000-0000-00005B0B0000}"/>
    <cellStyle name="원_간지,목차,페이지,표지 5" xfId="2919" xr:uid="{00000000-0005-0000-0000-00005C0B0000}"/>
    <cellStyle name="원_경찰청-근무,기동복" xfId="2920" xr:uid="{00000000-0005-0000-0000-00005D0B0000}"/>
    <cellStyle name="원_경찰청-근무,기동복 2" xfId="2921" xr:uid="{00000000-0005-0000-0000-00005E0B0000}"/>
    <cellStyle name="원_경찰청-근무,기동복 3" xfId="2922" xr:uid="{00000000-0005-0000-0000-00005F0B0000}"/>
    <cellStyle name="원_경찰청-근무,기동복 4" xfId="2923" xr:uid="{00000000-0005-0000-0000-0000600B0000}"/>
    <cellStyle name="원_경찰청-근무,기동복 5" xfId="2924" xr:uid="{00000000-0005-0000-0000-0000610B0000}"/>
    <cellStyle name="원_공사일반관리비양식" xfId="2925" xr:uid="{00000000-0005-0000-0000-0000620B0000}"/>
    <cellStyle name="원_공사일반관리비양식 2" xfId="2926" xr:uid="{00000000-0005-0000-0000-0000630B0000}"/>
    <cellStyle name="원_공사일반관리비양식 3" xfId="2927" xr:uid="{00000000-0005-0000-0000-0000640B0000}"/>
    <cellStyle name="원_공사일반관리비양식 4" xfId="2928" xr:uid="{00000000-0005-0000-0000-0000650B0000}"/>
    <cellStyle name="원_공사일반관리비양식 5" xfId="2929" xr:uid="{00000000-0005-0000-0000-0000660B0000}"/>
    <cellStyle name="원_기초공사" xfId="2930" xr:uid="{00000000-0005-0000-0000-0000670B0000}"/>
    <cellStyle name="원_네인텍정보기술-회로카드(수현)" xfId="2931" xr:uid="{00000000-0005-0000-0000-0000680B0000}"/>
    <cellStyle name="원_네인텍정보기술-회로카드(수현) 2" xfId="2932" xr:uid="{00000000-0005-0000-0000-0000690B0000}"/>
    <cellStyle name="원_네인텍정보기술-회로카드(수현) 3" xfId="2933" xr:uid="{00000000-0005-0000-0000-00006A0B0000}"/>
    <cellStyle name="원_네인텍정보기술-회로카드(수현) 4" xfId="2934" xr:uid="{00000000-0005-0000-0000-00006B0B0000}"/>
    <cellStyle name="원_네인텍정보기술-회로카드(수현) 5" xfId="2935" xr:uid="{00000000-0005-0000-0000-00006C0B0000}"/>
    <cellStyle name="원_대기해양노무비" xfId="2936" xr:uid="{00000000-0005-0000-0000-00006D0B0000}"/>
    <cellStyle name="원_대기해양노무비 2" xfId="2937" xr:uid="{00000000-0005-0000-0000-00006E0B0000}"/>
    <cellStyle name="원_대기해양노무비 3" xfId="2938" xr:uid="{00000000-0005-0000-0000-00006F0B0000}"/>
    <cellStyle name="원_대기해양노무비 4" xfId="2939" xr:uid="{00000000-0005-0000-0000-0000700B0000}"/>
    <cellStyle name="원_대기해양노무비 5" xfId="2940" xr:uid="{00000000-0005-0000-0000-0000710B0000}"/>
    <cellStyle name="원_대북자재8월분" xfId="2941" xr:uid="{00000000-0005-0000-0000-0000720B0000}"/>
    <cellStyle name="원_대북자재8월분 2" xfId="2942" xr:uid="{00000000-0005-0000-0000-0000730B0000}"/>
    <cellStyle name="원_대북자재8월분 3" xfId="2943" xr:uid="{00000000-0005-0000-0000-0000740B0000}"/>
    <cellStyle name="원_대북자재8월분 4" xfId="2944" xr:uid="{00000000-0005-0000-0000-0000750B0000}"/>
    <cellStyle name="원_대북자재8월분 5" xfId="2945" xr:uid="{00000000-0005-0000-0000-0000760B0000}"/>
    <cellStyle name="원_대북자재8월분-1" xfId="2946" xr:uid="{00000000-0005-0000-0000-0000770B0000}"/>
    <cellStyle name="원_대북자재8월분-1 2" xfId="2947" xr:uid="{00000000-0005-0000-0000-0000780B0000}"/>
    <cellStyle name="원_대북자재8월분-1 3" xfId="2948" xr:uid="{00000000-0005-0000-0000-0000790B0000}"/>
    <cellStyle name="원_대북자재8월분-1 4" xfId="2949" xr:uid="{00000000-0005-0000-0000-00007A0B0000}"/>
    <cellStyle name="원_대북자재8월분-1 5" xfId="2950" xr:uid="{00000000-0005-0000-0000-00007B0B0000}"/>
    <cellStyle name="원_도로공사MM" xfId="2951" xr:uid="{00000000-0005-0000-0000-00007C0B0000}"/>
    <cellStyle name="원_도로공사MM 2" xfId="2952" xr:uid="{00000000-0005-0000-0000-00007D0B0000}"/>
    <cellStyle name="원_도로공사MM 3" xfId="2953" xr:uid="{00000000-0005-0000-0000-00007E0B0000}"/>
    <cellStyle name="원_도로공사MM 4" xfId="2954" xr:uid="{00000000-0005-0000-0000-00007F0B0000}"/>
    <cellStyle name="원_도로공사MM 5" xfId="2955" xr:uid="{00000000-0005-0000-0000-0000800B0000}"/>
    <cellStyle name="원_도로공사tcssw" xfId="2956" xr:uid="{00000000-0005-0000-0000-0000810B0000}"/>
    <cellStyle name="원_도로공사tcssw 2" xfId="2957" xr:uid="{00000000-0005-0000-0000-0000820B0000}"/>
    <cellStyle name="원_도로공사tcssw 3" xfId="2958" xr:uid="{00000000-0005-0000-0000-0000830B0000}"/>
    <cellStyle name="원_도로공사tcssw 4" xfId="2959" xr:uid="{00000000-0005-0000-0000-0000840B0000}"/>
    <cellStyle name="원_도로공사tcssw 5" xfId="2960" xr:uid="{00000000-0005-0000-0000-0000850B0000}"/>
    <cellStyle name="원_동산용사촌수현(원본)" xfId="2961" xr:uid="{00000000-0005-0000-0000-0000860B0000}"/>
    <cellStyle name="원_동산용사촌수현(원본) 2" xfId="2962" xr:uid="{00000000-0005-0000-0000-0000870B0000}"/>
    <cellStyle name="원_동산용사촌수현(원본) 3" xfId="2963" xr:uid="{00000000-0005-0000-0000-0000880B0000}"/>
    <cellStyle name="원_동산용사촌수현(원본) 4" xfId="2964" xr:uid="{00000000-0005-0000-0000-0000890B0000}"/>
    <cellStyle name="원_동산용사촌수현(원본) 5" xfId="2965" xr:uid="{00000000-0005-0000-0000-00008A0B0000}"/>
    <cellStyle name="원_백제군사전시1" xfId="2966" xr:uid="{00000000-0005-0000-0000-00008B0B0000}"/>
    <cellStyle name="원_백제군사전시1 2" xfId="2967" xr:uid="{00000000-0005-0000-0000-00008C0B0000}"/>
    <cellStyle name="원_백제군사전시1 3" xfId="2968" xr:uid="{00000000-0005-0000-0000-00008D0B0000}"/>
    <cellStyle name="원_백제군사전시1 4" xfId="2969" xr:uid="{00000000-0005-0000-0000-00008E0B0000}"/>
    <cellStyle name="원_백제군사전시1 5" xfId="2970" xr:uid="{00000000-0005-0000-0000-00008F0B0000}"/>
    <cellStyle name="원_수초제거기(대양기계)" xfId="2971" xr:uid="{00000000-0005-0000-0000-0000900B0000}"/>
    <cellStyle name="원_수초제거기(대양기계) 2" xfId="2972" xr:uid="{00000000-0005-0000-0000-0000910B0000}"/>
    <cellStyle name="원_수초제거기(대양기계) 3" xfId="2973" xr:uid="{00000000-0005-0000-0000-0000920B0000}"/>
    <cellStyle name="원_수초제거기(대양기계) 4" xfId="2974" xr:uid="{00000000-0005-0000-0000-0000930B0000}"/>
    <cellStyle name="원_수초제거기(대양기계) 5" xfId="2975" xr:uid="{00000000-0005-0000-0000-0000940B0000}"/>
    <cellStyle name="원_시설용역" xfId="2976" xr:uid="{00000000-0005-0000-0000-0000950B0000}"/>
    <cellStyle name="원_시설용역 2" xfId="2977" xr:uid="{00000000-0005-0000-0000-0000960B0000}"/>
    <cellStyle name="원_시설용역 3" xfId="2978" xr:uid="{00000000-0005-0000-0000-0000970B0000}"/>
    <cellStyle name="원_시설용역 4" xfId="2979" xr:uid="{00000000-0005-0000-0000-0000980B0000}"/>
    <cellStyle name="원_시설용역 5" xfId="2980" xr:uid="{00000000-0005-0000-0000-0000990B0000}"/>
    <cellStyle name="원_오리엔탈" xfId="2981" xr:uid="{00000000-0005-0000-0000-00009A0B0000}"/>
    <cellStyle name="원_오리엔탈 2" xfId="2982" xr:uid="{00000000-0005-0000-0000-00009B0B0000}"/>
    <cellStyle name="원_오리엔탈 3" xfId="2983" xr:uid="{00000000-0005-0000-0000-00009C0B0000}"/>
    <cellStyle name="원_오리엔탈 4" xfId="2984" xr:uid="{00000000-0005-0000-0000-00009D0B0000}"/>
    <cellStyle name="원_오리엔탈 5" xfId="2985" xr:uid="{00000000-0005-0000-0000-00009E0B0000}"/>
    <cellStyle name="원_원본 - 한국전기교통-개선형신호등 4종" xfId="2986" xr:uid="{00000000-0005-0000-0000-00009F0B0000}"/>
    <cellStyle name="원_원본 - 한국전기교통-개선형신호등 4종 2" xfId="2987" xr:uid="{00000000-0005-0000-0000-0000A00B0000}"/>
    <cellStyle name="원_원본 - 한국전기교통-개선형신호등 4종 3" xfId="2988" xr:uid="{00000000-0005-0000-0000-0000A10B0000}"/>
    <cellStyle name="원_원본 - 한국전기교통-개선형신호등 4종 4" xfId="2989" xr:uid="{00000000-0005-0000-0000-0000A20B0000}"/>
    <cellStyle name="원_원본 - 한국전기교통-개선형신호등 4종 5" xfId="2990" xr:uid="{00000000-0005-0000-0000-0000A30B0000}"/>
    <cellStyle name="원_제경비율모음" xfId="2991" xr:uid="{00000000-0005-0000-0000-0000A40B0000}"/>
    <cellStyle name="원_제경비율모음 2" xfId="2992" xr:uid="{00000000-0005-0000-0000-0000A50B0000}"/>
    <cellStyle name="원_제경비율모음 3" xfId="2993" xr:uid="{00000000-0005-0000-0000-0000A60B0000}"/>
    <cellStyle name="원_제경비율모음 4" xfId="2994" xr:uid="{00000000-0005-0000-0000-0000A70B0000}"/>
    <cellStyle name="원_제경비율모음 5" xfId="2995" xr:uid="{00000000-0005-0000-0000-0000A80B0000}"/>
    <cellStyle name="원_제조원가" xfId="2996" xr:uid="{00000000-0005-0000-0000-0000A90B0000}"/>
    <cellStyle name="원_제조원가 2" xfId="2997" xr:uid="{00000000-0005-0000-0000-0000AA0B0000}"/>
    <cellStyle name="원_제조원가 3" xfId="2998" xr:uid="{00000000-0005-0000-0000-0000AB0B0000}"/>
    <cellStyle name="원_제조원가 4" xfId="2999" xr:uid="{00000000-0005-0000-0000-0000AC0B0000}"/>
    <cellStyle name="원_제조원가 5" xfId="3000" xr:uid="{00000000-0005-0000-0000-0000AD0B0000}"/>
    <cellStyle name="원_조달청-B판사천강교제작(최종본)" xfId="3001" xr:uid="{00000000-0005-0000-0000-0000AE0B0000}"/>
    <cellStyle name="원_조달청-B판사천강교제작(최종본) 2" xfId="3002" xr:uid="{00000000-0005-0000-0000-0000AF0B0000}"/>
    <cellStyle name="원_조달청-B판사천강교제작(최종본) 3" xfId="3003" xr:uid="{00000000-0005-0000-0000-0000B00B0000}"/>
    <cellStyle name="원_조달청-B판사천강교제작(최종본) 4" xfId="3004" xr:uid="{00000000-0005-0000-0000-0000B10B0000}"/>
    <cellStyle name="원_조달청-B판사천강교제작(최종본) 5" xfId="3005" xr:uid="{00000000-0005-0000-0000-0000B20B0000}"/>
    <cellStyle name="원_조달청-대북지원3차(최수현)" xfId="3006" xr:uid="{00000000-0005-0000-0000-0000B30B0000}"/>
    <cellStyle name="원_조달청-대북지원3차(최수현) 2" xfId="3007" xr:uid="{00000000-0005-0000-0000-0000B40B0000}"/>
    <cellStyle name="원_조달청-대북지원3차(최수현) 3" xfId="3008" xr:uid="{00000000-0005-0000-0000-0000B50B0000}"/>
    <cellStyle name="원_조달청-대북지원3차(최수현) 4" xfId="3009" xr:uid="{00000000-0005-0000-0000-0000B60B0000}"/>
    <cellStyle name="원_조달청-대북지원3차(최수현) 5" xfId="3010" xr:uid="{00000000-0005-0000-0000-0000B70B0000}"/>
    <cellStyle name="원_조달청-대북지원4차(최수현)" xfId="3011" xr:uid="{00000000-0005-0000-0000-0000B80B0000}"/>
    <cellStyle name="원_조달청-대북지원4차(최수현) 2" xfId="3012" xr:uid="{00000000-0005-0000-0000-0000B90B0000}"/>
    <cellStyle name="원_조달청-대북지원4차(최수현) 3" xfId="3013" xr:uid="{00000000-0005-0000-0000-0000BA0B0000}"/>
    <cellStyle name="원_조달청-대북지원4차(최수현) 4" xfId="3014" xr:uid="{00000000-0005-0000-0000-0000BB0B0000}"/>
    <cellStyle name="원_조달청-대북지원4차(최수현) 5" xfId="3015" xr:uid="{00000000-0005-0000-0000-0000BC0B0000}"/>
    <cellStyle name="원_조달청-대북지원5차(최수현)" xfId="3016" xr:uid="{00000000-0005-0000-0000-0000BD0B0000}"/>
    <cellStyle name="원_조달청-대북지원5차(최수현) 2" xfId="3017" xr:uid="{00000000-0005-0000-0000-0000BE0B0000}"/>
    <cellStyle name="원_조달청-대북지원5차(최수현) 3" xfId="3018" xr:uid="{00000000-0005-0000-0000-0000BF0B0000}"/>
    <cellStyle name="원_조달청-대북지원5차(최수현) 4" xfId="3019" xr:uid="{00000000-0005-0000-0000-0000C00B0000}"/>
    <cellStyle name="원_조달청-대북지원5차(최수현) 5" xfId="3020" xr:uid="{00000000-0005-0000-0000-0000C10B0000}"/>
    <cellStyle name="원_조달청-대북지원6차(번호)" xfId="3021" xr:uid="{00000000-0005-0000-0000-0000C20B0000}"/>
    <cellStyle name="원_조달청-대북지원6차(번호) 2" xfId="3022" xr:uid="{00000000-0005-0000-0000-0000C30B0000}"/>
    <cellStyle name="원_조달청-대북지원6차(번호) 3" xfId="3023" xr:uid="{00000000-0005-0000-0000-0000C40B0000}"/>
    <cellStyle name="원_조달청-대북지원6차(번호) 4" xfId="3024" xr:uid="{00000000-0005-0000-0000-0000C50B0000}"/>
    <cellStyle name="원_조달청-대북지원6차(번호) 5" xfId="3025" xr:uid="{00000000-0005-0000-0000-0000C60B0000}"/>
    <cellStyle name="원_조달청-대북지원6차(최수현)" xfId="3026" xr:uid="{00000000-0005-0000-0000-0000C70B0000}"/>
    <cellStyle name="원_조달청-대북지원6차(최수현) 2" xfId="3027" xr:uid="{00000000-0005-0000-0000-0000C80B0000}"/>
    <cellStyle name="원_조달청-대북지원6차(최수현) 3" xfId="3028" xr:uid="{00000000-0005-0000-0000-0000C90B0000}"/>
    <cellStyle name="원_조달청-대북지원6차(최수현) 4" xfId="3029" xr:uid="{00000000-0005-0000-0000-0000CA0B0000}"/>
    <cellStyle name="원_조달청-대북지원6차(최수현) 5" xfId="3030" xr:uid="{00000000-0005-0000-0000-0000CB0B0000}"/>
    <cellStyle name="원_조달청-대북지원7차(최수현)" xfId="3031" xr:uid="{00000000-0005-0000-0000-0000CC0B0000}"/>
    <cellStyle name="원_조달청-대북지원7차(최수현) 2" xfId="3032" xr:uid="{00000000-0005-0000-0000-0000CD0B0000}"/>
    <cellStyle name="원_조달청-대북지원7차(최수현) 3" xfId="3033" xr:uid="{00000000-0005-0000-0000-0000CE0B0000}"/>
    <cellStyle name="원_조달청-대북지원7차(최수현) 4" xfId="3034" xr:uid="{00000000-0005-0000-0000-0000CF0B0000}"/>
    <cellStyle name="원_조달청-대북지원7차(최수현) 5" xfId="3035" xr:uid="{00000000-0005-0000-0000-0000D00B0000}"/>
    <cellStyle name="원_조달청-대북지원8차(최수현)" xfId="3036" xr:uid="{00000000-0005-0000-0000-0000D10B0000}"/>
    <cellStyle name="원_조달청-대북지원8차(최수현) 2" xfId="3037" xr:uid="{00000000-0005-0000-0000-0000D20B0000}"/>
    <cellStyle name="원_조달청-대북지원8차(최수현) 3" xfId="3038" xr:uid="{00000000-0005-0000-0000-0000D30B0000}"/>
    <cellStyle name="원_조달청-대북지원8차(최수현) 4" xfId="3039" xr:uid="{00000000-0005-0000-0000-0000D40B0000}"/>
    <cellStyle name="원_조달청-대북지원8차(최수현) 5" xfId="3040" xr:uid="{00000000-0005-0000-0000-0000D50B0000}"/>
    <cellStyle name="원_조달청-대북지원9차(최수현)" xfId="3041" xr:uid="{00000000-0005-0000-0000-0000D60B0000}"/>
    <cellStyle name="원_조달청-대북지원9차(최수현) 2" xfId="3042" xr:uid="{00000000-0005-0000-0000-0000D70B0000}"/>
    <cellStyle name="원_조달청-대북지원9차(최수현) 3" xfId="3043" xr:uid="{00000000-0005-0000-0000-0000D80B0000}"/>
    <cellStyle name="원_조달청-대북지원9차(최수현) 4" xfId="3044" xr:uid="{00000000-0005-0000-0000-0000D90B0000}"/>
    <cellStyle name="원_조달청-대북지원9차(최수현) 5" xfId="3045" xr:uid="{00000000-0005-0000-0000-0000DA0B0000}"/>
    <cellStyle name="원_중앙선관위(투표,개표)" xfId="3046" xr:uid="{00000000-0005-0000-0000-0000DB0B0000}"/>
    <cellStyle name="원_중앙선관위(투표,개표) 2" xfId="3047" xr:uid="{00000000-0005-0000-0000-0000DC0B0000}"/>
    <cellStyle name="원_중앙선관위(투표,개표) 3" xfId="3048" xr:uid="{00000000-0005-0000-0000-0000DD0B0000}"/>
    <cellStyle name="원_중앙선관위(투표,개표) 4" xfId="3049" xr:uid="{00000000-0005-0000-0000-0000DE0B0000}"/>
    <cellStyle name="원_중앙선관위(투표,개표) 5" xfId="3050" xr:uid="{00000000-0005-0000-0000-0000DF0B0000}"/>
    <cellStyle name="원_중앙선관위(투표,개표)-사본" xfId="3051" xr:uid="{00000000-0005-0000-0000-0000E00B0000}"/>
    <cellStyle name="원_중앙선관위(투표,개표)-사본 2" xfId="3052" xr:uid="{00000000-0005-0000-0000-0000E10B0000}"/>
    <cellStyle name="원_중앙선관위(투표,개표)-사본 3" xfId="3053" xr:uid="{00000000-0005-0000-0000-0000E20B0000}"/>
    <cellStyle name="원_중앙선관위(투표,개표)-사본 4" xfId="3054" xr:uid="{00000000-0005-0000-0000-0000E30B0000}"/>
    <cellStyle name="원_중앙선관위(투표,개표)-사본 5" xfId="3055" xr:uid="{00000000-0005-0000-0000-0000E40B0000}"/>
    <cellStyle name="원_철공가공조립" xfId="3056" xr:uid="{00000000-0005-0000-0000-0000E50B0000}"/>
    <cellStyle name="원_철공가공조립 2" xfId="3057" xr:uid="{00000000-0005-0000-0000-0000E60B0000}"/>
    <cellStyle name="원_철공가공조립 3" xfId="3058" xr:uid="{00000000-0005-0000-0000-0000E70B0000}"/>
    <cellStyle name="원_철공가공조립 4" xfId="3059" xr:uid="{00000000-0005-0000-0000-0000E80B0000}"/>
    <cellStyle name="원_철공가공조립 5" xfId="3060" xr:uid="{00000000-0005-0000-0000-0000E90B0000}"/>
    <cellStyle name="원_최종-한국전기교통-개선형신호등 4종(공수조정)" xfId="3061" xr:uid="{00000000-0005-0000-0000-0000EA0B0000}"/>
    <cellStyle name="원_최종-한국전기교통-개선형신호등 4종(공수조정) 2" xfId="3062" xr:uid="{00000000-0005-0000-0000-0000EB0B0000}"/>
    <cellStyle name="원_최종-한국전기교통-개선형신호등 4종(공수조정) 3" xfId="3063" xr:uid="{00000000-0005-0000-0000-0000EC0B0000}"/>
    <cellStyle name="원_최종-한국전기교통-개선형신호등 4종(공수조정) 4" xfId="3064" xr:uid="{00000000-0005-0000-0000-0000ED0B0000}"/>
    <cellStyle name="원_최종-한국전기교통-개선형신호등 4종(공수조정) 5" xfId="3065" xr:uid="{00000000-0005-0000-0000-0000EE0B0000}"/>
    <cellStyle name="원_코솔라-제조원가" xfId="3066" xr:uid="{00000000-0005-0000-0000-0000EF0B0000}"/>
    <cellStyle name="원_코솔라-제조원가 2" xfId="3067" xr:uid="{00000000-0005-0000-0000-0000F00B0000}"/>
    <cellStyle name="원_코솔라-제조원가 3" xfId="3068" xr:uid="{00000000-0005-0000-0000-0000F10B0000}"/>
    <cellStyle name="원_코솔라-제조원가 4" xfId="3069" xr:uid="{00000000-0005-0000-0000-0000F20B0000}"/>
    <cellStyle name="원_코솔라-제조원가 5" xfId="3070" xr:uid="{00000000-0005-0000-0000-0000F30B0000}"/>
    <cellStyle name="원_토지공사-간접비" xfId="3071" xr:uid="{00000000-0005-0000-0000-0000F40B0000}"/>
    <cellStyle name="원_토지공사-간접비 2" xfId="3072" xr:uid="{00000000-0005-0000-0000-0000F50B0000}"/>
    <cellStyle name="원_토지공사-간접비 3" xfId="3073" xr:uid="{00000000-0005-0000-0000-0000F60B0000}"/>
    <cellStyle name="원_토지공사-간접비 4" xfId="3074" xr:uid="{00000000-0005-0000-0000-0000F70B0000}"/>
    <cellStyle name="원_토지공사-간접비 5" xfId="3075" xr:uid="{00000000-0005-0000-0000-0000F80B0000}"/>
    <cellStyle name="원_한국도로공사" xfId="3076" xr:uid="{00000000-0005-0000-0000-0000F90B0000}"/>
    <cellStyle name="원_한국도로공사 2" xfId="3077" xr:uid="{00000000-0005-0000-0000-0000FA0B0000}"/>
    <cellStyle name="원_한국도로공사 3" xfId="3078" xr:uid="{00000000-0005-0000-0000-0000FB0B0000}"/>
    <cellStyle name="원_한국도로공사 4" xfId="3079" xr:uid="{00000000-0005-0000-0000-0000FC0B0000}"/>
    <cellStyle name="원_한국도로공사 5" xfId="3080" xr:uid="{00000000-0005-0000-0000-0000FD0B0000}"/>
    <cellStyle name="원_한전내역서-최종" xfId="3081" xr:uid="{00000000-0005-0000-0000-0000FE0B0000}"/>
    <cellStyle name="원_한전내역서-최종 2" xfId="3082" xr:uid="{00000000-0005-0000-0000-0000FF0B0000}"/>
    <cellStyle name="원_한전내역서-최종 3" xfId="3083" xr:uid="{00000000-0005-0000-0000-0000000C0000}"/>
    <cellStyle name="원_한전내역서-최종 4" xfId="3084" xr:uid="{00000000-0005-0000-0000-0000010C0000}"/>
    <cellStyle name="원_한전내역서-최종 5" xfId="3085" xr:uid="{00000000-0005-0000-0000-0000020C0000}"/>
    <cellStyle name="一般_GARMENT STEP FORM HK" xfId="3086" xr:uid="{00000000-0005-0000-0000-0000030C0000}"/>
    <cellStyle name="일위대가" xfId="3087" xr:uid="{00000000-0005-0000-0000-0000040C0000}"/>
    <cellStyle name="입력" xfId="9" builtinId="20" customBuiltin="1"/>
    <cellStyle name="입력 2" xfId="3088" xr:uid="{00000000-0005-0000-0000-0000060C0000}"/>
    <cellStyle name="입력 2 2" xfId="3089" xr:uid="{00000000-0005-0000-0000-0000070C0000}"/>
    <cellStyle name="입력 2 3" xfId="4768" xr:uid="{00000000-0005-0000-0000-0000060C0000}"/>
    <cellStyle name="입력 3" xfId="3090" xr:uid="{00000000-0005-0000-0000-0000080C0000}"/>
    <cellStyle name="입력 3 2" xfId="4769" xr:uid="{00000000-0005-0000-0000-0000080C0000}"/>
    <cellStyle name="입력 4" xfId="3091" xr:uid="{00000000-0005-0000-0000-0000090C0000}"/>
    <cellStyle name="입력 4 2" xfId="4770" xr:uid="{00000000-0005-0000-0000-0000090C0000}"/>
    <cellStyle name="입력 5" xfId="3092" xr:uid="{00000000-0005-0000-0000-00000A0C0000}"/>
    <cellStyle name="입력 5 2" xfId="4771" xr:uid="{00000000-0005-0000-0000-00000A0C0000}"/>
    <cellStyle name="입력 6" xfId="3093" xr:uid="{00000000-0005-0000-0000-00000B0C0000}"/>
    <cellStyle name="입력 6 2" xfId="4772" xr:uid="{00000000-0005-0000-0000-00000B0C0000}"/>
    <cellStyle name="입력 7" xfId="3094" xr:uid="{00000000-0005-0000-0000-00000C0C0000}"/>
    <cellStyle name="자리수" xfId="3095" xr:uid="{00000000-0005-0000-0000-00000D0C0000}"/>
    <cellStyle name="자리수 2" xfId="3096" xr:uid="{00000000-0005-0000-0000-00000E0C0000}"/>
    <cellStyle name="자리수 3" xfId="3097" xr:uid="{00000000-0005-0000-0000-00000F0C0000}"/>
    <cellStyle name="자리수0" xfId="3098" xr:uid="{00000000-0005-0000-0000-0000100C0000}"/>
    <cellStyle name="자리수0 2" xfId="3099" xr:uid="{00000000-0005-0000-0000-0000110C0000}"/>
    <cellStyle name="자리수0 3" xfId="3100" xr:uid="{00000000-0005-0000-0000-0000120C0000}"/>
    <cellStyle name="점선" xfId="3101" xr:uid="{00000000-0005-0000-0000-0000130C0000}"/>
    <cellStyle name="제목" xfId="1" builtinId="15" customBuiltin="1"/>
    <cellStyle name="제목 1" xfId="2" builtinId="16" customBuiltin="1"/>
    <cellStyle name="제목 1 2" xfId="3102" xr:uid="{00000000-0005-0000-0000-0000160C0000}"/>
    <cellStyle name="제목 1 2 2" xfId="3103" xr:uid="{00000000-0005-0000-0000-0000170C0000}"/>
    <cellStyle name="제목 1 3" xfId="3104" xr:uid="{00000000-0005-0000-0000-0000180C0000}"/>
    <cellStyle name="제목 1 4" xfId="3105" xr:uid="{00000000-0005-0000-0000-0000190C0000}"/>
    <cellStyle name="제목 1 5" xfId="3106" xr:uid="{00000000-0005-0000-0000-00001A0C0000}"/>
    <cellStyle name="제목 1 6" xfId="3107" xr:uid="{00000000-0005-0000-0000-00001B0C0000}"/>
    <cellStyle name="제목 1 7" xfId="3108" xr:uid="{00000000-0005-0000-0000-00001C0C0000}"/>
    <cellStyle name="제목 10" xfId="3109" xr:uid="{00000000-0005-0000-0000-00001D0C0000}"/>
    <cellStyle name="제목 2" xfId="3" builtinId="17" customBuiltin="1"/>
    <cellStyle name="제목 2 2" xfId="3110" xr:uid="{00000000-0005-0000-0000-00001F0C0000}"/>
    <cellStyle name="제목 2 2 2" xfId="3111" xr:uid="{00000000-0005-0000-0000-0000200C0000}"/>
    <cellStyle name="제목 2 3" xfId="3112" xr:uid="{00000000-0005-0000-0000-0000210C0000}"/>
    <cellStyle name="제목 2 4" xfId="3113" xr:uid="{00000000-0005-0000-0000-0000220C0000}"/>
    <cellStyle name="제목 2 5" xfId="3114" xr:uid="{00000000-0005-0000-0000-0000230C0000}"/>
    <cellStyle name="제목 2 6" xfId="3115" xr:uid="{00000000-0005-0000-0000-0000240C0000}"/>
    <cellStyle name="제목 2 7" xfId="3116" xr:uid="{00000000-0005-0000-0000-0000250C0000}"/>
    <cellStyle name="제목 3" xfId="4" builtinId="18" customBuiltin="1"/>
    <cellStyle name="제목 3 2" xfId="3117" xr:uid="{00000000-0005-0000-0000-0000270C0000}"/>
    <cellStyle name="제목 3 2 2" xfId="3118" xr:uid="{00000000-0005-0000-0000-0000280C0000}"/>
    <cellStyle name="제목 3 3" xfId="3119" xr:uid="{00000000-0005-0000-0000-0000290C0000}"/>
    <cellStyle name="제목 3 4" xfId="3120" xr:uid="{00000000-0005-0000-0000-00002A0C0000}"/>
    <cellStyle name="제목 3 5" xfId="3121" xr:uid="{00000000-0005-0000-0000-00002B0C0000}"/>
    <cellStyle name="제목 3 6" xfId="3122" xr:uid="{00000000-0005-0000-0000-00002C0C0000}"/>
    <cellStyle name="제목 3 7" xfId="3123" xr:uid="{00000000-0005-0000-0000-00002D0C0000}"/>
    <cellStyle name="제목 4" xfId="5" builtinId="19" customBuiltin="1"/>
    <cellStyle name="제목 4 2" xfId="3124" xr:uid="{00000000-0005-0000-0000-00002F0C0000}"/>
    <cellStyle name="제목 4 2 2" xfId="3125" xr:uid="{00000000-0005-0000-0000-0000300C0000}"/>
    <cellStyle name="제목 4 3" xfId="3126" xr:uid="{00000000-0005-0000-0000-0000310C0000}"/>
    <cellStyle name="제목 4 4" xfId="3127" xr:uid="{00000000-0005-0000-0000-0000320C0000}"/>
    <cellStyle name="제목 4 5" xfId="3128" xr:uid="{00000000-0005-0000-0000-0000330C0000}"/>
    <cellStyle name="제목 4 6" xfId="3129" xr:uid="{00000000-0005-0000-0000-0000340C0000}"/>
    <cellStyle name="제목 4 7" xfId="3130" xr:uid="{00000000-0005-0000-0000-0000350C0000}"/>
    <cellStyle name="제목 5" xfId="3131" xr:uid="{00000000-0005-0000-0000-0000360C0000}"/>
    <cellStyle name="제목 5 2" xfId="3132" xr:uid="{00000000-0005-0000-0000-0000370C0000}"/>
    <cellStyle name="제목 6" xfId="3133" xr:uid="{00000000-0005-0000-0000-0000380C0000}"/>
    <cellStyle name="제목 7" xfId="3134" xr:uid="{00000000-0005-0000-0000-0000390C0000}"/>
    <cellStyle name="제목 8" xfId="3135" xr:uid="{00000000-0005-0000-0000-00003A0C0000}"/>
    <cellStyle name="제목 9" xfId="3136" xr:uid="{00000000-0005-0000-0000-00003B0C0000}"/>
    <cellStyle name="제목[1 줄]" xfId="3137" xr:uid="{00000000-0005-0000-0000-00003C0C0000}"/>
    <cellStyle name="제목[1 줄] 2" xfId="4773" xr:uid="{00000000-0005-0000-0000-00003C0C0000}"/>
    <cellStyle name="제목[2줄 아래]" xfId="3138" xr:uid="{00000000-0005-0000-0000-00003D0C0000}"/>
    <cellStyle name="제목[2줄 위]" xfId="3139" xr:uid="{00000000-0005-0000-0000-00003E0C0000}"/>
    <cellStyle name="제목[2줄 위] 2" xfId="4774" xr:uid="{00000000-0005-0000-0000-00003E0C0000}"/>
    <cellStyle name="제목1" xfId="3140" xr:uid="{00000000-0005-0000-0000-00003F0C0000}"/>
    <cellStyle name="좋음" xfId="6" builtinId="26" customBuiltin="1"/>
    <cellStyle name="좋음 2" xfId="3141" xr:uid="{00000000-0005-0000-0000-0000410C0000}"/>
    <cellStyle name="좋음 2 2" xfId="3142" xr:uid="{00000000-0005-0000-0000-0000420C0000}"/>
    <cellStyle name="좋음 3" xfId="3143" xr:uid="{00000000-0005-0000-0000-0000430C0000}"/>
    <cellStyle name="좋음 4" xfId="3144" xr:uid="{00000000-0005-0000-0000-0000440C0000}"/>
    <cellStyle name="좋음 5" xfId="3145" xr:uid="{00000000-0005-0000-0000-0000450C0000}"/>
    <cellStyle name="지정되지 않음" xfId="3146" xr:uid="{00000000-0005-0000-0000-0000460C0000}"/>
    <cellStyle name="千分位[0]_GARMENT STEP FORM HK" xfId="3147" xr:uid="{00000000-0005-0000-0000-0000470C0000}"/>
    <cellStyle name="千分位_GARMENT STEP FORM HK" xfId="3148" xr:uid="{00000000-0005-0000-0000-0000480C0000}"/>
    <cellStyle name="출력" xfId="10" builtinId="21" customBuiltin="1"/>
    <cellStyle name="출력 2" xfId="3149" xr:uid="{00000000-0005-0000-0000-00004A0C0000}"/>
    <cellStyle name="출력 2 2" xfId="3150" xr:uid="{00000000-0005-0000-0000-00004B0C0000}"/>
    <cellStyle name="출력 2 3" xfId="4775" xr:uid="{00000000-0005-0000-0000-00004A0C0000}"/>
    <cellStyle name="출력 3" xfId="3151" xr:uid="{00000000-0005-0000-0000-00004C0C0000}"/>
    <cellStyle name="출력 3 2" xfId="4776" xr:uid="{00000000-0005-0000-0000-00004C0C0000}"/>
    <cellStyle name="출력 4" xfId="3152" xr:uid="{00000000-0005-0000-0000-00004D0C0000}"/>
    <cellStyle name="출력 4 2" xfId="4777" xr:uid="{00000000-0005-0000-0000-00004D0C0000}"/>
    <cellStyle name="출력 5" xfId="3153" xr:uid="{00000000-0005-0000-0000-00004E0C0000}"/>
    <cellStyle name="출력 5 2" xfId="4778" xr:uid="{00000000-0005-0000-0000-00004E0C0000}"/>
    <cellStyle name="출력 6" xfId="3154" xr:uid="{00000000-0005-0000-0000-00004F0C0000}"/>
    <cellStyle name="출력 6 2" xfId="4779" xr:uid="{00000000-0005-0000-0000-00004F0C0000}"/>
    <cellStyle name="출력 7" xfId="3155" xr:uid="{00000000-0005-0000-0000-0000500C0000}"/>
    <cellStyle name="콤마  #,##0" xfId="3156" xr:uid="{00000000-0005-0000-0000-0000510C0000}"/>
    <cellStyle name="콤마 [#]" xfId="3157" xr:uid="{00000000-0005-0000-0000-0000520C0000}"/>
    <cellStyle name="콤마 [#] 2" xfId="3158" xr:uid="{00000000-0005-0000-0000-0000530C0000}"/>
    <cellStyle name="콤마 [#] 3" xfId="3159" xr:uid="{00000000-0005-0000-0000-0000540C0000}"/>
    <cellStyle name="콤마 [#] 4" xfId="3160" xr:uid="{00000000-0005-0000-0000-0000550C0000}"/>
    <cellStyle name="콤마 [#] 5" xfId="3161" xr:uid="{00000000-0005-0000-0000-0000560C0000}"/>
    <cellStyle name="콤마 []" xfId="3162" xr:uid="{00000000-0005-0000-0000-0000570C0000}"/>
    <cellStyle name="콤마 [0]" xfId="3163" xr:uid="{00000000-0005-0000-0000-0000580C0000}"/>
    <cellStyle name="콤마 [0] 2" xfId="3164" xr:uid="{00000000-0005-0000-0000-0000590C0000}"/>
    <cellStyle name="콤마 [0] 2 2" xfId="4781" xr:uid="{00000000-0005-0000-0000-0000590C0000}"/>
    <cellStyle name="콤마 [0] 2 2 2" xfId="5862" xr:uid="{00000000-0005-0000-0000-0000590C0000}"/>
    <cellStyle name="콤마 [0] 2 3" xfId="5319" xr:uid="{00000000-0005-0000-0000-0000590C0000}"/>
    <cellStyle name="콤마 [0] 3" xfId="3165" xr:uid="{00000000-0005-0000-0000-00005A0C0000}"/>
    <cellStyle name="콤마 [0] 3 2" xfId="4782" xr:uid="{00000000-0005-0000-0000-00005A0C0000}"/>
    <cellStyle name="콤마 [0] 3 2 2" xfId="5863" xr:uid="{00000000-0005-0000-0000-00005A0C0000}"/>
    <cellStyle name="콤마 [0] 3 3" xfId="5320" xr:uid="{00000000-0005-0000-0000-00005A0C0000}"/>
    <cellStyle name="콤마 [0] 4" xfId="3166" xr:uid="{00000000-0005-0000-0000-00005B0C0000}"/>
    <cellStyle name="콤마 [0] 4 2" xfId="4783" xr:uid="{00000000-0005-0000-0000-00005B0C0000}"/>
    <cellStyle name="콤마 [0] 4 2 2" xfId="5864" xr:uid="{00000000-0005-0000-0000-00005B0C0000}"/>
    <cellStyle name="콤마 [0] 4 3" xfId="5321" xr:uid="{00000000-0005-0000-0000-00005B0C0000}"/>
    <cellStyle name="콤마 [0] 5" xfId="3167" xr:uid="{00000000-0005-0000-0000-00005C0C0000}"/>
    <cellStyle name="콤마 [0] 5 2" xfId="4784" xr:uid="{00000000-0005-0000-0000-00005C0C0000}"/>
    <cellStyle name="콤마 [0] 5 2 2" xfId="5865" xr:uid="{00000000-0005-0000-0000-00005C0C0000}"/>
    <cellStyle name="콤마 [0] 5 3" xfId="5322" xr:uid="{00000000-0005-0000-0000-00005C0C0000}"/>
    <cellStyle name="콤마 [0] 6" xfId="4780" xr:uid="{00000000-0005-0000-0000-0000580C0000}"/>
    <cellStyle name="콤마 [0] 6 2" xfId="5861" xr:uid="{00000000-0005-0000-0000-0000580C0000}"/>
    <cellStyle name="콤마 [0] 7" xfId="5318" xr:uid="{00000000-0005-0000-0000-0000580C0000}"/>
    <cellStyle name="콤마 [0]_06월섭외대상명단" xfId="3168" xr:uid="{00000000-0005-0000-0000-00005D0C0000}"/>
    <cellStyle name="콤마 [0]견적서(성남)" xfId="3169" xr:uid="{00000000-0005-0000-0000-00005E0C0000}"/>
    <cellStyle name="콤마 [0]노무 (2)" xfId="3170" xr:uid="{00000000-0005-0000-0000-00005F0C0000}"/>
    <cellStyle name="콤마 [2]" xfId="3171" xr:uid="{00000000-0005-0000-0000-0000600C0000}"/>
    <cellStyle name="콤마 [금액]" xfId="3172" xr:uid="{00000000-0005-0000-0000-0000610C0000}"/>
    <cellStyle name="콤마 [소수]" xfId="3173" xr:uid="{00000000-0005-0000-0000-0000620C0000}"/>
    <cellStyle name="콤마 [소수] 2" xfId="3174" xr:uid="{00000000-0005-0000-0000-0000630C0000}"/>
    <cellStyle name="콤마 [소수] 3" xfId="3175" xr:uid="{00000000-0005-0000-0000-0000640C0000}"/>
    <cellStyle name="콤마 [소수] 4" xfId="3176" xr:uid="{00000000-0005-0000-0000-0000650C0000}"/>
    <cellStyle name="콤마 [소수] 5" xfId="3177" xr:uid="{00000000-0005-0000-0000-0000660C0000}"/>
    <cellStyle name="콤마 [수량]" xfId="3178" xr:uid="{00000000-0005-0000-0000-0000670C0000}"/>
    <cellStyle name="콤마 [수량] 2" xfId="3179" xr:uid="{00000000-0005-0000-0000-0000680C0000}"/>
    <cellStyle name="콤마 [수량] 3" xfId="3180" xr:uid="{00000000-0005-0000-0000-0000690C0000}"/>
    <cellStyle name="콤마 [수량] 4" xfId="3181" xr:uid="{00000000-0005-0000-0000-00006A0C0000}"/>
    <cellStyle name="콤마 [수량] 5" xfId="3182" xr:uid="{00000000-0005-0000-0000-00006B0C0000}"/>
    <cellStyle name="콤마 +#,##0" xfId="3183" xr:uid="{00000000-0005-0000-0000-00006C0C0000}"/>
    <cellStyle name="콤마( #,##0)" xfId="3184" xr:uid="{00000000-0005-0000-0000-00006D0C0000}"/>
    <cellStyle name="콤마(+#,##0)" xfId="3185" xr:uid="{00000000-0005-0000-0000-00006E0C0000}"/>
    <cellStyle name="콤마[ ]" xfId="3186" xr:uid="{00000000-0005-0000-0000-00006F0C0000}"/>
    <cellStyle name="콤마[*]" xfId="3187" xr:uid="{00000000-0005-0000-0000-0000700C0000}"/>
    <cellStyle name="콤마[.]" xfId="3188" xr:uid="{00000000-0005-0000-0000-0000710C0000}"/>
    <cellStyle name="콤마[0]" xfId="3189" xr:uid="{00000000-0005-0000-0000-0000720C0000}"/>
    <cellStyle name="콤마_  종  합  " xfId="3190" xr:uid="{00000000-0005-0000-0000-0000730C0000}"/>
    <cellStyle name="콤마鍮?(2)" xfId="3191" xr:uid="{00000000-0005-0000-0000-0000740C0000}"/>
    <cellStyle name="콤마견적 표지" xfId="3192" xr:uid="{00000000-0005-0000-0000-0000750C0000}"/>
    <cellStyle name="통화 [0] 10" xfId="3193" xr:uid="{00000000-0005-0000-0000-0000760C0000}"/>
    <cellStyle name="통화 [0] 10 10" xfId="3194" xr:uid="{00000000-0005-0000-0000-0000770C0000}"/>
    <cellStyle name="통화 [0] 10 10 2" xfId="3195" xr:uid="{00000000-0005-0000-0000-0000780C0000}"/>
    <cellStyle name="통화 [0] 10 10 2 2" xfId="4787" xr:uid="{00000000-0005-0000-0000-0000780C0000}"/>
    <cellStyle name="통화 [0] 10 10 2 2 2" xfId="5868" xr:uid="{00000000-0005-0000-0000-0000780C0000}"/>
    <cellStyle name="통화 [0] 10 10 2 3" xfId="5325" xr:uid="{00000000-0005-0000-0000-0000780C0000}"/>
    <cellStyle name="통화 [0] 10 10 3" xfId="3196" xr:uid="{00000000-0005-0000-0000-0000790C0000}"/>
    <cellStyle name="통화 [0] 10 10 3 2" xfId="4788" xr:uid="{00000000-0005-0000-0000-0000790C0000}"/>
    <cellStyle name="통화 [0] 10 10 3 2 2" xfId="5869" xr:uid="{00000000-0005-0000-0000-0000790C0000}"/>
    <cellStyle name="통화 [0] 10 10 3 3" xfId="5326" xr:uid="{00000000-0005-0000-0000-0000790C0000}"/>
    <cellStyle name="통화 [0] 10 10 4" xfId="3197" xr:uid="{00000000-0005-0000-0000-00007A0C0000}"/>
    <cellStyle name="통화 [0] 10 10 4 2" xfId="4789" xr:uid="{00000000-0005-0000-0000-00007A0C0000}"/>
    <cellStyle name="통화 [0] 10 10 4 2 2" xfId="5870" xr:uid="{00000000-0005-0000-0000-00007A0C0000}"/>
    <cellStyle name="통화 [0] 10 10 4 3" xfId="5327" xr:uid="{00000000-0005-0000-0000-00007A0C0000}"/>
    <cellStyle name="통화 [0] 10 10 5" xfId="4786" xr:uid="{00000000-0005-0000-0000-0000770C0000}"/>
    <cellStyle name="통화 [0] 10 10 5 2" xfId="5867" xr:uid="{00000000-0005-0000-0000-0000770C0000}"/>
    <cellStyle name="통화 [0] 10 10 6" xfId="5324" xr:uid="{00000000-0005-0000-0000-0000770C0000}"/>
    <cellStyle name="통화 [0] 10 11" xfId="3198" xr:uid="{00000000-0005-0000-0000-00007B0C0000}"/>
    <cellStyle name="통화 [0] 10 11 2" xfId="4790" xr:uid="{00000000-0005-0000-0000-00007B0C0000}"/>
    <cellStyle name="통화 [0] 10 11 2 2" xfId="5871" xr:uid="{00000000-0005-0000-0000-00007B0C0000}"/>
    <cellStyle name="통화 [0] 10 11 3" xfId="5328" xr:uid="{00000000-0005-0000-0000-00007B0C0000}"/>
    <cellStyle name="통화 [0] 10 12" xfId="3199" xr:uid="{00000000-0005-0000-0000-00007C0C0000}"/>
    <cellStyle name="통화 [0] 10 12 2" xfId="4791" xr:uid="{00000000-0005-0000-0000-00007C0C0000}"/>
    <cellStyle name="통화 [0] 10 12 2 2" xfId="5872" xr:uid="{00000000-0005-0000-0000-00007C0C0000}"/>
    <cellStyle name="통화 [0] 10 12 3" xfId="5329" xr:uid="{00000000-0005-0000-0000-00007C0C0000}"/>
    <cellStyle name="통화 [0] 10 13" xfId="3200" xr:uid="{00000000-0005-0000-0000-00007D0C0000}"/>
    <cellStyle name="통화 [0] 10 13 2" xfId="4792" xr:uid="{00000000-0005-0000-0000-00007D0C0000}"/>
    <cellStyle name="통화 [0] 10 13 2 2" xfId="5873" xr:uid="{00000000-0005-0000-0000-00007D0C0000}"/>
    <cellStyle name="통화 [0] 10 13 3" xfId="5330" xr:uid="{00000000-0005-0000-0000-00007D0C0000}"/>
    <cellStyle name="통화 [0] 10 14" xfId="4785" xr:uid="{00000000-0005-0000-0000-0000760C0000}"/>
    <cellStyle name="통화 [0] 10 14 2" xfId="5866" xr:uid="{00000000-0005-0000-0000-0000760C0000}"/>
    <cellStyle name="통화 [0] 10 15" xfId="5323" xr:uid="{00000000-0005-0000-0000-0000760C0000}"/>
    <cellStyle name="통화 [0] 10 2" xfId="3201" xr:uid="{00000000-0005-0000-0000-00007E0C0000}"/>
    <cellStyle name="통화 [0] 10 2 2" xfId="3202" xr:uid="{00000000-0005-0000-0000-00007F0C0000}"/>
    <cellStyle name="통화 [0] 10 2 2 2" xfId="4794" xr:uid="{00000000-0005-0000-0000-00007F0C0000}"/>
    <cellStyle name="통화 [0] 10 2 2 2 2" xfId="5875" xr:uid="{00000000-0005-0000-0000-00007F0C0000}"/>
    <cellStyle name="통화 [0] 10 2 2 3" xfId="5332" xr:uid="{00000000-0005-0000-0000-00007F0C0000}"/>
    <cellStyle name="통화 [0] 10 2 3" xfId="3203" xr:uid="{00000000-0005-0000-0000-0000800C0000}"/>
    <cellStyle name="통화 [0] 10 2 3 2" xfId="4795" xr:uid="{00000000-0005-0000-0000-0000800C0000}"/>
    <cellStyle name="통화 [0] 10 2 3 2 2" xfId="5876" xr:uid="{00000000-0005-0000-0000-0000800C0000}"/>
    <cellStyle name="통화 [0] 10 2 3 3" xfId="5333" xr:uid="{00000000-0005-0000-0000-0000800C0000}"/>
    <cellStyle name="통화 [0] 10 2 4" xfId="3204" xr:uid="{00000000-0005-0000-0000-0000810C0000}"/>
    <cellStyle name="통화 [0] 10 2 4 2" xfId="4796" xr:uid="{00000000-0005-0000-0000-0000810C0000}"/>
    <cellStyle name="통화 [0] 10 2 4 2 2" xfId="5877" xr:uid="{00000000-0005-0000-0000-0000810C0000}"/>
    <cellStyle name="통화 [0] 10 2 4 3" xfId="5334" xr:uid="{00000000-0005-0000-0000-0000810C0000}"/>
    <cellStyle name="통화 [0] 10 2 5" xfId="4793" xr:uid="{00000000-0005-0000-0000-00007E0C0000}"/>
    <cellStyle name="통화 [0] 10 2 5 2" xfId="5874" xr:uid="{00000000-0005-0000-0000-00007E0C0000}"/>
    <cellStyle name="통화 [0] 10 2 6" xfId="5331" xr:uid="{00000000-0005-0000-0000-00007E0C0000}"/>
    <cellStyle name="통화 [0] 10 3" xfId="3205" xr:uid="{00000000-0005-0000-0000-0000820C0000}"/>
    <cellStyle name="통화 [0] 10 3 2" xfId="3206" xr:uid="{00000000-0005-0000-0000-0000830C0000}"/>
    <cellStyle name="통화 [0] 10 3 2 2" xfId="4798" xr:uid="{00000000-0005-0000-0000-0000830C0000}"/>
    <cellStyle name="통화 [0] 10 3 2 2 2" xfId="5879" xr:uid="{00000000-0005-0000-0000-0000830C0000}"/>
    <cellStyle name="통화 [0] 10 3 2 3" xfId="5336" xr:uid="{00000000-0005-0000-0000-0000830C0000}"/>
    <cellStyle name="통화 [0] 10 3 3" xfId="3207" xr:uid="{00000000-0005-0000-0000-0000840C0000}"/>
    <cellStyle name="통화 [0] 10 3 3 2" xfId="4799" xr:uid="{00000000-0005-0000-0000-0000840C0000}"/>
    <cellStyle name="통화 [0] 10 3 3 2 2" xfId="5880" xr:uid="{00000000-0005-0000-0000-0000840C0000}"/>
    <cellStyle name="통화 [0] 10 3 3 3" xfId="5337" xr:uid="{00000000-0005-0000-0000-0000840C0000}"/>
    <cellStyle name="통화 [0] 10 3 4" xfId="3208" xr:uid="{00000000-0005-0000-0000-0000850C0000}"/>
    <cellStyle name="통화 [0] 10 3 4 2" xfId="4800" xr:uid="{00000000-0005-0000-0000-0000850C0000}"/>
    <cellStyle name="통화 [0] 10 3 4 2 2" xfId="5881" xr:uid="{00000000-0005-0000-0000-0000850C0000}"/>
    <cellStyle name="통화 [0] 10 3 4 3" xfId="5338" xr:uid="{00000000-0005-0000-0000-0000850C0000}"/>
    <cellStyle name="통화 [0] 10 3 5" xfId="4797" xr:uid="{00000000-0005-0000-0000-0000820C0000}"/>
    <cellStyle name="통화 [0] 10 3 5 2" xfId="5878" xr:uid="{00000000-0005-0000-0000-0000820C0000}"/>
    <cellStyle name="통화 [0] 10 3 6" xfId="5335" xr:uid="{00000000-0005-0000-0000-0000820C0000}"/>
    <cellStyle name="통화 [0] 10 4" xfId="3209" xr:uid="{00000000-0005-0000-0000-0000860C0000}"/>
    <cellStyle name="통화 [0] 10 4 2" xfId="3210" xr:uid="{00000000-0005-0000-0000-0000870C0000}"/>
    <cellStyle name="통화 [0] 10 4 2 2" xfId="4802" xr:uid="{00000000-0005-0000-0000-0000870C0000}"/>
    <cellStyle name="통화 [0] 10 4 2 2 2" xfId="5883" xr:uid="{00000000-0005-0000-0000-0000870C0000}"/>
    <cellStyle name="통화 [0] 10 4 2 3" xfId="5340" xr:uid="{00000000-0005-0000-0000-0000870C0000}"/>
    <cellStyle name="통화 [0] 10 4 3" xfId="3211" xr:uid="{00000000-0005-0000-0000-0000880C0000}"/>
    <cellStyle name="통화 [0] 10 4 3 2" xfId="4803" xr:uid="{00000000-0005-0000-0000-0000880C0000}"/>
    <cellStyle name="통화 [0] 10 4 3 2 2" xfId="5884" xr:uid="{00000000-0005-0000-0000-0000880C0000}"/>
    <cellStyle name="통화 [0] 10 4 3 3" xfId="5341" xr:uid="{00000000-0005-0000-0000-0000880C0000}"/>
    <cellStyle name="통화 [0] 10 4 4" xfId="3212" xr:uid="{00000000-0005-0000-0000-0000890C0000}"/>
    <cellStyle name="통화 [0] 10 4 4 2" xfId="4804" xr:uid="{00000000-0005-0000-0000-0000890C0000}"/>
    <cellStyle name="통화 [0] 10 4 4 2 2" xfId="5885" xr:uid="{00000000-0005-0000-0000-0000890C0000}"/>
    <cellStyle name="통화 [0] 10 4 4 3" xfId="5342" xr:uid="{00000000-0005-0000-0000-0000890C0000}"/>
    <cellStyle name="통화 [0] 10 4 5" xfId="4801" xr:uid="{00000000-0005-0000-0000-0000860C0000}"/>
    <cellStyle name="통화 [0] 10 4 5 2" xfId="5882" xr:uid="{00000000-0005-0000-0000-0000860C0000}"/>
    <cellStyle name="통화 [0] 10 4 6" xfId="5339" xr:uid="{00000000-0005-0000-0000-0000860C0000}"/>
    <cellStyle name="통화 [0] 10 5" xfId="3213" xr:uid="{00000000-0005-0000-0000-00008A0C0000}"/>
    <cellStyle name="통화 [0] 10 5 2" xfId="3214" xr:uid="{00000000-0005-0000-0000-00008B0C0000}"/>
    <cellStyle name="통화 [0] 10 5 2 2" xfId="4806" xr:uid="{00000000-0005-0000-0000-00008B0C0000}"/>
    <cellStyle name="통화 [0] 10 5 2 2 2" xfId="5887" xr:uid="{00000000-0005-0000-0000-00008B0C0000}"/>
    <cellStyle name="통화 [0] 10 5 2 3" xfId="5344" xr:uid="{00000000-0005-0000-0000-00008B0C0000}"/>
    <cellStyle name="통화 [0] 10 5 3" xfId="3215" xr:uid="{00000000-0005-0000-0000-00008C0C0000}"/>
    <cellStyle name="통화 [0] 10 5 3 2" xfId="4807" xr:uid="{00000000-0005-0000-0000-00008C0C0000}"/>
    <cellStyle name="통화 [0] 10 5 3 2 2" xfId="5888" xr:uid="{00000000-0005-0000-0000-00008C0C0000}"/>
    <cellStyle name="통화 [0] 10 5 3 3" xfId="5345" xr:uid="{00000000-0005-0000-0000-00008C0C0000}"/>
    <cellStyle name="통화 [0] 10 5 4" xfId="3216" xr:uid="{00000000-0005-0000-0000-00008D0C0000}"/>
    <cellStyle name="통화 [0] 10 5 4 2" xfId="4808" xr:uid="{00000000-0005-0000-0000-00008D0C0000}"/>
    <cellStyle name="통화 [0] 10 5 4 2 2" xfId="5889" xr:uid="{00000000-0005-0000-0000-00008D0C0000}"/>
    <cellStyle name="통화 [0] 10 5 4 3" xfId="5346" xr:uid="{00000000-0005-0000-0000-00008D0C0000}"/>
    <cellStyle name="통화 [0] 10 5 5" xfId="4805" xr:uid="{00000000-0005-0000-0000-00008A0C0000}"/>
    <cellStyle name="통화 [0] 10 5 5 2" xfId="5886" xr:uid="{00000000-0005-0000-0000-00008A0C0000}"/>
    <cellStyle name="통화 [0] 10 5 6" xfId="5343" xr:uid="{00000000-0005-0000-0000-00008A0C0000}"/>
    <cellStyle name="통화 [0] 10 6" xfId="3217" xr:uid="{00000000-0005-0000-0000-00008E0C0000}"/>
    <cellStyle name="통화 [0] 10 6 2" xfId="3218" xr:uid="{00000000-0005-0000-0000-00008F0C0000}"/>
    <cellStyle name="통화 [0] 10 6 2 2" xfId="4810" xr:uid="{00000000-0005-0000-0000-00008F0C0000}"/>
    <cellStyle name="통화 [0] 10 6 2 2 2" xfId="5891" xr:uid="{00000000-0005-0000-0000-00008F0C0000}"/>
    <cellStyle name="통화 [0] 10 6 2 3" xfId="5348" xr:uid="{00000000-0005-0000-0000-00008F0C0000}"/>
    <cellStyle name="통화 [0] 10 6 3" xfId="3219" xr:uid="{00000000-0005-0000-0000-0000900C0000}"/>
    <cellStyle name="통화 [0] 10 6 3 2" xfId="4811" xr:uid="{00000000-0005-0000-0000-0000900C0000}"/>
    <cellStyle name="통화 [0] 10 6 3 2 2" xfId="5892" xr:uid="{00000000-0005-0000-0000-0000900C0000}"/>
    <cellStyle name="통화 [0] 10 6 3 3" xfId="5349" xr:uid="{00000000-0005-0000-0000-0000900C0000}"/>
    <cellStyle name="통화 [0] 10 6 4" xfId="3220" xr:uid="{00000000-0005-0000-0000-0000910C0000}"/>
    <cellStyle name="통화 [0] 10 6 4 2" xfId="4812" xr:uid="{00000000-0005-0000-0000-0000910C0000}"/>
    <cellStyle name="통화 [0] 10 6 4 2 2" xfId="5893" xr:uid="{00000000-0005-0000-0000-0000910C0000}"/>
    <cellStyle name="통화 [0] 10 6 4 3" xfId="5350" xr:uid="{00000000-0005-0000-0000-0000910C0000}"/>
    <cellStyle name="통화 [0] 10 6 5" xfId="4809" xr:uid="{00000000-0005-0000-0000-00008E0C0000}"/>
    <cellStyle name="통화 [0] 10 6 5 2" xfId="5890" xr:uid="{00000000-0005-0000-0000-00008E0C0000}"/>
    <cellStyle name="통화 [0] 10 6 6" xfId="5347" xr:uid="{00000000-0005-0000-0000-00008E0C0000}"/>
    <cellStyle name="통화 [0] 10 7" xfId="3221" xr:uid="{00000000-0005-0000-0000-0000920C0000}"/>
    <cellStyle name="통화 [0] 10 7 2" xfId="3222" xr:uid="{00000000-0005-0000-0000-0000930C0000}"/>
    <cellStyle name="통화 [0] 10 7 2 2" xfId="4814" xr:uid="{00000000-0005-0000-0000-0000930C0000}"/>
    <cellStyle name="통화 [0] 10 7 2 2 2" xfId="5895" xr:uid="{00000000-0005-0000-0000-0000930C0000}"/>
    <cellStyle name="통화 [0] 10 7 2 3" xfId="5352" xr:uid="{00000000-0005-0000-0000-0000930C0000}"/>
    <cellStyle name="통화 [0] 10 7 3" xfId="3223" xr:uid="{00000000-0005-0000-0000-0000940C0000}"/>
    <cellStyle name="통화 [0] 10 7 3 2" xfId="4815" xr:uid="{00000000-0005-0000-0000-0000940C0000}"/>
    <cellStyle name="통화 [0] 10 7 3 2 2" xfId="5896" xr:uid="{00000000-0005-0000-0000-0000940C0000}"/>
    <cellStyle name="통화 [0] 10 7 3 3" xfId="5353" xr:uid="{00000000-0005-0000-0000-0000940C0000}"/>
    <cellStyle name="통화 [0] 10 7 4" xfId="3224" xr:uid="{00000000-0005-0000-0000-0000950C0000}"/>
    <cellStyle name="통화 [0] 10 7 4 2" xfId="4816" xr:uid="{00000000-0005-0000-0000-0000950C0000}"/>
    <cellStyle name="통화 [0] 10 7 4 2 2" xfId="5897" xr:uid="{00000000-0005-0000-0000-0000950C0000}"/>
    <cellStyle name="통화 [0] 10 7 4 3" xfId="5354" xr:uid="{00000000-0005-0000-0000-0000950C0000}"/>
    <cellStyle name="통화 [0] 10 7 5" xfId="4813" xr:uid="{00000000-0005-0000-0000-0000920C0000}"/>
    <cellStyle name="통화 [0] 10 7 5 2" xfId="5894" xr:uid="{00000000-0005-0000-0000-0000920C0000}"/>
    <cellStyle name="통화 [0] 10 7 6" xfId="5351" xr:uid="{00000000-0005-0000-0000-0000920C0000}"/>
    <cellStyle name="통화 [0] 10 8" xfId="3225" xr:uid="{00000000-0005-0000-0000-0000960C0000}"/>
    <cellStyle name="통화 [0] 10 8 2" xfId="3226" xr:uid="{00000000-0005-0000-0000-0000970C0000}"/>
    <cellStyle name="통화 [0] 10 8 2 2" xfId="4818" xr:uid="{00000000-0005-0000-0000-0000970C0000}"/>
    <cellStyle name="통화 [0] 10 8 2 2 2" xfId="5899" xr:uid="{00000000-0005-0000-0000-0000970C0000}"/>
    <cellStyle name="통화 [0] 10 8 2 3" xfId="5356" xr:uid="{00000000-0005-0000-0000-0000970C0000}"/>
    <cellStyle name="통화 [0] 10 8 3" xfId="3227" xr:uid="{00000000-0005-0000-0000-0000980C0000}"/>
    <cellStyle name="통화 [0] 10 8 3 2" xfId="4819" xr:uid="{00000000-0005-0000-0000-0000980C0000}"/>
    <cellStyle name="통화 [0] 10 8 3 2 2" xfId="5900" xr:uid="{00000000-0005-0000-0000-0000980C0000}"/>
    <cellStyle name="통화 [0] 10 8 3 3" xfId="5357" xr:uid="{00000000-0005-0000-0000-0000980C0000}"/>
    <cellStyle name="통화 [0] 10 8 4" xfId="3228" xr:uid="{00000000-0005-0000-0000-0000990C0000}"/>
    <cellStyle name="통화 [0] 10 8 4 2" xfId="4820" xr:uid="{00000000-0005-0000-0000-0000990C0000}"/>
    <cellStyle name="통화 [0] 10 8 4 2 2" xfId="5901" xr:uid="{00000000-0005-0000-0000-0000990C0000}"/>
    <cellStyle name="통화 [0] 10 8 4 3" xfId="5358" xr:uid="{00000000-0005-0000-0000-0000990C0000}"/>
    <cellStyle name="통화 [0] 10 8 5" xfId="4817" xr:uid="{00000000-0005-0000-0000-0000960C0000}"/>
    <cellStyle name="통화 [0] 10 8 5 2" xfId="5898" xr:uid="{00000000-0005-0000-0000-0000960C0000}"/>
    <cellStyle name="통화 [0] 10 8 6" xfId="5355" xr:uid="{00000000-0005-0000-0000-0000960C0000}"/>
    <cellStyle name="통화 [0] 10 9" xfId="3229" xr:uid="{00000000-0005-0000-0000-00009A0C0000}"/>
    <cellStyle name="통화 [0] 10 9 2" xfId="3230" xr:uid="{00000000-0005-0000-0000-00009B0C0000}"/>
    <cellStyle name="통화 [0] 10 9 2 2" xfId="4822" xr:uid="{00000000-0005-0000-0000-00009B0C0000}"/>
    <cellStyle name="통화 [0] 10 9 2 2 2" xfId="5903" xr:uid="{00000000-0005-0000-0000-00009B0C0000}"/>
    <cellStyle name="통화 [0] 10 9 2 3" xfId="5360" xr:uid="{00000000-0005-0000-0000-00009B0C0000}"/>
    <cellStyle name="통화 [0] 10 9 3" xfId="3231" xr:uid="{00000000-0005-0000-0000-00009C0C0000}"/>
    <cellStyle name="통화 [0] 10 9 3 2" xfId="4823" xr:uid="{00000000-0005-0000-0000-00009C0C0000}"/>
    <cellStyle name="통화 [0] 10 9 3 2 2" xfId="5904" xr:uid="{00000000-0005-0000-0000-00009C0C0000}"/>
    <cellStyle name="통화 [0] 10 9 3 3" xfId="5361" xr:uid="{00000000-0005-0000-0000-00009C0C0000}"/>
    <cellStyle name="통화 [0] 10 9 4" xfId="3232" xr:uid="{00000000-0005-0000-0000-00009D0C0000}"/>
    <cellStyle name="통화 [0] 10 9 4 2" xfId="4824" xr:uid="{00000000-0005-0000-0000-00009D0C0000}"/>
    <cellStyle name="통화 [0] 10 9 4 2 2" xfId="5905" xr:uid="{00000000-0005-0000-0000-00009D0C0000}"/>
    <cellStyle name="통화 [0] 10 9 4 3" xfId="5362" xr:uid="{00000000-0005-0000-0000-00009D0C0000}"/>
    <cellStyle name="통화 [0] 10 9 5" xfId="4821" xr:uid="{00000000-0005-0000-0000-00009A0C0000}"/>
    <cellStyle name="통화 [0] 10 9 5 2" xfId="5902" xr:uid="{00000000-0005-0000-0000-00009A0C0000}"/>
    <cellStyle name="통화 [0] 10 9 6" xfId="5359" xr:uid="{00000000-0005-0000-0000-00009A0C0000}"/>
    <cellStyle name="통화 [0] 11" xfId="3233" xr:uid="{00000000-0005-0000-0000-00009E0C0000}"/>
    <cellStyle name="통화 [0] 11 10" xfId="3234" xr:uid="{00000000-0005-0000-0000-00009F0C0000}"/>
    <cellStyle name="통화 [0] 11 10 2" xfId="3235" xr:uid="{00000000-0005-0000-0000-0000A00C0000}"/>
    <cellStyle name="통화 [0] 11 10 2 2" xfId="4827" xr:uid="{00000000-0005-0000-0000-0000A00C0000}"/>
    <cellStyle name="통화 [0] 11 10 2 2 2" xfId="5908" xr:uid="{00000000-0005-0000-0000-0000A00C0000}"/>
    <cellStyle name="통화 [0] 11 10 2 3" xfId="5365" xr:uid="{00000000-0005-0000-0000-0000A00C0000}"/>
    <cellStyle name="통화 [0] 11 10 3" xfId="3236" xr:uid="{00000000-0005-0000-0000-0000A10C0000}"/>
    <cellStyle name="통화 [0] 11 10 3 2" xfId="4828" xr:uid="{00000000-0005-0000-0000-0000A10C0000}"/>
    <cellStyle name="통화 [0] 11 10 3 2 2" xfId="5909" xr:uid="{00000000-0005-0000-0000-0000A10C0000}"/>
    <cellStyle name="통화 [0] 11 10 3 3" xfId="5366" xr:uid="{00000000-0005-0000-0000-0000A10C0000}"/>
    <cellStyle name="통화 [0] 11 10 4" xfId="3237" xr:uid="{00000000-0005-0000-0000-0000A20C0000}"/>
    <cellStyle name="통화 [0] 11 10 4 2" xfId="4829" xr:uid="{00000000-0005-0000-0000-0000A20C0000}"/>
    <cellStyle name="통화 [0] 11 10 4 2 2" xfId="5910" xr:uid="{00000000-0005-0000-0000-0000A20C0000}"/>
    <cellStyle name="통화 [0] 11 10 4 3" xfId="5367" xr:uid="{00000000-0005-0000-0000-0000A20C0000}"/>
    <cellStyle name="통화 [0] 11 10 5" xfId="4826" xr:uid="{00000000-0005-0000-0000-00009F0C0000}"/>
    <cellStyle name="통화 [0] 11 10 5 2" xfId="5907" xr:uid="{00000000-0005-0000-0000-00009F0C0000}"/>
    <cellStyle name="통화 [0] 11 10 6" xfId="5364" xr:uid="{00000000-0005-0000-0000-00009F0C0000}"/>
    <cellStyle name="통화 [0] 11 11" xfId="3238" xr:uid="{00000000-0005-0000-0000-0000A30C0000}"/>
    <cellStyle name="통화 [0] 11 11 2" xfId="4830" xr:uid="{00000000-0005-0000-0000-0000A30C0000}"/>
    <cellStyle name="통화 [0] 11 11 2 2" xfId="5911" xr:uid="{00000000-0005-0000-0000-0000A30C0000}"/>
    <cellStyle name="통화 [0] 11 11 3" xfId="5368" xr:uid="{00000000-0005-0000-0000-0000A30C0000}"/>
    <cellStyle name="통화 [0] 11 12" xfId="3239" xr:uid="{00000000-0005-0000-0000-0000A40C0000}"/>
    <cellStyle name="통화 [0] 11 12 2" xfId="4831" xr:uid="{00000000-0005-0000-0000-0000A40C0000}"/>
    <cellStyle name="통화 [0] 11 12 2 2" xfId="5912" xr:uid="{00000000-0005-0000-0000-0000A40C0000}"/>
    <cellStyle name="통화 [0] 11 12 3" xfId="5369" xr:uid="{00000000-0005-0000-0000-0000A40C0000}"/>
    <cellStyle name="통화 [0] 11 13" xfId="3240" xr:uid="{00000000-0005-0000-0000-0000A50C0000}"/>
    <cellStyle name="통화 [0] 11 13 2" xfId="4832" xr:uid="{00000000-0005-0000-0000-0000A50C0000}"/>
    <cellStyle name="통화 [0] 11 13 2 2" xfId="5913" xr:uid="{00000000-0005-0000-0000-0000A50C0000}"/>
    <cellStyle name="통화 [0] 11 13 3" xfId="5370" xr:uid="{00000000-0005-0000-0000-0000A50C0000}"/>
    <cellStyle name="통화 [0] 11 14" xfId="4825" xr:uid="{00000000-0005-0000-0000-00009E0C0000}"/>
    <cellStyle name="통화 [0] 11 14 2" xfId="5906" xr:uid="{00000000-0005-0000-0000-00009E0C0000}"/>
    <cellStyle name="통화 [0] 11 15" xfId="5363" xr:uid="{00000000-0005-0000-0000-00009E0C0000}"/>
    <cellStyle name="통화 [0] 11 2" xfId="3241" xr:uid="{00000000-0005-0000-0000-0000A60C0000}"/>
    <cellStyle name="통화 [0] 11 2 2" xfId="3242" xr:uid="{00000000-0005-0000-0000-0000A70C0000}"/>
    <cellStyle name="통화 [0] 11 2 2 2" xfId="4834" xr:uid="{00000000-0005-0000-0000-0000A70C0000}"/>
    <cellStyle name="통화 [0] 11 2 2 2 2" xfId="5915" xr:uid="{00000000-0005-0000-0000-0000A70C0000}"/>
    <cellStyle name="통화 [0] 11 2 2 3" xfId="5372" xr:uid="{00000000-0005-0000-0000-0000A70C0000}"/>
    <cellStyle name="통화 [0] 11 2 3" xfId="3243" xr:uid="{00000000-0005-0000-0000-0000A80C0000}"/>
    <cellStyle name="통화 [0] 11 2 3 2" xfId="4835" xr:uid="{00000000-0005-0000-0000-0000A80C0000}"/>
    <cellStyle name="통화 [0] 11 2 3 2 2" xfId="5916" xr:uid="{00000000-0005-0000-0000-0000A80C0000}"/>
    <cellStyle name="통화 [0] 11 2 3 3" xfId="5373" xr:uid="{00000000-0005-0000-0000-0000A80C0000}"/>
    <cellStyle name="통화 [0] 11 2 4" xfId="3244" xr:uid="{00000000-0005-0000-0000-0000A90C0000}"/>
    <cellStyle name="통화 [0] 11 2 4 2" xfId="4836" xr:uid="{00000000-0005-0000-0000-0000A90C0000}"/>
    <cellStyle name="통화 [0] 11 2 4 2 2" xfId="5917" xr:uid="{00000000-0005-0000-0000-0000A90C0000}"/>
    <cellStyle name="통화 [0] 11 2 4 3" xfId="5374" xr:uid="{00000000-0005-0000-0000-0000A90C0000}"/>
    <cellStyle name="통화 [0] 11 2 5" xfId="4833" xr:uid="{00000000-0005-0000-0000-0000A60C0000}"/>
    <cellStyle name="통화 [0] 11 2 5 2" xfId="5914" xr:uid="{00000000-0005-0000-0000-0000A60C0000}"/>
    <cellStyle name="통화 [0] 11 2 6" xfId="5371" xr:uid="{00000000-0005-0000-0000-0000A60C0000}"/>
    <cellStyle name="통화 [0] 11 3" xfId="3245" xr:uid="{00000000-0005-0000-0000-0000AA0C0000}"/>
    <cellStyle name="통화 [0] 11 3 2" xfId="3246" xr:uid="{00000000-0005-0000-0000-0000AB0C0000}"/>
    <cellStyle name="통화 [0] 11 3 2 2" xfId="4838" xr:uid="{00000000-0005-0000-0000-0000AB0C0000}"/>
    <cellStyle name="통화 [0] 11 3 2 2 2" xfId="5919" xr:uid="{00000000-0005-0000-0000-0000AB0C0000}"/>
    <cellStyle name="통화 [0] 11 3 2 3" xfId="5376" xr:uid="{00000000-0005-0000-0000-0000AB0C0000}"/>
    <cellStyle name="통화 [0] 11 3 3" xfId="3247" xr:uid="{00000000-0005-0000-0000-0000AC0C0000}"/>
    <cellStyle name="통화 [0] 11 3 3 2" xfId="4839" xr:uid="{00000000-0005-0000-0000-0000AC0C0000}"/>
    <cellStyle name="통화 [0] 11 3 3 2 2" xfId="5920" xr:uid="{00000000-0005-0000-0000-0000AC0C0000}"/>
    <cellStyle name="통화 [0] 11 3 3 3" xfId="5377" xr:uid="{00000000-0005-0000-0000-0000AC0C0000}"/>
    <cellStyle name="통화 [0] 11 3 4" xfId="3248" xr:uid="{00000000-0005-0000-0000-0000AD0C0000}"/>
    <cellStyle name="통화 [0] 11 3 4 2" xfId="4840" xr:uid="{00000000-0005-0000-0000-0000AD0C0000}"/>
    <cellStyle name="통화 [0] 11 3 4 2 2" xfId="5921" xr:uid="{00000000-0005-0000-0000-0000AD0C0000}"/>
    <cellStyle name="통화 [0] 11 3 4 3" xfId="5378" xr:uid="{00000000-0005-0000-0000-0000AD0C0000}"/>
    <cellStyle name="통화 [0] 11 3 5" xfId="4837" xr:uid="{00000000-0005-0000-0000-0000AA0C0000}"/>
    <cellStyle name="통화 [0] 11 3 5 2" xfId="5918" xr:uid="{00000000-0005-0000-0000-0000AA0C0000}"/>
    <cellStyle name="통화 [0] 11 3 6" xfId="5375" xr:uid="{00000000-0005-0000-0000-0000AA0C0000}"/>
    <cellStyle name="통화 [0] 11 4" xfId="3249" xr:uid="{00000000-0005-0000-0000-0000AE0C0000}"/>
    <cellStyle name="통화 [0] 11 4 2" xfId="3250" xr:uid="{00000000-0005-0000-0000-0000AF0C0000}"/>
    <cellStyle name="통화 [0] 11 4 2 2" xfId="4842" xr:uid="{00000000-0005-0000-0000-0000AF0C0000}"/>
    <cellStyle name="통화 [0] 11 4 2 2 2" xfId="5923" xr:uid="{00000000-0005-0000-0000-0000AF0C0000}"/>
    <cellStyle name="통화 [0] 11 4 2 3" xfId="5380" xr:uid="{00000000-0005-0000-0000-0000AF0C0000}"/>
    <cellStyle name="통화 [0] 11 4 3" xfId="3251" xr:uid="{00000000-0005-0000-0000-0000B00C0000}"/>
    <cellStyle name="통화 [0] 11 4 3 2" xfId="4843" xr:uid="{00000000-0005-0000-0000-0000B00C0000}"/>
    <cellStyle name="통화 [0] 11 4 3 2 2" xfId="5924" xr:uid="{00000000-0005-0000-0000-0000B00C0000}"/>
    <cellStyle name="통화 [0] 11 4 3 3" xfId="5381" xr:uid="{00000000-0005-0000-0000-0000B00C0000}"/>
    <cellStyle name="통화 [0] 11 4 4" xfId="3252" xr:uid="{00000000-0005-0000-0000-0000B10C0000}"/>
    <cellStyle name="통화 [0] 11 4 4 2" xfId="4844" xr:uid="{00000000-0005-0000-0000-0000B10C0000}"/>
    <cellStyle name="통화 [0] 11 4 4 2 2" xfId="5925" xr:uid="{00000000-0005-0000-0000-0000B10C0000}"/>
    <cellStyle name="통화 [0] 11 4 4 3" xfId="5382" xr:uid="{00000000-0005-0000-0000-0000B10C0000}"/>
    <cellStyle name="통화 [0] 11 4 5" xfId="4841" xr:uid="{00000000-0005-0000-0000-0000AE0C0000}"/>
    <cellStyle name="통화 [0] 11 4 5 2" xfId="5922" xr:uid="{00000000-0005-0000-0000-0000AE0C0000}"/>
    <cellStyle name="통화 [0] 11 4 6" xfId="5379" xr:uid="{00000000-0005-0000-0000-0000AE0C0000}"/>
    <cellStyle name="통화 [0] 11 5" xfId="3253" xr:uid="{00000000-0005-0000-0000-0000B20C0000}"/>
    <cellStyle name="통화 [0] 11 5 2" xfId="3254" xr:uid="{00000000-0005-0000-0000-0000B30C0000}"/>
    <cellStyle name="통화 [0] 11 5 2 2" xfId="4846" xr:uid="{00000000-0005-0000-0000-0000B30C0000}"/>
    <cellStyle name="통화 [0] 11 5 2 2 2" xfId="5927" xr:uid="{00000000-0005-0000-0000-0000B30C0000}"/>
    <cellStyle name="통화 [0] 11 5 2 3" xfId="5384" xr:uid="{00000000-0005-0000-0000-0000B30C0000}"/>
    <cellStyle name="통화 [0] 11 5 3" xfId="3255" xr:uid="{00000000-0005-0000-0000-0000B40C0000}"/>
    <cellStyle name="통화 [0] 11 5 3 2" xfId="4847" xr:uid="{00000000-0005-0000-0000-0000B40C0000}"/>
    <cellStyle name="통화 [0] 11 5 3 2 2" xfId="5928" xr:uid="{00000000-0005-0000-0000-0000B40C0000}"/>
    <cellStyle name="통화 [0] 11 5 3 3" xfId="5385" xr:uid="{00000000-0005-0000-0000-0000B40C0000}"/>
    <cellStyle name="통화 [0] 11 5 4" xfId="3256" xr:uid="{00000000-0005-0000-0000-0000B50C0000}"/>
    <cellStyle name="통화 [0] 11 5 4 2" xfId="4848" xr:uid="{00000000-0005-0000-0000-0000B50C0000}"/>
    <cellStyle name="통화 [0] 11 5 4 2 2" xfId="5929" xr:uid="{00000000-0005-0000-0000-0000B50C0000}"/>
    <cellStyle name="통화 [0] 11 5 4 3" xfId="5386" xr:uid="{00000000-0005-0000-0000-0000B50C0000}"/>
    <cellStyle name="통화 [0] 11 5 5" xfId="4845" xr:uid="{00000000-0005-0000-0000-0000B20C0000}"/>
    <cellStyle name="통화 [0] 11 5 5 2" xfId="5926" xr:uid="{00000000-0005-0000-0000-0000B20C0000}"/>
    <cellStyle name="통화 [0] 11 5 6" xfId="5383" xr:uid="{00000000-0005-0000-0000-0000B20C0000}"/>
    <cellStyle name="통화 [0] 11 6" xfId="3257" xr:uid="{00000000-0005-0000-0000-0000B60C0000}"/>
    <cellStyle name="통화 [0] 11 6 2" xfId="3258" xr:uid="{00000000-0005-0000-0000-0000B70C0000}"/>
    <cellStyle name="통화 [0] 11 6 2 2" xfId="4850" xr:uid="{00000000-0005-0000-0000-0000B70C0000}"/>
    <cellStyle name="통화 [0] 11 6 2 2 2" xfId="5931" xr:uid="{00000000-0005-0000-0000-0000B70C0000}"/>
    <cellStyle name="통화 [0] 11 6 2 3" xfId="5388" xr:uid="{00000000-0005-0000-0000-0000B70C0000}"/>
    <cellStyle name="통화 [0] 11 6 3" xfId="3259" xr:uid="{00000000-0005-0000-0000-0000B80C0000}"/>
    <cellStyle name="통화 [0] 11 6 3 2" xfId="4851" xr:uid="{00000000-0005-0000-0000-0000B80C0000}"/>
    <cellStyle name="통화 [0] 11 6 3 2 2" xfId="5932" xr:uid="{00000000-0005-0000-0000-0000B80C0000}"/>
    <cellStyle name="통화 [0] 11 6 3 3" xfId="5389" xr:uid="{00000000-0005-0000-0000-0000B80C0000}"/>
    <cellStyle name="통화 [0] 11 6 4" xfId="3260" xr:uid="{00000000-0005-0000-0000-0000B90C0000}"/>
    <cellStyle name="통화 [0] 11 6 4 2" xfId="4852" xr:uid="{00000000-0005-0000-0000-0000B90C0000}"/>
    <cellStyle name="통화 [0] 11 6 4 2 2" xfId="5933" xr:uid="{00000000-0005-0000-0000-0000B90C0000}"/>
    <cellStyle name="통화 [0] 11 6 4 3" xfId="5390" xr:uid="{00000000-0005-0000-0000-0000B90C0000}"/>
    <cellStyle name="통화 [0] 11 6 5" xfId="4849" xr:uid="{00000000-0005-0000-0000-0000B60C0000}"/>
    <cellStyle name="통화 [0] 11 6 5 2" xfId="5930" xr:uid="{00000000-0005-0000-0000-0000B60C0000}"/>
    <cellStyle name="통화 [0] 11 6 6" xfId="5387" xr:uid="{00000000-0005-0000-0000-0000B60C0000}"/>
    <cellStyle name="통화 [0] 11 7" xfId="3261" xr:uid="{00000000-0005-0000-0000-0000BA0C0000}"/>
    <cellStyle name="통화 [0] 11 7 2" xfId="3262" xr:uid="{00000000-0005-0000-0000-0000BB0C0000}"/>
    <cellStyle name="통화 [0] 11 7 2 2" xfId="4854" xr:uid="{00000000-0005-0000-0000-0000BB0C0000}"/>
    <cellStyle name="통화 [0] 11 7 2 2 2" xfId="5935" xr:uid="{00000000-0005-0000-0000-0000BB0C0000}"/>
    <cellStyle name="통화 [0] 11 7 2 3" xfId="5392" xr:uid="{00000000-0005-0000-0000-0000BB0C0000}"/>
    <cellStyle name="통화 [0] 11 7 3" xfId="3263" xr:uid="{00000000-0005-0000-0000-0000BC0C0000}"/>
    <cellStyle name="통화 [0] 11 7 3 2" xfId="4855" xr:uid="{00000000-0005-0000-0000-0000BC0C0000}"/>
    <cellStyle name="통화 [0] 11 7 3 2 2" xfId="5936" xr:uid="{00000000-0005-0000-0000-0000BC0C0000}"/>
    <cellStyle name="통화 [0] 11 7 3 3" xfId="5393" xr:uid="{00000000-0005-0000-0000-0000BC0C0000}"/>
    <cellStyle name="통화 [0] 11 7 4" xfId="3264" xr:uid="{00000000-0005-0000-0000-0000BD0C0000}"/>
    <cellStyle name="통화 [0] 11 7 4 2" xfId="4856" xr:uid="{00000000-0005-0000-0000-0000BD0C0000}"/>
    <cellStyle name="통화 [0] 11 7 4 2 2" xfId="5937" xr:uid="{00000000-0005-0000-0000-0000BD0C0000}"/>
    <cellStyle name="통화 [0] 11 7 4 3" xfId="5394" xr:uid="{00000000-0005-0000-0000-0000BD0C0000}"/>
    <cellStyle name="통화 [0] 11 7 5" xfId="4853" xr:uid="{00000000-0005-0000-0000-0000BA0C0000}"/>
    <cellStyle name="통화 [0] 11 7 5 2" xfId="5934" xr:uid="{00000000-0005-0000-0000-0000BA0C0000}"/>
    <cellStyle name="통화 [0] 11 7 6" xfId="5391" xr:uid="{00000000-0005-0000-0000-0000BA0C0000}"/>
    <cellStyle name="통화 [0] 11 8" xfId="3265" xr:uid="{00000000-0005-0000-0000-0000BE0C0000}"/>
    <cellStyle name="통화 [0] 11 8 2" xfId="3266" xr:uid="{00000000-0005-0000-0000-0000BF0C0000}"/>
    <cellStyle name="통화 [0] 11 8 2 2" xfId="4858" xr:uid="{00000000-0005-0000-0000-0000BF0C0000}"/>
    <cellStyle name="통화 [0] 11 8 2 2 2" xfId="5939" xr:uid="{00000000-0005-0000-0000-0000BF0C0000}"/>
    <cellStyle name="통화 [0] 11 8 2 3" xfId="5396" xr:uid="{00000000-0005-0000-0000-0000BF0C0000}"/>
    <cellStyle name="통화 [0] 11 8 3" xfId="3267" xr:uid="{00000000-0005-0000-0000-0000C00C0000}"/>
    <cellStyle name="통화 [0] 11 8 3 2" xfId="4859" xr:uid="{00000000-0005-0000-0000-0000C00C0000}"/>
    <cellStyle name="통화 [0] 11 8 3 2 2" xfId="5940" xr:uid="{00000000-0005-0000-0000-0000C00C0000}"/>
    <cellStyle name="통화 [0] 11 8 3 3" xfId="5397" xr:uid="{00000000-0005-0000-0000-0000C00C0000}"/>
    <cellStyle name="통화 [0] 11 8 4" xfId="3268" xr:uid="{00000000-0005-0000-0000-0000C10C0000}"/>
    <cellStyle name="통화 [0] 11 8 4 2" xfId="4860" xr:uid="{00000000-0005-0000-0000-0000C10C0000}"/>
    <cellStyle name="통화 [0] 11 8 4 2 2" xfId="5941" xr:uid="{00000000-0005-0000-0000-0000C10C0000}"/>
    <cellStyle name="통화 [0] 11 8 4 3" xfId="5398" xr:uid="{00000000-0005-0000-0000-0000C10C0000}"/>
    <cellStyle name="통화 [0] 11 8 5" xfId="4857" xr:uid="{00000000-0005-0000-0000-0000BE0C0000}"/>
    <cellStyle name="통화 [0] 11 8 5 2" xfId="5938" xr:uid="{00000000-0005-0000-0000-0000BE0C0000}"/>
    <cellStyle name="통화 [0] 11 8 6" xfId="5395" xr:uid="{00000000-0005-0000-0000-0000BE0C0000}"/>
    <cellStyle name="통화 [0] 11 9" xfId="3269" xr:uid="{00000000-0005-0000-0000-0000C20C0000}"/>
    <cellStyle name="통화 [0] 11 9 2" xfId="3270" xr:uid="{00000000-0005-0000-0000-0000C30C0000}"/>
    <cellStyle name="통화 [0] 11 9 2 2" xfId="4862" xr:uid="{00000000-0005-0000-0000-0000C30C0000}"/>
    <cellStyle name="통화 [0] 11 9 2 2 2" xfId="5943" xr:uid="{00000000-0005-0000-0000-0000C30C0000}"/>
    <cellStyle name="통화 [0] 11 9 2 3" xfId="5400" xr:uid="{00000000-0005-0000-0000-0000C30C0000}"/>
    <cellStyle name="통화 [0] 11 9 3" xfId="3271" xr:uid="{00000000-0005-0000-0000-0000C40C0000}"/>
    <cellStyle name="통화 [0] 11 9 3 2" xfId="4863" xr:uid="{00000000-0005-0000-0000-0000C40C0000}"/>
    <cellStyle name="통화 [0] 11 9 3 2 2" xfId="5944" xr:uid="{00000000-0005-0000-0000-0000C40C0000}"/>
    <cellStyle name="통화 [0] 11 9 3 3" xfId="5401" xr:uid="{00000000-0005-0000-0000-0000C40C0000}"/>
    <cellStyle name="통화 [0] 11 9 4" xfId="3272" xr:uid="{00000000-0005-0000-0000-0000C50C0000}"/>
    <cellStyle name="통화 [0] 11 9 4 2" xfId="4864" xr:uid="{00000000-0005-0000-0000-0000C50C0000}"/>
    <cellStyle name="통화 [0] 11 9 4 2 2" xfId="5945" xr:uid="{00000000-0005-0000-0000-0000C50C0000}"/>
    <cellStyle name="통화 [0] 11 9 4 3" xfId="5402" xr:uid="{00000000-0005-0000-0000-0000C50C0000}"/>
    <cellStyle name="통화 [0] 11 9 5" xfId="4861" xr:uid="{00000000-0005-0000-0000-0000C20C0000}"/>
    <cellStyle name="통화 [0] 11 9 5 2" xfId="5942" xr:uid="{00000000-0005-0000-0000-0000C20C0000}"/>
    <cellStyle name="통화 [0] 11 9 6" xfId="5399" xr:uid="{00000000-0005-0000-0000-0000C20C0000}"/>
    <cellStyle name="통화 [0] 2" xfId="3273" xr:uid="{00000000-0005-0000-0000-0000C60C0000}"/>
    <cellStyle name="통화 [0] 2 10" xfId="3274" xr:uid="{00000000-0005-0000-0000-0000C70C0000}"/>
    <cellStyle name="통화 [0] 2 10 2" xfId="3275" xr:uid="{00000000-0005-0000-0000-0000C80C0000}"/>
    <cellStyle name="통화 [0] 2 10 2 2" xfId="4867" xr:uid="{00000000-0005-0000-0000-0000C80C0000}"/>
    <cellStyle name="통화 [0] 2 10 2 2 2" xfId="5948" xr:uid="{00000000-0005-0000-0000-0000C80C0000}"/>
    <cellStyle name="통화 [0] 2 10 2 3" xfId="5405" xr:uid="{00000000-0005-0000-0000-0000C80C0000}"/>
    <cellStyle name="통화 [0] 2 10 3" xfId="3276" xr:uid="{00000000-0005-0000-0000-0000C90C0000}"/>
    <cellStyle name="통화 [0] 2 10 3 2" xfId="4868" xr:uid="{00000000-0005-0000-0000-0000C90C0000}"/>
    <cellStyle name="통화 [0] 2 10 3 2 2" xfId="5949" xr:uid="{00000000-0005-0000-0000-0000C90C0000}"/>
    <cellStyle name="통화 [0] 2 10 3 3" xfId="5406" xr:uid="{00000000-0005-0000-0000-0000C90C0000}"/>
    <cellStyle name="통화 [0] 2 10 4" xfId="3277" xr:uid="{00000000-0005-0000-0000-0000CA0C0000}"/>
    <cellStyle name="통화 [0] 2 10 4 2" xfId="4869" xr:uid="{00000000-0005-0000-0000-0000CA0C0000}"/>
    <cellStyle name="통화 [0] 2 10 4 2 2" xfId="5950" xr:uid="{00000000-0005-0000-0000-0000CA0C0000}"/>
    <cellStyle name="통화 [0] 2 10 4 3" xfId="5407" xr:uid="{00000000-0005-0000-0000-0000CA0C0000}"/>
    <cellStyle name="통화 [0] 2 10 5" xfId="4866" xr:uid="{00000000-0005-0000-0000-0000C70C0000}"/>
    <cellStyle name="통화 [0] 2 10 5 2" xfId="5947" xr:uid="{00000000-0005-0000-0000-0000C70C0000}"/>
    <cellStyle name="통화 [0] 2 10 6" xfId="5404" xr:uid="{00000000-0005-0000-0000-0000C70C0000}"/>
    <cellStyle name="통화 [0] 2 11" xfId="3278" xr:uid="{00000000-0005-0000-0000-0000CB0C0000}"/>
    <cellStyle name="통화 [0] 2 11 2" xfId="4870" xr:uid="{00000000-0005-0000-0000-0000CB0C0000}"/>
    <cellStyle name="통화 [0] 2 11 2 2" xfId="5951" xr:uid="{00000000-0005-0000-0000-0000CB0C0000}"/>
    <cellStyle name="통화 [0] 2 11 3" xfId="5408" xr:uid="{00000000-0005-0000-0000-0000CB0C0000}"/>
    <cellStyle name="통화 [0] 2 12" xfId="3279" xr:uid="{00000000-0005-0000-0000-0000CC0C0000}"/>
    <cellStyle name="통화 [0] 2 12 2" xfId="4871" xr:uid="{00000000-0005-0000-0000-0000CC0C0000}"/>
    <cellStyle name="통화 [0] 2 12 2 2" xfId="5952" xr:uid="{00000000-0005-0000-0000-0000CC0C0000}"/>
    <cellStyle name="통화 [0] 2 12 3" xfId="5409" xr:uid="{00000000-0005-0000-0000-0000CC0C0000}"/>
    <cellStyle name="통화 [0] 2 13" xfId="3280" xr:uid="{00000000-0005-0000-0000-0000CD0C0000}"/>
    <cellStyle name="통화 [0] 2 13 2" xfId="4872" xr:uid="{00000000-0005-0000-0000-0000CD0C0000}"/>
    <cellStyle name="통화 [0] 2 13 2 2" xfId="5953" xr:uid="{00000000-0005-0000-0000-0000CD0C0000}"/>
    <cellStyle name="통화 [0] 2 13 3" xfId="5410" xr:uid="{00000000-0005-0000-0000-0000CD0C0000}"/>
    <cellStyle name="통화 [0] 2 14" xfId="4865" xr:uid="{00000000-0005-0000-0000-0000C60C0000}"/>
    <cellStyle name="통화 [0] 2 14 2" xfId="5946" xr:uid="{00000000-0005-0000-0000-0000C60C0000}"/>
    <cellStyle name="통화 [0] 2 15" xfId="5403" xr:uid="{00000000-0005-0000-0000-0000C60C0000}"/>
    <cellStyle name="통화 [0] 2 2" xfId="3281" xr:uid="{00000000-0005-0000-0000-0000CE0C0000}"/>
    <cellStyle name="통화 [0] 2 2 2" xfId="3282" xr:uid="{00000000-0005-0000-0000-0000CF0C0000}"/>
    <cellStyle name="통화 [0] 2 2 2 2" xfId="4874" xr:uid="{00000000-0005-0000-0000-0000CF0C0000}"/>
    <cellStyle name="통화 [0] 2 2 2 2 2" xfId="5955" xr:uid="{00000000-0005-0000-0000-0000CF0C0000}"/>
    <cellStyle name="통화 [0] 2 2 2 3" xfId="5412" xr:uid="{00000000-0005-0000-0000-0000CF0C0000}"/>
    <cellStyle name="통화 [0] 2 2 3" xfId="3283" xr:uid="{00000000-0005-0000-0000-0000D00C0000}"/>
    <cellStyle name="통화 [0] 2 2 3 2" xfId="4875" xr:uid="{00000000-0005-0000-0000-0000D00C0000}"/>
    <cellStyle name="통화 [0] 2 2 3 2 2" xfId="5956" xr:uid="{00000000-0005-0000-0000-0000D00C0000}"/>
    <cellStyle name="통화 [0] 2 2 3 3" xfId="5413" xr:uid="{00000000-0005-0000-0000-0000D00C0000}"/>
    <cellStyle name="통화 [0] 2 2 4" xfId="3284" xr:uid="{00000000-0005-0000-0000-0000D10C0000}"/>
    <cellStyle name="통화 [0] 2 2 4 2" xfId="4876" xr:uid="{00000000-0005-0000-0000-0000D10C0000}"/>
    <cellStyle name="통화 [0] 2 2 4 2 2" xfId="5957" xr:uid="{00000000-0005-0000-0000-0000D10C0000}"/>
    <cellStyle name="통화 [0] 2 2 4 3" xfId="5414" xr:uid="{00000000-0005-0000-0000-0000D10C0000}"/>
    <cellStyle name="통화 [0] 2 2 5" xfId="4873" xr:uid="{00000000-0005-0000-0000-0000CE0C0000}"/>
    <cellStyle name="통화 [0] 2 2 5 2" xfId="5954" xr:uid="{00000000-0005-0000-0000-0000CE0C0000}"/>
    <cellStyle name="통화 [0] 2 2 6" xfId="5411" xr:uid="{00000000-0005-0000-0000-0000CE0C0000}"/>
    <cellStyle name="통화 [0] 2 3" xfId="3285" xr:uid="{00000000-0005-0000-0000-0000D20C0000}"/>
    <cellStyle name="통화 [0] 2 3 2" xfId="3286" xr:uid="{00000000-0005-0000-0000-0000D30C0000}"/>
    <cellStyle name="통화 [0] 2 3 2 2" xfId="4878" xr:uid="{00000000-0005-0000-0000-0000D30C0000}"/>
    <cellStyle name="통화 [0] 2 3 2 2 2" xfId="5959" xr:uid="{00000000-0005-0000-0000-0000D30C0000}"/>
    <cellStyle name="통화 [0] 2 3 2 3" xfId="5416" xr:uid="{00000000-0005-0000-0000-0000D30C0000}"/>
    <cellStyle name="통화 [0] 2 3 3" xfId="3287" xr:uid="{00000000-0005-0000-0000-0000D40C0000}"/>
    <cellStyle name="통화 [0] 2 3 3 2" xfId="4879" xr:uid="{00000000-0005-0000-0000-0000D40C0000}"/>
    <cellStyle name="통화 [0] 2 3 3 2 2" xfId="5960" xr:uid="{00000000-0005-0000-0000-0000D40C0000}"/>
    <cellStyle name="통화 [0] 2 3 3 3" xfId="5417" xr:uid="{00000000-0005-0000-0000-0000D40C0000}"/>
    <cellStyle name="통화 [0] 2 3 4" xfId="3288" xr:uid="{00000000-0005-0000-0000-0000D50C0000}"/>
    <cellStyle name="통화 [0] 2 3 4 2" xfId="4880" xr:uid="{00000000-0005-0000-0000-0000D50C0000}"/>
    <cellStyle name="통화 [0] 2 3 4 2 2" xfId="5961" xr:uid="{00000000-0005-0000-0000-0000D50C0000}"/>
    <cellStyle name="통화 [0] 2 3 4 3" xfId="5418" xr:uid="{00000000-0005-0000-0000-0000D50C0000}"/>
    <cellStyle name="통화 [0] 2 3 5" xfId="4877" xr:uid="{00000000-0005-0000-0000-0000D20C0000}"/>
    <cellStyle name="통화 [0] 2 3 5 2" xfId="5958" xr:uid="{00000000-0005-0000-0000-0000D20C0000}"/>
    <cellStyle name="통화 [0] 2 3 6" xfId="5415" xr:uid="{00000000-0005-0000-0000-0000D20C0000}"/>
    <cellStyle name="통화 [0] 2 4" xfId="3289" xr:uid="{00000000-0005-0000-0000-0000D60C0000}"/>
    <cellStyle name="통화 [0] 2 4 2" xfId="3290" xr:uid="{00000000-0005-0000-0000-0000D70C0000}"/>
    <cellStyle name="통화 [0] 2 4 2 2" xfId="4882" xr:uid="{00000000-0005-0000-0000-0000D70C0000}"/>
    <cellStyle name="통화 [0] 2 4 2 2 2" xfId="5963" xr:uid="{00000000-0005-0000-0000-0000D70C0000}"/>
    <cellStyle name="통화 [0] 2 4 2 3" xfId="5420" xr:uid="{00000000-0005-0000-0000-0000D70C0000}"/>
    <cellStyle name="통화 [0] 2 4 3" xfId="3291" xr:uid="{00000000-0005-0000-0000-0000D80C0000}"/>
    <cellStyle name="통화 [0] 2 4 3 2" xfId="4883" xr:uid="{00000000-0005-0000-0000-0000D80C0000}"/>
    <cellStyle name="통화 [0] 2 4 3 2 2" xfId="5964" xr:uid="{00000000-0005-0000-0000-0000D80C0000}"/>
    <cellStyle name="통화 [0] 2 4 3 3" xfId="5421" xr:uid="{00000000-0005-0000-0000-0000D80C0000}"/>
    <cellStyle name="통화 [0] 2 4 4" xfId="3292" xr:uid="{00000000-0005-0000-0000-0000D90C0000}"/>
    <cellStyle name="통화 [0] 2 4 4 2" xfId="4884" xr:uid="{00000000-0005-0000-0000-0000D90C0000}"/>
    <cellStyle name="통화 [0] 2 4 4 2 2" xfId="5965" xr:uid="{00000000-0005-0000-0000-0000D90C0000}"/>
    <cellStyle name="통화 [0] 2 4 4 3" xfId="5422" xr:uid="{00000000-0005-0000-0000-0000D90C0000}"/>
    <cellStyle name="통화 [0] 2 4 5" xfId="4881" xr:uid="{00000000-0005-0000-0000-0000D60C0000}"/>
    <cellStyle name="통화 [0] 2 4 5 2" xfId="5962" xr:uid="{00000000-0005-0000-0000-0000D60C0000}"/>
    <cellStyle name="통화 [0] 2 4 6" xfId="5419" xr:uid="{00000000-0005-0000-0000-0000D60C0000}"/>
    <cellStyle name="통화 [0] 2 5" xfId="3293" xr:uid="{00000000-0005-0000-0000-0000DA0C0000}"/>
    <cellStyle name="통화 [0] 2 5 2" xfId="3294" xr:uid="{00000000-0005-0000-0000-0000DB0C0000}"/>
    <cellStyle name="통화 [0] 2 5 2 2" xfId="4886" xr:uid="{00000000-0005-0000-0000-0000DB0C0000}"/>
    <cellStyle name="통화 [0] 2 5 2 2 2" xfId="5967" xr:uid="{00000000-0005-0000-0000-0000DB0C0000}"/>
    <cellStyle name="통화 [0] 2 5 2 3" xfId="5424" xr:uid="{00000000-0005-0000-0000-0000DB0C0000}"/>
    <cellStyle name="통화 [0] 2 5 3" xfId="3295" xr:uid="{00000000-0005-0000-0000-0000DC0C0000}"/>
    <cellStyle name="통화 [0] 2 5 3 2" xfId="4887" xr:uid="{00000000-0005-0000-0000-0000DC0C0000}"/>
    <cellStyle name="통화 [0] 2 5 3 2 2" xfId="5968" xr:uid="{00000000-0005-0000-0000-0000DC0C0000}"/>
    <cellStyle name="통화 [0] 2 5 3 3" xfId="5425" xr:uid="{00000000-0005-0000-0000-0000DC0C0000}"/>
    <cellStyle name="통화 [0] 2 5 4" xfId="3296" xr:uid="{00000000-0005-0000-0000-0000DD0C0000}"/>
    <cellStyle name="통화 [0] 2 5 4 2" xfId="4888" xr:uid="{00000000-0005-0000-0000-0000DD0C0000}"/>
    <cellStyle name="통화 [0] 2 5 4 2 2" xfId="5969" xr:uid="{00000000-0005-0000-0000-0000DD0C0000}"/>
    <cellStyle name="통화 [0] 2 5 4 3" xfId="5426" xr:uid="{00000000-0005-0000-0000-0000DD0C0000}"/>
    <cellStyle name="통화 [0] 2 5 5" xfId="4885" xr:uid="{00000000-0005-0000-0000-0000DA0C0000}"/>
    <cellStyle name="통화 [0] 2 5 5 2" xfId="5966" xr:uid="{00000000-0005-0000-0000-0000DA0C0000}"/>
    <cellStyle name="통화 [0] 2 5 6" xfId="5423" xr:uid="{00000000-0005-0000-0000-0000DA0C0000}"/>
    <cellStyle name="통화 [0] 2 6" xfId="3297" xr:uid="{00000000-0005-0000-0000-0000DE0C0000}"/>
    <cellStyle name="통화 [0] 2 6 2" xfId="3298" xr:uid="{00000000-0005-0000-0000-0000DF0C0000}"/>
    <cellStyle name="통화 [0] 2 6 2 2" xfId="4890" xr:uid="{00000000-0005-0000-0000-0000DF0C0000}"/>
    <cellStyle name="통화 [0] 2 6 2 2 2" xfId="5971" xr:uid="{00000000-0005-0000-0000-0000DF0C0000}"/>
    <cellStyle name="통화 [0] 2 6 2 3" xfId="5428" xr:uid="{00000000-0005-0000-0000-0000DF0C0000}"/>
    <cellStyle name="통화 [0] 2 6 3" xfId="3299" xr:uid="{00000000-0005-0000-0000-0000E00C0000}"/>
    <cellStyle name="통화 [0] 2 6 3 2" xfId="4891" xr:uid="{00000000-0005-0000-0000-0000E00C0000}"/>
    <cellStyle name="통화 [0] 2 6 3 2 2" xfId="5972" xr:uid="{00000000-0005-0000-0000-0000E00C0000}"/>
    <cellStyle name="통화 [0] 2 6 3 3" xfId="5429" xr:uid="{00000000-0005-0000-0000-0000E00C0000}"/>
    <cellStyle name="통화 [0] 2 6 4" xfId="3300" xr:uid="{00000000-0005-0000-0000-0000E10C0000}"/>
    <cellStyle name="통화 [0] 2 6 4 2" xfId="4892" xr:uid="{00000000-0005-0000-0000-0000E10C0000}"/>
    <cellStyle name="통화 [0] 2 6 4 2 2" xfId="5973" xr:uid="{00000000-0005-0000-0000-0000E10C0000}"/>
    <cellStyle name="통화 [0] 2 6 4 3" xfId="5430" xr:uid="{00000000-0005-0000-0000-0000E10C0000}"/>
    <cellStyle name="통화 [0] 2 6 5" xfId="4889" xr:uid="{00000000-0005-0000-0000-0000DE0C0000}"/>
    <cellStyle name="통화 [0] 2 6 5 2" xfId="5970" xr:uid="{00000000-0005-0000-0000-0000DE0C0000}"/>
    <cellStyle name="통화 [0] 2 6 6" xfId="5427" xr:uid="{00000000-0005-0000-0000-0000DE0C0000}"/>
    <cellStyle name="통화 [0] 2 7" xfId="3301" xr:uid="{00000000-0005-0000-0000-0000E20C0000}"/>
    <cellStyle name="통화 [0] 2 7 2" xfId="3302" xr:uid="{00000000-0005-0000-0000-0000E30C0000}"/>
    <cellStyle name="통화 [0] 2 7 2 2" xfId="4894" xr:uid="{00000000-0005-0000-0000-0000E30C0000}"/>
    <cellStyle name="통화 [0] 2 7 2 2 2" xfId="5975" xr:uid="{00000000-0005-0000-0000-0000E30C0000}"/>
    <cellStyle name="통화 [0] 2 7 2 3" xfId="5432" xr:uid="{00000000-0005-0000-0000-0000E30C0000}"/>
    <cellStyle name="통화 [0] 2 7 3" xfId="3303" xr:uid="{00000000-0005-0000-0000-0000E40C0000}"/>
    <cellStyle name="통화 [0] 2 7 3 2" xfId="4895" xr:uid="{00000000-0005-0000-0000-0000E40C0000}"/>
    <cellStyle name="통화 [0] 2 7 3 2 2" xfId="5976" xr:uid="{00000000-0005-0000-0000-0000E40C0000}"/>
    <cellStyle name="통화 [0] 2 7 3 3" xfId="5433" xr:uid="{00000000-0005-0000-0000-0000E40C0000}"/>
    <cellStyle name="통화 [0] 2 7 4" xfId="3304" xr:uid="{00000000-0005-0000-0000-0000E50C0000}"/>
    <cellStyle name="통화 [0] 2 7 4 2" xfId="4896" xr:uid="{00000000-0005-0000-0000-0000E50C0000}"/>
    <cellStyle name="통화 [0] 2 7 4 2 2" xfId="5977" xr:uid="{00000000-0005-0000-0000-0000E50C0000}"/>
    <cellStyle name="통화 [0] 2 7 4 3" xfId="5434" xr:uid="{00000000-0005-0000-0000-0000E50C0000}"/>
    <cellStyle name="통화 [0] 2 7 5" xfId="4893" xr:uid="{00000000-0005-0000-0000-0000E20C0000}"/>
    <cellStyle name="통화 [0] 2 7 5 2" xfId="5974" xr:uid="{00000000-0005-0000-0000-0000E20C0000}"/>
    <cellStyle name="통화 [0] 2 7 6" xfId="5431" xr:uid="{00000000-0005-0000-0000-0000E20C0000}"/>
    <cellStyle name="통화 [0] 2 8" xfId="3305" xr:uid="{00000000-0005-0000-0000-0000E60C0000}"/>
    <cellStyle name="통화 [0] 2 8 2" xfId="3306" xr:uid="{00000000-0005-0000-0000-0000E70C0000}"/>
    <cellStyle name="통화 [0] 2 8 2 2" xfId="4898" xr:uid="{00000000-0005-0000-0000-0000E70C0000}"/>
    <cellStyle name="통화 [0] 2 8 2 2 2" xfId="5979" xr:uid="{00000000-0005-0000-0000-0000E70C0000}"/>
    <cellStyle name="통화 [0] 2 8 2 3" xfId="5436" xr:uid="{00000000-0005-0000-0000-0000E70C0000}"/>
    <cellStyle name="통화 [0] 2 8 3" xfId="3307" xr:uid="{00000000-0005-0000-0000-0000E80C0000}"/>
    <cellStyle name="통화 [0] 2 8 3 2" xfId="4899" xr:uid="{00000000-0005-0000-0000-0000E80C0000}"/>
    <cellStyle name="통화 [0] 2 8 3 2 2" xfId="5980" xr:uid="{00000000-0005-0000-0000-0000E80C0000}"/>
    <cellStyle name="통화 [0] 2 8 3 3" xfId="5437" xr:uid="{00000000-0005-0000-0000-0000E80C0000}"/>
    <cellStyle name="통화 [0] 2 8 4" xfId="3308" xr:uid="{00000000-0005-0000-0000-0000E90C0000}"/>
    <cellStyle name="통화 [0] 2 8 4 2" xfId="4900" xr:uid="{00000000-0005-0000-0000-0000E90C0000}"/>
    <cellStyle name="통화 [0] 2 8 4 2 2" xfId="5981" xr:uid="{00000000-0005-0000-0000-0000E90C0000}"/>
    <cellStyle name="통화 [0] 2 8 4 3" xfId="5438" xr:uid="{00000000-0005-0000-0000-0000E90C0000}"/>
    <cellStyle name="통화 [0] 2 8 5" xfId="4897" xr:uid="{00000000-0005-0000-0000-0000E60C0000}"/>
    <cellStyle name="통화 [0] 2 8 5 2" xfId="5978" xr:uid="{00000000-0005-0000-0000-0000E60C0000}"/>
    <cellStyle name="통화 [0] 2 8 6" xfId="5435" xr:uid="{00000000-0005-0000-0000-0000E60C0000}"/>
    <cellStyle name="통화 [0] 2 9" xfId="3309" xr:uid="{00000000-0005-0000-0000-0000EA0C0000}"/>
    <cellStyle name="통화 [0] 2 9 2" xfId="3310" xr:uid="{00000000-0005-0000-0000-0000EB0C0000}"/>
    <cellStyle name="통화 [0] 2 9 2 2" xfId="4902" xr:uid="{00000000-0005-0000-0000-0000EB0C0000}"/>
    <cellStyle name="통화 [0] 2 9 2 2 2" xfId="5983" xr:uid="{00000000-0005-0000-0000-0000EB0C0000}"/>
    <cellStyle name="통화 [0] 2 9 2 3" xfId="5440" xr:uid="{00000000-0005-0000-0000-0000EB0C0000}"/>
    <cellStyle name="통화 [0] 2 9 3" xfId="3311" xr:uid="{00000000-0005-0000-0000-0000EC0C0000}"/>
    <cellStyle name="통화 [0] 2 9 3 2" xfId="4903" xr:uid="{00000000-0005-0000-0000-0000EC0C0000}"/>
    <cellStyle name="통화 [0] 2 9 3 2 2" xfId="5984" xr:uid="{00000000-0005-0000-0000-0000EC0C0000}"/>
    <cellStyle name="통화 [0] 2 9 3 3" xfId="5441" xr:uid="{00000000-0005-0000-0000-0000EC0C0000}"/>
    <cellStyle name="통화 [0] 2 9 4" xfId="3312" xr:uid="{00000000-0005-0000-0000-0000ED0C0000}"/>
    <cellStyle name="통화 [0] 2 9 4 2" xfId="4904" xr:uid="{00000000-0005-0000-0000-0000ED0C0000}"/>
    <cellStyle name="통화 [0] 2 9 4 2 2" xfId="5985" xr:uid="{00000000-0005-0000-0000-0000ED0C0000}"/>
    <cellStyle name="통화 [0] 2 9 4 3" xfId="5442" xr:uid="{00000000-0005-0000-0000-0000ED0C0000}"/>
    <cellStyle name="통화 [0] 2 9 5" xfId="4901" xr:uid="{00000000-0005-0000-0000-0000EA0C0000}"/>
    <cellStyle name="통화 [0] 2 9 5 2" xfId="5982" xr:uid="{00000000-0005-0000-0000-0000EA0C0000}"/>
    <cellStyle name="통화 [0] 2 9 6" xfId="5439" xr:uid="{00000000-0005-0000-0000-0000EA0C0000}"/>
    <cellStyle name="통화 [0] 3" xfId="3313" xr:uid="{00000000-0005-0000-0000-0000EE0C0000}"/>
    <cellStyle name="통화 [0] 3 10" xfId="3314" xr:uid="{00000000-0005-0000-0000-0000EF0C0000}"/>
    <cellStyle name="통화 [0] 3 10 2" xfId="3315" xr:uid="{00000000-0005-0000-0000-0000F00C0000}"/>
    <cellStyle name="통화 [0] 3 10 2 2" xfId="4907" xr:uid="{00000000-0005-0000-0000-0000F00C0000}"/>
    <cellStyle name="통화 [0] 3 10 2 2 2" xfId="5988" xr:uid="{00000000-0005-0000-0000-0000F00C0000}"/>
    <cellStyle name="통화 [0] 3 10 2 3" xfId="5445" xr:uid="{00000000-0005-0000-0000-0000F00C0000}"/>
    <cellStyle name="통화 [0] 3 10 3" xfId="3316" xr:uid="{00000000-0005-0000-0000-0000F10C0000}"/>
    <cellStyle name="통화 [0] 3 10 3 2" xfId="4908" xr:uid="{00000000-0005-0000-0000-0000F10C0000}"/>
    <cellStyle name="통화 [0] 3 10 3 2 2" xfId="5989" xr:uid="{00000000-0005-0000-0000-0000F10C0000}"/>
    <cellStyle name="통화 [0] 3 10 3 3" xfId="5446" xr:uid="{00000000-0005-0000-0000-0000F10C0000}"/>
    <cellStyle name="통화 [0] 3 10 4" xfId="3317" xr:uid="{00000000-0005-0000-0000-0000F20C0000}"/>
    <cellStyle name="통화 [0] 3 10 4 2" xfId="4909" xr:uid="{00000000-0005-0000-0000-0000F20C0000}"/>
    <cellStyle name="통화 [0] 3 10 4 2 2" xfId="5990" xr:uid="{00000000-0005-0000-0000-0000F20C0000}"/>
    <cellStyle name="통화 [0] 3 10 4 3" xfId="5447" xr:uid="{00000000-0005-0000-0000-0000F20C0000}"/>
    <cellStyle name="통화 [0] 3 10 5" xfId="4906" xr:uid="{00000000-0005-0000-0000-0000EF0C0000}"/>
    <cellStyle name="통화 [0] 3 10 5 2" xfId="5987" xr:uid="{00000000-0005-0000-0000-0000EF0C0000}"/>
    <cellStyle name="통화 [0] 3 10 6" xfId="5444" xr:uid="{00000000-0005-0000-0000-0000EF0C0000}"/>
    <cellStyle name="통화 [0] 3 11" xfId="3318" xr:uid="{00000000-0005-0000-0000-0000F30C0000}"/>
    <cellStyle name="통화 [0] 3 11 2" xfId="4910" xr:uid="{00000000-0005-0000-0000-0000F30C0000}"/>
    <cellStyle name="통화 [0] 3 11 2 2" xfId="5991" xr:uid="{00000000-0005-0000-0000-0000F30C0000}"/>
    <cellStyle name="통화 [0] 3 11 3" xfId="5448" xr:uid="{00000000-0005-0000-0000-0000F30C0000}"/>
    <cellStyle name="통화 [0] 3 12" xfId="3319" xr:uid="{00000000-0005-0000-0000-0000F40C0000}"/>
    <cellStyle name="통화 [0] 3 12 2" xfId="4911" xr:uid="{00000000-0005-0000-0000-0000F40C0000}"/>
    <cellStyle name="통화 [0] 3 12 2 2" xfId="5992" xr:uid="{00000000-0005-0000-0000-0000F40C0000}"/>
    <cellStyle name="통화 [0] 3 12 3" xfId="5449" xr:uid="{00000000-0005-0000-0000-0000F40C0000}"/>
    <cellStyle name="통화 [0] 3 13" xfId="3320" xr:uid="{00000000-0005-0000-0000-0000F50C0000}"/>
    <cellStyle name="통화 [0] 3 13 2" xfId="4912" xr:uid="{00000000-0005-0000-0000-0000F50C0000}"/>
    <cellStyle name="통화 [0] 3 13 2 2" xfId="5993" xr:uid="{00000000-0005-0000-0000-0000F50C0000}"/>
    <cellStyle name="통화 [0] 3 13 3" xfId="5450" xr:uid="{00000000-0005-0000-0000-0000F50C0000}"/>
    <cellStyle name="통화 [0] 3 14" xfId="4905" xr:uid="{00000000-0005-0000-0000-0000EE0C0000}"/>
    <cellStyle name="통화 [0] 3 14 2" xfId="5986" xr:uid="{00000000-0005-0000-0000-0000EE0C0000}"/>
    <cellStyle name="통화 [0] 3 15" xfId="5443" xr:uid="{00000000-0005-0000-0000-0000EE0C0000}"/>
    <cellStyle name="통화 [0] 3 2" xfId="3321" xr:uid="{00000000-0005-0000-0000-0000F60C0000}"/>
    <cellStyle name="통화 [0] 3 2 2" xfId="3322" xr:uid="{00000000-0005-0000-0000-0000F70C0000}"/>
    <cellStyle name="통화 [0] 3 2 2 2" xfId="4914" xr:uid="{00000000-0005-0000-0000-0000F70C0000}"/>
    <cellStyle name="통화 [0] 3 2 2 2 2" xfId="5995" xr:uid="{00000000-0005-0000-0000-0000F70C0000}"/>
    <cellStyle name="통화 [0] 3 2 2 3" xfId="5452" xr:uid="{00000000-0005-0000-0000-0000F70C0000}"/>
    <cellStyle name="통화 [0] 3 2 3" xfId="3323" xr:uid="{00000000-0005-0000-0000-0000F80C0000}"/>
    <cellStyle name="통화 [0] 3 2 3 2" xfId="4915" xr:uid="{00000000-0005-0000-0000-0000F80C0000}"/>
    <cellStyle name="통화 [0] 3 2 3 2 2" xfId="5996" xr:uid="{00000000-0005-0000-0000-0000F80C0000}"/>
    <cellStyle name="통화 [0] 3 2 3 3" xfId="5453" xr:uid="{00000000-0005-0000-0000-0000F80C0000}"/>
    <cellStyle name="통화 [0] 3 2 4" xfId="3324" xr:uid="{00000000-0005-0000-0000-0000F90C0000}"/>
    <cellStyle name="통화 [0] 3 2 4 2" xfId="4916" xr:uid="{00000000-0005-0000-0000-0000F90C0000}"/>
    <cellStyle name="통화 [0] 3 2 4 2 2" xfId="5997" xr:uid="{00000000-0005-0000-0000-0000F90C0000}"/>
    <cellStyle name="통화 [0] 3 2 4 3" xfId="5454" xr:uid="{00000000-0005-0000-0000-0000F90C0000}"/>
    <cellStyle name="통화 [0] 3 2 5" xfId="4913" xr:uid="{00000000-0005-0000-0000-0000F60C0000}"/>
    <cellStyle name="통화 [0] 3 2 5 2" xfId="5994" xr:uid="{00000000-0005-0000-0000-0000F60C0000}"/>
    <cellStyle name="통화 [0] 3 2 6" xfId="5451" xr:uid="{00000000-0005-0000-0000-0000F60C0000}"/>
    <cellStyle name="통화 [0] 3 3" xfId="3325" xr:uid="{00000000-0005-0000-0000-0000FA0C0000}"/>
    <cellStyle name="통화 [0] 3 3 2" xfId="3326" xr:uid="{00000000-0005-0000-0000-0000FB0C0000}"/>
    <cellStyle name="통화 [0] 3 3 2 2" xfId="4918" xr:uid="{00000000-0005-0000-0000-0000FB0C0000}"/>
    <cellStyle name="통화 [0] 3 3 2 2 2" xfId="5999" xr:uid="{00000000-0005-0000-0000-0000FB0C0000}"/>
    <cellStyle name="통화 [0] 3 3 2 3" xfId="5456" xr:uid="{00000000-0005-0000-0000-0000FB0C0000}"/>
    <cellStyle name="통화 [0] 3 3 3" xfId="3327" xr:uid="{00000000-0005-0000-0000-0000FC0C0000}"/>
    <cellStyle name="통화 [0] 3 3 3 2" xfId="4919" xr:uid="{00000000-0005-0000-0000-0000FC0C0000}"/>
    <cellStyle name="통화 [0] 3 3 3 2 2" xfId="6000" xr:uid="{00000000-0005-0000-0000-0000FC0C0000}"/>
    <cellStyle name="통화 [0] 3 3 3 3" xfId="5457" xr:uid="{00000000-0005-0000-0000-0000FC0C0000}"/>
    <cellStyle name="통화 [0] 3 3 4" xfId="3328" xr:uid="{00000000-0005-0000-0000-0000FD0C0000}"/>
    <cellStyle name="통화 [0] 3 3 4 2" xfId="4920" xr:uid="{00000000-0005-0000-0000-0000FD0C0000}"/>
    <cellStyle name="통화 [0] 3 3 4 2 2" xfId="6001" xr:uid="{00000000-0005-0000-0000-0000FD0C0000}"/>
    <cellStyle name="통화 [0] 3 3 4 3" xfId="5458" xr:uid="{00000000-0005-0000-0000-0000FD0C0000}"/>
    <cellStyle name="통화 [0] 3 3 5" xfId="4917" xr:uid="{00000000-0005-0000-0000-0000FA0C0000}"/>
    <cellStyle name="통화 [0] 3 3 5 2" xfId="5998" xr:uid="{00000000-0005-0000-0000-0000FA0C0000}"/>
    <cellStyle name="통화 [0] 3 3 6" xfId="5455" xr:uid="{00000000-0005-0000-0000-0000FA0C0000}"/>
    <cellStyle name="통화 [0] 3 4" xfId="3329" xr:uid="{00000000-0005-0000-0000-0000FE0C0000}"/>
    <cellStyle name="통화 [0] 3 4 2" xfId="3330" xr:uid="{00000000-0005-0000-0000-0000FF0C0000}"/>
    <cellStyle name="통화 [0] 3 4 2 2" xfId="4922" xr:uid="{00000000-0005-0000-0000-0000FF0C0000}"/>
    <cellStyle name="통화 [0] 3 4 2 2 2" xfId="6003" xr:uid="{00000000-0005-0000-0000-0000FF0C0000}"/>
    <cellStyle name="통화 [0] 3 4 2 3" xfId="5460" xr:uid="{00000000-0005-0000-0000-0000FF0C0000}"/>
    <cellStyle name="통화 [0] 3 4 3" xfId="3331" xr:uid="{00000000-0005-0000-0000-0000000D0000}"/>
    <cellStyle name="통화 [0] 3 4 3 2" xfId="4923" xr:uid="{00000000-0005-0000-0000-0000000D0000}"/>
    <cellStyle name="통화 [0] 3 4 3 2 2" xfId="6004" xr:uid="{00000000-0005-0000-0000-0000000D0000}"/>
    <cellStyle name="통화 [0] 3 4 3 3" xfId="5461" xr:uid="{00000000-0005-0000-0000-0000000D0000}"/>
    <cellStyle name="통화 [0] 3 4 4" xfId="3332" xr:uid="{00000000-0005-0000-0000-0000010D0000}"/>
    <cellStyle name="통화 [0] 3 4 4 2" xfId="4924" xr:uid="{00000000-0005-0000-0000-0000010D0000}"/>
    <cellStyle name="통화 [0] 3 4 4 2 2" xfId="6005" xr:uid="{00000000-0005-0000-0000-0000010D0000}"/>
    <cellStyle name="통화 [0] 3 4 4 3" xfId="5462" xr:uid="{00000000-0005-0000-0000-0000010D0000}"/>
    <cellStyle name="통화 [0] 3 4 5" xfId="4921" xr:uid="{00000000-0005-0000-0000-0000FE0C0000}"/>
    <cellStyle name="통화 [0] 3 4 5 2" xfId="6002" xr:uid="{00000000-0005-0000-0000-0000FE0C0000}"/>
    <cellStyle name="통화 [0] 3 4 6" xfId="5459" xr:uid="{00000000-0005-0000-0000-0000FE0C0000}"/>
    <cellStyle name="통화 [0] 3 5" xfId="3333" xr:uid="{00000000-0005-0000-0000-0000020D0000}"/>
    <cellStyle name="통화 [0] 3 5 2" xfId="3334" xr:uid="{00000000-0005-0000-0000-0000030D0000}"/>
    <cellStyle name="통화 [0] 3 5 2 2" xfId="4926" xr:uid="{00000000-0005-0000-0000-0000030D0000}"/>
    <cellStyle name="통화 [0] 3 5 2 2 2" xfId="6007" xr:uid="{00000000-0005-0000-0000-0000030D0000}"/>
    <cellStyle name="통화 [0] 3 5 2 3" xfId="5464" xr:uid="{00000000-0005-0000-0000-0000030D0000}"/>
    <cellStyle name="통화 [0] 3 5 3" xfId="3335" xr:uid="{00000000-0005-0000-0000-0000040D0000}"/>
    <cellStyle name="통화 [0] 3 5 3 2" xfId="4927" xr:uid="{00000000-0005-0000-0000-0000040D0000}"/>
    <cellStyle name="통화 [0] 3 5 3 2 2" xfId="6008" xr:uid="{00000000-0005-0000-0000-0000040D0000}"/>
    <cellStyle name="통화 [0] 3 5 3 3" xfId="5465" xr:uid="{00000000-0005-0000-0000-0000040D0000}"/>
    <cellStyle name="통화 [0] 3 5 4" xfId="3336" xr:uid="{00000000-0005-0000-0000-0000050D0000}"/>
    <cellStyle name="통화 [0] 3 5 4 2" xfId="4928" xr:uid="{00000000-0005-0000-0000-0000050D0000}"/>
    <cellStyle name="통화 [0] 3 5 4 2 2" xfId="6009" xr:uid="{00000000-0005-0000-0000-0000050D0000}"/>
    <cellStyle name="통화 [0] 3 5 4 3" xfId="5466" xr:uid="{00000000-0005-0000-0000-0000050D0000}"/>
    <cellStyle name="통화 [0] 3 5 5" xfId="4925" xr:uid="{00000000-0005-0000-0000-0000020D0000}"/>
    <cellStyle name="통화 [0] 3 5 5 2" xfId="6006" xr:uid="{00000000-0005-0000-0000-0000020D0000}"/>
    <cellStyle name="통화 [0] 3 5 6" xfId="5463" xr:uid="{00000000-0005-0000-0000-0000020D0000}"/>
    <cellStyle name="통화 [0] 3 6" xfId="3337" xr:uid="{00000000-0005-0000-0000-0000060D0000}"/>
    <cellStyle name="통화 [0] 3 6 2" xfId="3338" xr:uid="{00000000-0005-0000-0000-0000070D0000}"/>
    <cellStyle name="통화 [0] 3 6 2 2" xfId="4930" xr:uid="{00000000-0005-0000-0000-0000070D0000}"/>
    <cellStyle name="통화 [0] 3 6 2 2 2" xfId="6011" xr:uid="{00000000-0005-0000-0000-0000070D0000}"/>
    <cellStyle name="통화 [0] 3 6 2 3" xfId="5468" xr:uid="{00000000-0005-0000-0000-0000070D0000}"/>
    <cellStyle name="통화 [0] 3 6 3" xfId="3339" xr:uid="{00000000-0005-0000-0000-0000080D0000}"/>
    <cellStyle name="통화 [0] 3 6 3 2" xfId="4931" xr:uid="{00000000-0005-0000-0000-0000080D0000}"/>
    <cellStyle name="통화 [0] 3 6 3 2 2" xfId="6012" xr:uid="{00000000-0005-0000-0000-0000080D0000}"/>
    <cellStyle name="통화 [0] 3 6 3 3" xfId="5469" xr:uid="{00000000-0005-0000-0000-0000080D0000}"/>
    <cellStyle name="통화 [0] 3 6 4" xfId="3340" xr:uid="{00000000-0005-0000-0000-0000090D0000}"/>
    <cellStyle name="통화 [0] 3 6 4 2" xfId="4932" xr:uid="{00000000-0005-0000-0000-0000090D0000}"/>
    <cellStyle name="통화 [0] 3 6 4 2 2" xfId="6013" xr:uid="{00000000-0005-0000-0000-0000090D0000}"/>
    <cellStyle name="통화 [0] 3 6 4 3" xfId="5470" xr:uid="{00000000-0005-0000-0000-0000090D0000}"/>
    <cellStyle name="통화 [0] 3 6 5" xfId="4929" xr:uid="{00000000-0005-0000-0000-0000060D0000}"/>
    <cellStyle name="통화 [0] 3 6 5 2" xfId="6010" xr:uid="{00000000-0005-0000-0000-0000060D0000}"/>
    <cellStyle name="통화 [0] 3 6 6" xfId="5467" xr:uid="{00000000-0005-0000-0000-0000060D0000}"/>
    <cellStyle name="통화 [0] 3 7" xfId="3341" xr:uid="{00000000-0005-0000-0000-00000A0D0000}"/>
    <cellStyle name="통화 [0] 3 7 2" xfId="3342" xr:uid="{00000000-0005-0000-0000-00000B0D0000}"/>
    <cellStyle name="통화 [0] 3 7 2 2" xfId="4934" xr:uid="{00000000-0005-0000-0000-00000B0D0000}"/>
    <cellStyle name="통화 [0] 3 7 2 2 2" xfId="6015" xr:uid="{00000000-0005-0000-0000-00000B0D0000}"/>
    <cellStyle name="통화 [0] 3 7 2 3" xfId="5472" xr:uid="{00000000-0005-0000-0000-00000B0D0000}"/>
    <cellStyle name="통화 [0] 3 7 3" xfId="3343" xr:uid="{00000000-0005-0000-0000-00000C0D0000}"/>
    <cellStyle name="통화 [0] 3 7 3 2" xfId="4935" xr:uid="{00000000-0005-0000-0000-00000C0D0000}"/>
    <cellStyle name="통화 [0] 3 7 3 2 2" xfId="6016" xr:uid="{00000000-0005-0000-0000-00000C0D0000}"/>
    <cellStyle name="통화 [0] 3 7 3 3" xfId="5473" xr:uid="{00000000-0005-0000-0000-00000C0D0000}"/>
    <cellStyle name="통화 [0] 3 7 4" xfId="3344" xr:uid="{00000000-0005-0000-0000-00000D0D0000}"/>
    <cellStyle name="통화 [0] 3 7 4 2" xfId="4936" xr:uid="{00000000-0005-0000-0000-00000D0D0000}"/>
    <cellStyle name="통화 [0] 3 7 4 2 2" xfId="6017" xr:uid="{00000000-0005-0000-0000-00000D0D0000}"/>
    <cellStyle name="통화 [0] 3 7 4 3" xfId="5474" xr:uid="{00000000-0005-0000-0000-00000D0D0000}"/>
    <cellStyle name="통화 [0] 3 7 5" xfId="4933" xr:uid="{00000000-0005-0000-0000-00000A0D0000}"/>
    <cellStyle name="통화 [0] 3 7 5 2" xfId="6014" xr:uid="{00000000-0005-0000-0000-00000A0D0000}"/>
    <cellStyle name="통화 [0] 3 7 6" xfId="5471" xr:uid="{00000000-0005-0000-0000-00000A0D0000}"/>
    <cellStyle name="통화 [0] 3 8" xfId="3345" xr:uid="{00000000-0005-0000-0000-00000E0D0000}"/>
    <cellStyle name="통화 [0] 3 8 2" xfId="3346" xr:uid="{00000000-0005-0000-0000-00000F0D0000}"/>
    <cellStyle name="통화 [0] 3 8 2 2" xfId="4938" xr:uid="{00000000-0005-0000-0000-00000F0D0000}"/>
    <cellStyle name="통화 [0] 3 8 2 2 2" xfId="6019" xr:uid="{00000000-0005-0000-0000-00000F0D0000}"/>
    <cellStyle name="통화 [0] 3 8 2 3" xfId="5476" xr:uid="{00000000-0005-0000-0000-00000F0D0000}"/>
    <cellStyle name="통화 [0] 3 8 3" xfId="3347" xr:uid="{00000000-0005-0000-0000-0000100D0000}"/>
    <cellStyle name="통화 [0] 3 8 3 2" xfId="4939" xr:uid="{00000000-0005-0000-0000-0000100D0000}"/>
    <cellStyle name="통화 [0] 3 8 3 2 2" xfId="6020" xr:uid="{00000000-0005-0000-0000-0000100D0000}"/>
    <cellStyle name="통화 [0] 3 8 3 3" xfId="5477" xr:uid="{00000000-0005-0000-0000-0000100D0000}"/>
    <cellStyle name="통화 [0] 3 8 4" xfId="3348" xr:uid="{00000000-0005-0000-0000-0000110D0000}"/>
    <cellStyle name="통화 [0] 3 8 4 2" xfId="4940" xr:uid="{00000000-0005-0000-0000-0000110D0000}"/>
    <cellStyle name="통화 [0] 3 8 4 2 2" xfId="6021" xr:uid="{00000000-0005-0000-0000-0000110D0000}"/>
    <cellStyle name="통화 [0] 3 8 4 3" xfId="5478" xr:uid="{00000000-0005-0000-0000-0000110D0000}"/>
    <cellStyle name="통화 [0] 3 8 5" xfId="4937" xr:uid="{00000000-0005-0000-0000-00000E0D0000}"/>
    <cellStyle name="통화 [0] 3 8 5 2" xfId="6018" xr:uid="{00000000-0005-0000-0000-00000E0D0000}"/>
    <cellStyle name="통화 [0] 3 8 6" xfId="5475" xr:uid="{00000000-0005-0000-0000-00000E0D0000}"/>
    <cellStyle name="통화 [0] 3 9" xfId="3349" xr:uid="{00000000-0005-0000-0000-0000120D0000}"/>
    <cellStyle name="통화 [0] 3 9 2" xfId="3350" xr:uid="{00000000-0005-0000-0000-0000130D0000}"/>
    <cellStyle name="통화 [0] 3 9 2 2" xfId="4942" xr:uid="{00000000-0005-0000-0000-0000130D0000}"/>
    <cellStyle name="통화 [0] 3 9 2 2 2" xfId="6023" xr:uid="{00000000-0005-0000-0000-0000130D0000}"/>
    <cellStyle name="통화 [0] 3 9 2 3" xfId="5480" xr:uid="{00000000-0005-0000-0000-0000130D0000}"/>
    <cellStyle name="통화 [0] 3 9 3" xfId="3351" xr:uid="{00000000-0005-0000-0000-0000140D0000}"/>
    <cellStyle name="통화 [0] 3 9 3 2" xfId="4943" xr:uid="{00000000-0005-0000-0000-0000140D0000}"/>
    <cellStyle name="통화 [0] 3 9 3 2 2" xfId="6024" xr:uid="{00000000-0005-0000-0000-0000140D0000}"/>
    <cellStyle name="통화 [0] 3 9 3 3" xfId="5481" xr:uid="{00000000-0005-0000-0000-0000140D0000}"/>
    <cellStyle name="통화 [0] 3 9 4" xfId="3352" xr:uid="{00000000-0005-0000-0000-0000150D0000}"/>
    <cellStyle name="통화 [0] 3 9 4 2" xfId="4944" xr:uid="{00000000-0005-0000-0000-0000150D0000}"/>
    <cellStyle name="통화 [0] 3 9 4 2 2" xfId="6025" xr:uid="{00000000-0005-0000-0000-0000150D0000}"/>
    <cellStyle name="통화 [0] 3 9 4 3" xfId="5482" xr:uid="{00000000-0005-0000-0000-0000150D0000}"/>
    <cellStyle name="통화 [0] 3 9 5" xfId="4941" xr:uid="{00000000-0005-0000-0000-0000120D0000}"/>
    <cellStyle name="통화 [0] 3 9 5 2" xfId="6022" xr:uid="{00000000-0005-0000-0000-0000120D0000}"/>
    <cellStyle name="통화 [0] 3 9 6" xfId="5479" xr:uid="{00000000-0005-0000-0000-0000120D0000}"/>
    <cellStyle name="통화 [0] 4" xfId="3353" xr:uid="{00000000-0005-0000-0000-0000160D0000}"/>
    <cellStyle name="통화 [0] 4 10" xfId="3354" xr:uid="{00000000-0005-0000-0000-0000170D0000}"/>
    <cellStyle name="통화 [0] 4 10 2" xfId="3355" xr:uid="{00000000-0005-0000-0000-0000180D0000}"/>
    <cellStyle name="통화 [0] 4 10 2 2" xfId="4947" xr:uid="{00000000-0005-0000-0000-0000180D0000}"/>
    <cellStyle name="통화 [0] 4 10 2 2 2" xfId="6028" xr:uid="{00000000-0005-0000-0000-0000180D0000}"/>
    <cellStyle name="통화 [0] 4 10 2 3" xfId="5485" xr:uid="{00000000-0005-0000-0000-0000180D0000}"/>
    <cellStyle name="통화 [0] 4 10 3" xfId="3356" xr:uid="{00000000-0005-0000-0000-0000190D0000}"/>
    <cellStyle name="통화 [0] 4 10 3 2" xfId="4948" xr:uid="{00000000-0005-0000-0000-0000190D0000}"/>
    <cellStyle name="통화 [0] 4 10 3 2 2" xfId="6029" xr:uid="{00000000-0005-0000-0000-0000190D0000}"/>
    <cellStyle name="통화 [0] 4 10 3 3" xfId="5486" xr:uid="{00000000-0005-0000-0000-0000190D0000}"/>
    <cellStyle name="통화 [0] 4 10 4" xfId="3357" xr:uid="{00000000-0005-0000-0000-00001A0D0000}"/>
    <cellStyle name="통화 [0] 4 10 4 2" xfId="4949" xr:uid="{00000000-0005-0000-0000-00001A0D0000}"/>
    <cellStyle name="통화 [0] 4 10 4 2 2" xfId="6030" xr:uid="{00000000-0005-0000-0000-00001A0D0000}"/>
    <cellStyle name="통화 [0] 4 10 4 3" xfId="5487" xr:uid="{00000000-0005-0000-0000-00001A0D0000}"/>
    <cellStyle name="통화 [0] 4 10 5" xfId="4946" xr:uid="{00000000-0005-0000-0000-0000170D0000}"/>
    <cellStyle name="통화 [0] 4 10 5 2" xfId="6027" xr:uid="{00000000-0005-0000-0000-0000170D0000}"/>
    <cellStyle name="통화 [0] 4 10 6" xfId="5484" xr:uid="{00000000-0005-0000-0000-0000170D0000}"/>
    <cellStyle name="통화 [0] 4 11" xfId="3358" xr:uid="{00000000-0005-0000-0000-00001B0D0000}"/>
    <cellStyle name="통화 [0] 4 11 2" xfId="4950" xr:uid="{00000000-0005-0000-0000-00001B0D0000}"/>
    <cellStyle name="통화 [0] 4 11 2 2" xfId="6031" xr:uid="{00000000-0005-0000-0000-00001B0D0000}"/>
    <cellStyle name="통화 [0] 4 11 3" xfId="5488" xr:uid="{00000000-0005-0000-0000-00001B0D0000}"/>
    <cellStyle name="통화 [0] 4 12" xfId="3359" xr:uid="{00000000-0005-0000-0000-00001C0D0000}"/>
    <cellStyle name="통화 [0] 4 12 2" xfId="4951" xr:uid="{00000000-0005-0000-0000-00001C0D0000}"/>
    <cellStyle name="통화 [0] 4 12 2 2" xfId="6032" xr:uid="{00000000-0005-0000-0000-00001C0D0000}"/>
    <cellStyle name="통화 [0] 4 12 3" xfId="5489" xr:uid="{00000000-0005-0000-0000-00001C0D0000}"/>
    <cellStyle name="통화 [0] 4 13" xfId="3360" xr:uid="{00000000-0005-0000-0000-00001D0D0000}"/>
    <cellStyle name="통화 [0] 4 13 2" xfId="4952" xr:uid="{00000000-0005-0000-0000-00001D0D0000}"/>
    <cellStyle name="통화 [0] 4 13 2 2" xfId="6033" xr:uid="{00000000-0005-0000-0000-00001D0D0000}"/>
    <cellStyle name="통화 [0] 4 13 3" xfId="5490" xr:uid="{00000000-0005-0000-0000-00001D0D0000}"/>
    <cellStyle name="통화 [0] 4 14" xfId="4945" xr:uid="{00000000-0005-0000-0000-0000160D0000}"/>
    <cellStyle name="통화 [0] 4 14 2" xfId="6026" xr:uid="{00000000-0005-0000-0000-0000160D0000}"/>
    <cellStyle name="통화 [0] 4 15" xfId="5483" xr:uid="{00000000-0005-0000-0000-0000160D0000}"/>
    <cellStyle name="통화 [0] 4 2" xfId="3361" xr:uid="{00000000-0005-0000-0000-00001E0D0000}"/>
    <cellStyle name="통화 [0] 4 2 2" xfId="3362" xr:uid="{00000000-0005-0000-0000-00001F0D0000}"/>
    <cellStyle name="통화 [0] 4 2 2 2" xfId="4954" xr:uid="{00000000-0005-0000-0000-00001F0D0000}"/>
    <cellStyle name="통화 [0] 4 2 2 2 2" xfId="6035" xr:uid="{00000000-0005-0000-0000-00001F0D0000}"/>
    <cellStyle name="통화 [0] 4 2 2 3" xfId="5492" xr:uid="{00000000-0005-0000-0000-00001F0D0000}"/>
    <cellStyle name="통화 [0] 4 2 3" xfId="3363" xr:uid="{00000000-0005-0000-0000-0000200D0000}"/>
    <cellStyle name="통화 [0] 4 2 3 2" xfId="4955" xr:uid="{00000000-0005-0000-0000-0000200D0000}"/>
    <cellStyle name="통화 [0] 4 2 3 2 2" xfId="6036" xr:uid="{00000000-0005-0000-0000-0000200D0000}"/>
    <cellStyle name="통화 [0] 4 2 3 3" xfId="5493" xr:uid="{00000000-0005-0000-0000-0000200D0000}"/>
    <cellStyle name="통화 [0] 4 2 4" xfId="3364" xr:uid="{00000000-0005-0000-0000-0000210D0000}"/>
    <cellStyle name="통화 [0] 4 2 4 2" xfId="4956" xr:uid="{00000000-0005-0000-0000-0000210D0000}"/>
    <cellStyle name="통화 [0] 4 2 4 2 2" xfId="6037" xr:uid="{00000000-0005-0000-0000-0000210D0000}"/>
    <cellStyle name="통화 [0] 4 2 4 3" xfId="5494" xr:uid="{00000000-0005-0000-0000-0000210D0000}"/>
    <cellStyle name="통화 [0] 4 2 5" xfId="4953" xr:uid="{00000000-0005-0000-0000-00001E0D0000}"/>
    <cellStyle name="통화 [0] 4 2 5 2" xfId="6034" xr:uid="{00000000-0005-0000-0000-00001E0D0000}"/>
    <cellStyle name="통화 [0] 4 2 6" xfId="5491" xr:uid="{00000000-0005-0000-0000-00001E0D0000}"/>
    <cellStyle name="통화 [0] 4 3" xfId="3365" xr:uid="{00000000-0005-0000-0000-0000220D0000}"/>
    <cellStyle name="통화 [0] 4 3 2" xfId="3366" xr:uid="{00000000-0005-0000-0000-0000230D0000}"/>
    <cellStyle name="통화 [0] 4 3 2 2" xfId="4958" xr:uid="{00000000-0005-0000-0000-0000230D0000}"/>
    <cellStyle name="통화 [0] 4 3 2 2 2" xfId="6039" xr:uid="{00000000-0005-0000-0000-0000230D0000}"/>
    <cellStyle name="통화 [0] 4 3 2 3" xfId="5496" xr:uid="{00000000-0005-0000-0000-0000230D0000}"/>
    <cellStyle name="통화 [0] 4 3 3" xfId="3367" xr:uid="{00000000-0005-0000-0000-0000240D0000}"/>
    <cellStyle name="통화 [0] 4 3 3 2" xfId="4959" xr:uid="{00000000-0005-0000-0000-0000240D0000}"/>
    <cellStyle name="통화 [0] 4 3 3 2 2" xfId="6040" xr:uid="{00000000-0005-0000-0000-0000240D0000}"/>
    <cellStyle name="통화 [0] 4 3 3 3" xfId="5497" xr:uid="{00000000-0005-0000-0000-0000240D0000}"/>
    <cellStyle name="통화 [0] 4 3 4" xfId="3368" xr:uid="{00000000-0005-0000-0000-0000250D0000}"/>
    <cellStyle name="통화 [0] 4 3 4 2" xfId="4960" xr:uid="{00000000-0005-0000-0000-0000250D0000}"/>
    <cellStyle name="통화 [0] 4 3 4 2 2" xfId="6041" xr:uid="{00000000-0005-0000-0000-0000250D0000}"/>
    <cellStyle name="통화 [0] 4 3 4 3" xfId="5498" xr:uid="{00000000-0005-0000-0000-0000250D0000}"/>
    <cellStyle name="통화 [0] 4 3 5" xfId="4957" xr:uid="{00000000-0005-0000-0000-0000220D0000}"/>
    <cellStyle name="통화 [0] 4 3 5 2" xfId="6038" xr:uid="{00000000-0005-0000-0000-0000220D0000}"/>
    <cellStyle name="통화 [0] 4 3 6" xfId="5495" xr:uid="{00000000-0005-0000-0000-0000220D0000}"/>
    <cellStyle name="통화 [0] 4 4" xfId="3369" xr:uid="{00000000-0005-0000-0000-0000260D0000}"/>
    <cellStyle name="통화 [0] 4 4 2" xfId="3370" xr:uid="{00000000-0005-0000-0000-0000270D0000}"/>
    <cellStyle name="통화 [0] 4 4 2 2" xfId="4962" xr:uid="{00000000-0005-0000-0000-0000270D0000}"/>
    <cellStyle name="통화 [0] 4 4 2 2 2" xfId="6043" xr:uid="{00000000-0005-0000-0000-0000270D0000}"/>
    <cellStyle name="통화 [0] 4 4 2 3" xfId="5500" xr:uid="{00000000-0005-0000-0000-0000270D0000}"/>
    <cellStyle name="통화 [0] 4 4 3" xfId="3371" xr:uid="{00000000-0005-0000-0000-0000280D0000}"/>
    <cellStyle name="통화 [0] 4 4 3 2" xfId="4963" xr:uid="{00000000-0005-0000-0000-0000280D0000}"/>
    <cellStyle name="통화 [0] 4 4 3 2 2" xfId="6044" xr:uid="{00000000-0005-0000-0000-0000280D0000}"/>
    <cellStyle name="통화 [0] 4 4 3 3" xfId="5501" xr:uid="{00000000-0005-0000-0000-0000280D0000}"/>
    <cellStyle name="통화 [0] 4 4 4" xfId="3372" xr:uid="{00000000-0005-0000-0000-0000290D0000}"/>
    <cellStyle name="통화 [0] 4 4 4 2" xfId="4964" xr:uid="{00000000-0005-0000-0000-0000290D0000}"/>
    <cellStyle name="통화 [0] 4 4 4 2 2" xfId="6045" xr:uid="{00000000-0005-0000-0000-0000290D0000}"/>
    <cellStyle name="통화 [0] 4 4 4 3" xfId="5502" xr:uid="{00000000-0005-0000-0000-0000290D0000}"/>
    <cellStyle name="통화 [0] 4 4 5" xfId="4961" xr:uid="{00000000-0005-0000-0000-0000260D0000}"/>
    <cellStyle name="통화 [0] 4 4 5 2" xfId="6042" xr:uid="{00000000-0005-0000-0000-0000260D0000}"/>
    <cellStyle name="통화 [0] 4 4 6" xfId="5499" xr:uid="{00000000-0005-0000-0000-0000260D0000}"/>
    <cellStyle name="통화 [0] 4 5" xfId="3373" xr:uid="{00000000-0005-0000-0000-00002A0D0000}"/>
    <cellStyle name="통화 [0] 4 5 2" xfId="3374" xr:uid="{00000000-0005-0000-0000-00002B0D0000}"/>
    <cellStyle name="통화 [0] 4 5 2 2" xfId="4966" xr:uid="{00000000-0005-0000-0000-00002B0D0000}"/>
    <cellStyle name="통화 [0] 4 5 2 2 2" xfId="6047" xr:uid="{00000000-0005-0000-0000-00002B0D0000}"/>
    <cellStyle name="통화 [0] 4 5 2 3" xfId="5504" xr:uid="{00000000-0005-0000-0000-00002B0D0000}"/>
    <cellStyle name="통화 [0] 4 5 3" xfId="3375" xr:uid="{00000000-0005-0000-0000-00002C0D0000}"/>
    <cellStyle name="통화 [0] 4 5 3 2" xfId="4967" xr:uid="{00000000-0005-0000-0000-00002C0D0000}"/>
    <cellStyle name="통화 [0] 4 5 3 2 2" xfId="6048" xr:uid="{00000000-0005-0000-0000-00002C0D0000}"/>
    <cellStyle name="통화 [0] 4 5 3 3" xfId="5505" xr:uid="{00000000-0005-0000-0000-00002C0D0000}"/>
    <cellStyle name="통화 [0] 4 5 4" xfId="3376" xr:uid="{00000000-0005-0000-0000-00002D0D0000}"/>
    <cellStyle name="통화 [0] 4 5 4 2" xfId="4968" xr:uid="{00000000-0005-0000-0000-00002D0D0000}"/>
    <cellStyle name="통화 [0] 4 5 4 2 2" xfId="6049" xr:uid="{00000000-0005-0000-0000-00002D0D0000}"/>
    <cellStyle name="통화 [0] 4 5 4 3" xfId="5506" xr:uid="{00000000-0005-0000-0000-00002D0D0000}"/>
    <cellStyle name="통화 [0] 4 5 5" xfId="4965" xr:uid="{00000000-0005-0000-0000-00002A0D0000}"/>
    <cellStyle name="통화 [0] 4 5 5 2" xfId="6046" xr:uid="{00000000-0005-0000-0000-00002A0D0000}"/>
    <cellStyle name="통화 [0] 4 5 6" xfId="5503" xr:uid="{00000000-0005-0000-0000-00002A0D0000}"/>
    <cellStyle name="통화 [0] 4 6" xfId="3377" xr:uid="{00000000-0005-0000-0000-00002E0D0000}"/>
    <cellStyle name="통화 [0] 4 6 2" xfId="3378" xr:uid="{00000000-0005-0000-0000-00002F0D0000}"/>
    <cellStyle name="통화 [0] 4 6 2 2" xfId="4970" xr:uid="{00000000-0005-0000-0000-00002F0D0000}"/>
    <cellStyle name="통화 [0] 4 6 2 2 2" xfId="6051" xr:uid="{00000000-0005-0000-0000-00002F0D0000}"/>
    <cellStyle name="통화 [0] 4 6 2 3" xfId="5508" xr:uid="{00000000-0005-0000-0000-00002F0D0000}"/>
    <cellStyle name="통화 [0] 4 6 3" xfId="3379" xr:uid="{00000000-0005-0000-0000-0000300D0000}"/>
    <cellStyle name="통화 [0] 4 6 3 2" xfId="4971" xr:uid="{00000000-0005-0000-0000-0000300D0000}"/>
    <cellStyle name="통화 [0] 4 6 3 2 2" xfId="6052" xr:uid="{00000000-0005-0000-0000-0000300D0000}"/>
    <cellStyle name="통화 [0] 4 6 3 3" xfId="5509" xr:uid="{00000000-0005-0000-0000-0000300D0000}"/>
    <cellStyle name="통화 [0] 4 6 4" xfId="3380" xr:uid="{00000000-0005-0000-0000-0000310D0000}"/>
    <cellStyle name="통화 [0] 4 6 4 2" xfId="4972" xr:uid="{00000000-0005-0000-0000-0000310D0000}"/>
    <cellStyle name="통화 [0] 4 6 4 2 2" xfId="6053" xr:uid="{00000000-0005-0000-0000-0000310D0000}"/>
    <cellStyle name="통화 [0] 4 6 4 3" xfId="5510" xr:uid="{00000000-0005-0000-0000-0000310D0000}"/>
    <cellStyle name="통화 [0] 4 6 5" xfId="4969" xr:uid="{00000000-0005-0000-0000-00002E0D0000}"/>
    <cellStyle name="통화 [0] 4 6 5 2" xfId="6050" xr:uid="{00000000-0005-0000-0000-00002E0D0000}"/>
    <cellStyle name="통화 [0] 4 6 6" xfId="5507" xr:uid="{00000000-0005-0000-0000-00002E0D0000}"/>
    <cellStyle name="통화 [0] 4 7" xfId="3381" xr:uid="{00000000-0005-0000-0000-0000320D0000}"/>
    <cellStyle name="통화 [0] 4 7 2" xfId="3382" xr:uid="{00000000-0005-0000-0000-0000330D0000}"/>
    <cellStyle name="통화 [0] 4 7 2 2" xfId="4974" xr:uid="{00000000-0005-0000-0000-0000330D0000}"/>
    <cellStyle name="통화 [0] 4 7 2 2 2" xfId="6055" xr:uid="{00000000-0005-0000-0000-0000330D0000}"/>
    <cellStyle name="통화 [0] 4 7 2 3" xfId="5512" xr:uid="{00000000-0005-0000-0000-0000330D0000}"/>
    <cellStyle name="통화 [0] 4 7 3" xfId="3383" xr:uid="{00000000-0005-0000-0000-0000340D0000}"/>
    <cellStyle name="통화 [0] 4 7 3 2" xfId="4975" xr:uid="{00000000-0005-0000-0000-0000340D0000}"/>
    <cellStyle name="통화 [0] 4 7 3 2 2" xfId="6056" xr:uid="{00000000-0005-0000-0000-0000340D0000}"/>
    <cellStyle name="통화 [0] 4 7 3 3" xfId="5513" xr:uid="{00000000-0005-0000-0000-0000340D0000}"/>
    <cellStyle name="통화 [0] 4 7 4" xfId="3384" xr:uid="{00000000-0005-0000-0000-0000350D0000}"/>
    <cellStyle name="통화 [0] 4 7 4 2" xfId="4976" xr:uid="{00000000-0005-0000-0000-0000350D0000}"/>
    <cellStyle name="통화 [0] 4 7 4 2 2" xfId="6057" xr:uid="{00000000-0005-0000-0000-0000350D0000}"/>
    <cellStyle name="통화 [0] 4 7 4 3" xfId="5514" xr:uid="{00000000-0005-0000-0000-0000350D0000}"/>
    <cellStyle name="통화 [0] 4 7 5" xfId="4973" xr:uid="{00000000-0005-0000-0000-0000320D0000}"/>
    <cellStyle name="통화 [0] 4 7 5 2" xfId="6054" xr:uid="{00000000-0005-0000-0000-0000320D0000}"/>
    <cellStyle name="통화 [0] 4 7 6" xfId="5511" xr:uid="{00000000-0005-0000-0000-0000320D0000}"/>
    <cellStyle name="통화 [0] 4 8" xfId="3385" xr:uid="{00000000-0005-0000-0000-0000360D0000}"/>
    <cellStyle name="통화 [0] 4 8 2" xfId="3386" xr:uid="{00000000-0005-0000-0000-0000370D0000}"/>
    <cellStyle name="통화 [0] 4 8 2 2" xfId="4978" xr:uid="{00000000-0005-0000-0000-0000370D0000}"/>
    <cellStyle name="통화 [0] 4 8 2 2 2" xfId="6059" xr:uid="{00000000-0005-0000-0000-0000370D0000}"/>
    <cellStyle name="통화 [0] 4 8 2 3" xfId="5516" xr:uid="{00000000-0005-0000-0000-0000370D0000}"/>
    <cellStyle name="통화 [0] 4 8 3" xfId="3387" xr:uid="{00000000-0005-0000-0000-0000380D0000}"/>
    <cellStyle name="통화 [0] 4 8 3 2" xfId="4979" xr:uid="{00000000-0005-0000-0000-0000380D0000}"/>
    <cellStyle name="통화 [0] 4 8 3 2 2" xfId="6060" xr:uid="{00000000-0005-0000-0000-0000380D0000}"/>
    <cellStyle name="통화 [0] 4 8 3 3" xfId="5517" xr:uid="{00000000-0005-0000-0000-0000380D0000}"/>
    <cellStyle name="통화 [0] 4 8 4" xfId="3388" xr:uid="{00000000-0005-0000-0000-0000390D0000}"/>
    <cellStyle name="통화 [0] 4 8 4 2" xfId="4980" xr:uid="{00000000-0005-0000-0000-0000390D0000}"/>
    <cellStyle name="통화 [0] 4 8 4 2 2" xfId="6061" xr:uid="{00000000-0005-0000-0000-0000390D0000}"/>
    <cellStyle name="통화 [0] 4 8 4 3" xfId="5518" xr:uid="{00000000-0005-0000-0000-0000390D0000}"/>
    <cellStyle name="통화 [0] 4 8 5" xfId="4977" xr:uid="{00000000-0005-0000-0000-0000360D0000}"/>
    <cellStyle name="통화 [0] 4 8 5 2" xfId="6058" xr:uid="{00000000-0005-0000-0000-0000360D0000}"/>
    <cellStyle name="통화 [0] 4 8 6" xfId="5515" xr:uid="{00000000-0005-0000-0000-0000360D0000}"/>
    <cellStyle name="통화 [0] 4 9" xfId="3389" xr:uid="{00000000-0005-0000-0000-00003A0D0000}"/>
    <cellStyle name="통화 [0] 4 9 2" xfId="3390" xr:uid="{00000000-0005-0000-0000-00003B0D0000}"/>
    <cellStyle name="통화 [0] 4 9 2 2" xfId="4982" xr:uid="{00000000-0005-0000-0000-00003B0D0000}"/>
    <cellStyle name="통화 [0] 4 9 2 2 2" xfId="6063" xr:uid="{00000000-0005-0000-0000-00003B0D0000}"/>
    <cellStyle name="통화 [0] 4 9 2 3" xfId="5520" xr:uid="{00000000-0005-0000-0000-00003B0D0000}"/>
    <cellStyle name="통화 [0] 4 9 3" xfId="3391" xr:uid="{00000000-0005-0000-0000-00003C0D0000}"/>
    <cellStyle name="통화 [0] 4 9 3 2" xfId="4983" xr:uid="{00000000-0005-0000-0000-00003C0D0000}"/>
    <cellStyle name="통화 [0] 4 9 3 2 2" xfId="6064" xr:uid="{00000000-0005-0000-0000-00003C0D0000}"/>
    <cellStyle name="통화 [0] 4 9 3 3" xfId="5521" xr:uid="{00000000-0005-0000-0000-00003C0D0000}"/>
    <cellStyle name="통화 [0] 4 9 4" xfId="3392" xr:uid="{00000000-0005-0000-0000-00003D0D0000}"/>
    <cellStyle name="통화 [0] 4 9 4 2" xfId="4984" xr:uid="{00000000-0005-0000-0000-00003D0D0000}"/>
    <cellStyle name="통화 [0] 4 9 4 2 2" xfId="6065" xr:uid="{00000000-0005-0000-0000-00003D0D0000}"/>
    <cellStyle name="통화 [0] 4 9 4 3" xfId="5522" xr:uid="{00000000-0005-0000-0000-00003D0D0000}"/>
    <cellStyle name="통화 [0] 4 9 5" xfId="4981" xr:uid="{00000000-0005-0000-0000-00003A0D0000}"/>
    <cellStyle name="통화 [0] 4 9 5 2" xfId="6062" xr:uid="{00000000-0005-0000-0000-00003A0D0000}"/>
    <cellStyle name="통화 [0] 4 9 6" xfId="5519" xr:uid="{00000000-0005-0000-0000-00003A0D0000}"/>
    <cellStyle name="통화 [0] 5" xfId="3393" xr:uid="{00000000-0005-0000-0000-00003E0D0000}"/>
    <cellStyle name="통화 [0] 5 10" xfId="3394" xr:uid="{00000000-0005-0000-0000-00003F0D0000}"/>
    <cellStyle name="통화 [0] 5 10 2" xfId="3395" xr:uid="{00000000-0005-0000-0000-0000400D0000}"/>
    <cellStyle name="통화 [0] 5 10 2 2" xfId="4987" xr:uid="{00000000-0005-0000-0000-0000400D0000}"/>
    <cellStyle name="통화 [0] 5 10 2 2 2" xfId="6068" xr:uid="{00000000-0005-0000-0000-0000400D0000}"/>
    <cellStyle name="통화 [0] 5 10 2 3" xfId="5525" xr:uid="{00000000-0005-0000-0000-0000400D0000}"/>
    <cellStyle name="통화 [0] 5 10 3" xfId="3396" xr:uid="{00000000-0005-0000-0000-0000410D0000}"/>
    <cellStyle name="통화 [0] 5 10 3 2" xfId="4988" xr:uid="{00000000-0005-0000-0000-0000410D0000}"/>
    <cellStyle name="통화 [0] 5 10 3 2 2" xfId="6069" xr:uid="{00000000-0005-0000-0000-0000410D0000}"/>
    <cellStyle name="통화 [0] 5 10 3 3" xfId="5526" xr:uid="{00000000-0005-0000-0000-0000410D0000}"/>
    <cellStyle name="통화 [0] 5 10 4" xfId="3397" xr:uid="{00000000-0005-0000-0000-0000420D0000}"/>
    <cellStyle name="통화 [0] 5 10 4 2" xfId="4989" xr:uid="{00000000-0005-0000-0000-0000420D0000}"/>
    <cellStyle name="통화 [0] 5 10 4 2 2" xfId="6070" xr:uid="{00000000-0005-0000-0000-0000420D0000}"/>
    <cellStyle name="통화 [0] 5 10 4 3" xfId="5527" xr:uid="{00000000-0005-0000-0000-0000420D0000}"/>
    <cellStyle name="통화 [0] 5 10 5" xfId="4986" xr:uid="{00000000-0005-0000-0000-00003F0D0000}"/>
    <cellStyle name="통화 [0] 5 10 5 2" xfId="6067" xr:uid="{00000000-0005-0000-0000-00003F0D0000}"/>
    <cellStyle name="통화 [0] 5 10 6" xfId="5524" xr:uid="{00000000-0005-0000-0000-00003F0D0000}"/>
    <cellStyle name="통화 [0] 5 11" xfId="3398" xr:uid="{00000000-0005-0000-0000-0000430D0000}"/>
    <cellStyle name="통화 [0] 5 11 2" xfId="4990" xr:uid="{00000000-0005-0000-0000-0000430D0000}"/>
    <cellStyle name="통화 [0] 5 11 2 2" xfId="6071" xr:uid="{00000000-0005-0000-0000-0000430D0000}"/>
    <cellStyle name="통화 [0] 5 11 3" xfId="5528" xr:uid="{00000000-0005-0000-0000-0000430D0000}"/>
    <cellStyle name="통화 [0] 5 12" xfId="3399" xr:uid="{00000000-0005-0000-0000-0000440D0000}"/>
    <cellStyle name="통화 [0] 5 12 2" xfId="4991" xr:uid="{00000000-0005-0000-0000-0000440D0000}"/>
    <cellStyle name="통화 [0] 5 12 2 2" xfId="6072" xr:uid="{00000000-0005-0000-0000-0000440D0000}"/>
    <cellStyle name="통화 [0] 5 12 3" xfId="5529" xr:uid="{00000000-0005-0000-0000-0000440D0000}"/>
    <cellStyle name="통화 [0] 5 13" xfId="3400" xr:uid="{00000000-0005-0000-0000-0000450D0000}"/>
    <cellStyle name="통화 [0] 5 13 2" xfId="4992" xr:uid="{00000000-0005-0000-0000-0000450D0000}"/>
    <cellStyle name="통화 [0] 5 13 2 2" xfId="6073" xr:uid="{00000000-0005-0000-0000-0000450D0000}"/>
    <cellStyle name="통화 [0] 5 13 3" xfId="5530" xr:uid="{00000000-0005-0000-0000-0000450D0000}"/>
    <cellStyle name="통화 [0] 5 14" xfId="4985" xr:uid="{00000000-0005-0000-0000-00003E0D0000}"/>
    <cellStyle name="통화 [0] 5 14 2" xfId="6066" xr:uid="{00000000-0005-0000-0000-00003E0D0000}"/>
    <cellStyle name="통화 [0] 5 15" xfId="5523" xr:uid="{00000000-0005-0000-0000-00003E0D0000}"/>
    <cellStyle name="통화 [0] 5 2" xfId="3401" xr:uid="{00000000-0005-0000-0000-0000460D0000}"/>
    <cellStyle name="통화 [0] 5 2 2" xfId="3402" xr:uid="{00000000-0005-0000-0000-0000470D0000}"/>
    <cellStyle name="통화 [0] 5 2 2 2" xfId="4994" xr:uid="{00000000-0005-0000-0000-0000470D0000}"/>
    <cellStyle name="통화 [0] 5 2 2 2 2" xfId="6075" xr:uid="{00000000-0005-0000-0000-0000470D0000}"/>
    <cellStyle name="통화 [0] 5 2 2 3" xfId="5532" xr:uid="{00000000-0005-0000-0000-0000470D0000}"/>
    <cellStyle name="통화 [0] 5 2 3" xfId="3403" xr:uid="{00000000-0005-0000-0000-0000480D0000}"/>
    <cellStyle name="통화 [0] 5 2 3 2" xfId="4995" xr:uid="{00000000-0005-0000-0000-0000480D0000}"/>
    <cellStyle name="통화 [0] 5 2 3 2 2" xfId="6076" xr:uid="{00000000-0005-0000-0000-0000480D0000}"/>
    <cellStyle name="통화 [0] 5 2 3 3" xfId="5533" xr:uid="{00000000-0005-0000-0000-0000480D0000}"/>
    <cellStyle name="통화 [0] 5 2 4" xfId="3404" xr:uid="{00000000-0005-0000-0000-0000490D0000}"/>
    <cellStyle name="통화 [0] 5 2 4 2" xfId="4996" xr:uid="{00000000-0005-0000-0000-0000490D0000}"/>
    <cellStyle name="통화 [0] 5 2 4 2 2" xfId="6077" xr:uid="{00000000-0005-0000-0000-0000490D0000}"/>
    <cellStyle name="통화 [0] 5 2 4 3" xfId="5534" xr:uid="{00000000-0005-0000-0000-0000490D0000}"/>
    <cellStyle name="통화 [0] 5 2 5" xfId="4993" xr:uid="{00000000-0005-0000-0000-0000460D0000}"/>
    <cellStyle name="통화 [0] 5 2 5 2" xfId="6074" xr:uid="{00000000-0005-0000-0000-0000460D0000}"/>
    <cellStyle name="통화 [0] 5 2 6" xfId="5531" xr:uid="{00000000-0005-0000-0000-0000460D0000}"/>
    <cellStyle name="통화 [0] 5 3" xfId="3405" xr:uid="{00000000-0005-0000-0000-00004A0D0000}"/>
    <cellStyle name="통화 [0] 5 3 2" xfId="3406" xr:uid="{00000000-0005-0000-0000-00004B0D0000}"/>
    <cellStyle name="통화 [0] 5 3 2 2" xfId="4998" xr:uid="{00000000-0005-0000-0000-00004B0D0000}"/>
    <cellStyle name="통화 [0] 5 3 2 2 2" xfId="6079" xr:uid="{00000000-0005-0000-0000-00004B0D0000}"/>
    <cellStyle name="통화 [0] 5 3 2 3" xfId="5536" xr:uid="{00000000-0005-0000-0000-00004B0D0000}"/>
    <cellStyle name="통화 [0] 5 3 3" xfId="3407" xr:uid="{00000000-0005-0000-0000-00004C0D0000}"/>
    <cellStyle name="통화 [0] 5 3 3 2" xfId="4999" xr:uid="{00000000-0005-0000-0000-00004C0D0000}"/>
    <cellStyle name="통화 [0] 5 3 3 2 2" xfId="6080" xr:uid="{00000000-0005-0000-0000-00004C0D0000}"/>
    <cellStyle name="통화 [0] 5 3 3 3" xfId="5537" xr:uid="{00000000-0005-0000-0000-00004C0D0000}"/>
    <cellStyle name="통화 [0] 5 3 4" xfId="3408" xr:uid="{00000000-0005-0000-0000-00004D0D0000}"/>
    <cellStyle name="통화 [0] 5 3 4 2" xfId="5000" xr:uid="{00000000-0005-0000-0000-00004D0D0000}"/>
    <cellStyle name="통화 [0] 5 3 4 2 2" xfId="6081" xr:uid="{00000000-0005-0000-0000-00004D0D0000}"/>
    <cellStyle name="통화 [0] 5 3 4 3" xfId="5538" xr:uid="{00000000-0005-0000-0000-00004D0D0000}"/>
    <cellStyle name="통화 [0] 5 3 5" xfId="4997" xr:uid="{00000000-0005-0000-0000-00004A0D0000}"/>
    <cellStyle name="통화 [0] 5 3 5 2" xfId="6078" xr:uid="{00000000-0005-0000-0000-00004A0D0000}"/>
    <cellStyle name="통화 [0] 5 3 6" xfId="5535" xr:uid="{00000000-0005-0000-0000-00004A0D0000}"/>
    <cellStyle name="통화 [0] 5 4" xfId="3409" xr:uid="{00000000-0005-0000-0000-00004E0D0000}"/>
    <cellStyle name="통화 [0] 5 4 2" xfId="3410" xr:uid="{00000000-0005-0000-0000-00004F0D0000}"/>
    <cellStyle name="통화 [0] 5 4 2 2" xfId="5002" xr:uid="{00000000-0005-0000-0000-00004F0D0000}"/>
    <cellStyle name="통화 [0] 5 4 2 2 2" xfId="6083" xr:uid="{00000000-0005-0000-0000-00004F0D0000}"/>
    <cellStyle name="통화 [0] 5 4 2 3" xfId="5540" xr:uid="{00000000-0005-0000-0000-00004F0D0000}"/>
    <cellStyle name="통화 [0] 5 4 3" xfId="3411" xr:uid="{00000000-0005-0000-0000-0000500D0000}"/>
    <cellStyle name="통화 [0] 5 4 3 2" xfId="5003" xr:uid="{00000000-0005-0000-0000-0000500D0000}"/>
    <cellStyle name="통화 [0] 5 4 3 2 2" xfId="6084" xr:uid="{00000000-0005-0000-0000-0000500D0000}"/>
    <cellStyle name="통화 [0] 5 4 3 3" xfId="5541" xr:uid="{00000000-0005-0000-0000-0000500D0000}"/>
    <cellStyle name="통화 [0] 5 4 4" xfId="3412" xr:uid="{00000000-0005-0000-0000-0000510D0000}"/>
    <cellStyle name="통화 [0] 5 4 4 2" xfId="5004" xr:uid="{00000000-0005-0000-0000-0000510D0000}"/>
    <cellStyle name="통화 [0] 5 4 4 2 2" xfId="6085" xr:uid="{00000000-0005-0000-0000-0000510D0000}"/>
    <cellStyle name="통화 [0] 5 4 4 3" xfId="5542" xr:uid="{00000000-0005-0000-0000-0000510D0000}"/>
    <cellStyle name="통화 [0] 5 4 5" xfId="5001" xr:uid="{00000000-0005-0000-0000-00004E0D0000}"/>
    <cellStyle name="통화 [0] 5 4 5 2" xfId="6082" xr:uid="{00000000-0005-0000-0000-00004E0D0000}"/>
    <cellStyle name="통화 [0] 5 4 6" xfId="5539" xr:uid="{00000000-0005-0000-0000-00004E0D0000}"/>
    <cellStyle name="통화 [0] 5 5" xfId="3413" xr:uid="{00000000-0005-0000-0000-0000520D0000}"/>
    <cellStyle name="통화 [0] 5 5 2" xfId="3414" xr:uid="{00000000-0005-0000-0000-0000530D0000}"/>
    <cellStyle name="통화 [0] 5 5 2 2" xfId="5006" xr:uid="{00000000-0005-0000-0000-0000530D0000}"/>
    <cellStyle name="통화 [0] 5 5 2 2 2" xfId="6087" xr:uid="{00000000-0005-0000-0000-0000530D0000}"/>
    <cellStyle name="통화 [0] 5 5 2 3" xfId="5544" xr:uid="{00000000-0005-0000-0000-0000530D0000}"/>
    <cellStyle name="통화 [0] 5 5 3" xfId="3415" xr:uid="{00000000-0005-0000-0000-0000540D0000}"/>
    <cellStyle name="통화 [0] 5 5 3 2" xfId="5007" xr:uid="{00000000-0005-0000-0000-0000540D0000}"/>
    <cellStyle name="통화 [0] 5 5 3 2 2" xfId="6088" xr:uid="{00000000-0005-0000-0000-0000540D0000}"/>
    <cellStyle name="통화 [0] 5 5 3 3" xfId="5545" xr:uid="{00000000-0005-0000-0000-0000540D0000}"/>
    <cellStyle name="통화 [0] 5 5 4" xfId="3416" xr:uid="{00000000-0005-0000-0000-0000550D0000}"/>
    <cellStyle name="통화 [0] 5 5 4 2" xfId="5008" xr:uid="{00000000-0005-0000-0000-0000550D0000}"/>
    <cellStyle name="통화 [0] 5 5 4 2 2" xfId="6089" xr:uid="{00000000-0005-0000-0000-0000550D0000}"/>
    <cellStyle name="통화 [0] 5 5 4 3" xfId="5546" xr:uid="{00000000-0005-0000-0000-0000550D0000}"/>
    <cellStyle name="통화 [0] 5 5 5" xfId="5005" xr:uid="{00000000-0005-0000-0000-0000520D0000}"/>
    <cellStyle name="통화 [0] 5 5 5 2" xfId="6086" xr:uid="{00000000-0005-0000-0000-0000520D0000}"/>
    <cellStyle name="통화 [0] 5 5 6" xfId="5543" xr:uid="{00000000-0005-0000-0000-0000520D0000}"/>
    <cellStyle name="통화 [0] 5 6" xfId="3417" xr:uid="{00000000-0005-0000-0000-0000560D0000}"/>
    <cellStyle name="통화 [0] 5 6 2" xfId="3418" xr:uid="{00000000-0005-0000-0000-0000570D0000}"/>
    <cellStyle name="통화 [0] 5 6 2 2" xfId="5010" xr:uid="{00000000-0005-0000-0000-0000570D0000}"/>
    <cellStyle name="통화 [0] 5 6 2 2 2" xfId="6091" xr:uid="{00000000-0005-0000-0000-0000570D0000}"/>
    <cellStyle name="통화 [0] 5 6 2 3" xfId="5548" xr:uid="{00000000-0005-0000-0000-0000570D0000}"/>
    <cellStyle name="통화 [0] 5 6 3" xfId="3419" xr:uid="{00000000-0005-0000-0000-0000580D0000}"/>
    <cellStyle name="통화 [0] 5 6 3 2" xfId="5011" xr:uid="{00000000-0005-0000-0000-0000580D0000}"/>
    <cellStyle name="통화 [0] 5 6 3 2 2" xfId="6092" xr:uid="{00000000-0005-0000-0000-0000580D0000}"/>
    <cellStyle name="통화 [0] 5 6 3 3" xfId="5549" xr:uid="{00000000-0005-0000-0000-0000580D0000}"/>
    <cellStyle name="통화 [0] 5 6 4" xfId="3420" xr:uid="{00000000-0005-0000-0000-0000590D0000}"/>
    <cellStyle name="통화 [0] 5 6 4 2" xfId="5012" xr:uid="{00000000-0005-0000-0000-0000590D0000}"/>
    <cellStyle name="통화 [0] 5 6 4 2 2" xfId="6093" xr:uid="{00000000-0005-0000-0000-0000590D0000}"/>
    <cellStyle name="통화 [0] 5 6 4 3" xfId="5550" xr:uid="{00000000-0005-0000-0000-0000590D0000}"/>
    <cellStyle name="통화 [0] 5 6 5" xfId="5009" xr:uid="{00000000-0005-0000-0000-0000560D0000}"/>
    <cellStyle name="통화 [0] 5 6 5 2" xfId="6090" xr:uid="{00000000-0005-0000-0000-0000560D0000}"/>
    <cellStyle name="통화 [0] 5 6 6" xfId="5547" xr:uid="{00000000-0005-0000-0000-0000560D0000}"/>
    <cellStyle name="통화 [0] 5 7" xfId="3421" xr:uid="{00000000-0005-0000-0000-00005A0D0000}"/>
    <cellStyle name="통화 [0] 5 7 2" xfId="3422" xr:uid="{00000000-0005-0000-0000-00005B0D0000}"/>
    <cellStyle name="통화 [0] 5 7 2 2" xfId="5014" xr:uid="{00000000-0005-0000-0000-00005B0D0000}"/>
    <cellStyle name="통화 [0] 5 7 2 2 2" xfId="6095" xr:uid="{00000000-0005-0000-0000-00005B0D0000}"/>
    <cellStyle name="통화 [0] 5 7 2 3" xfId="5552" xr:uid="{00000000-0005-0000-0000-00005B0D0000}"/>
    <cellStyle name="통화 [0] 5 7 3" xfId="3423" xr:uid="{00000000-0005-0000-0000-00005C0D0000}"/>
    <cellStyle name="통화 [0] 5 7 3 2" xfId="5015" xr:uid="{00000000-0005-0000-0000-00005C0D0000}"/>
    <cellStyle name="통화 [0] 5 7 3 2 2" xfId="6096" xr:uid="{00000000-0005-0000-0000-00005C0D0000}"/>
    <cellStyle name="통화 [0] 5 7 3 3" xfId="5553" xr:uid="{00000000-0005-0000-0000-00005C0D0000}"/>
    <cellStyle name="통화 [0] 5 7 4" xfId="3424" xr:uid="{00000000-0005-0000-0000-00005D0D0000}"/>
    <cellStyle name="통화 [0] 5 7 4 2" xfId="5016" xr:uid="{00000000-0005-0000-0000-00005D0D0000}"/>
    <cellStyle name="통화 [0] 5 7 4 2 2" xfId="6097" xr:uid="{00000000-0005-0000-0000-00005D0D0000}"/>
    <cellStyle name="통화 [0] 5 7 4 3" xfId="5554" xr:uid="{00000000-0005-0000-0000-00005D0D0000}"/>
    <cellStyle name="통화 [0] 5 7 5" xfId="5013" xr:uid="{00000000-0005-0000-0000-00005A0D0000}"/>
    <cellStyle name="통화 [0] 5 7 5 2" xfId="6094" xr:uid="{00000000-0005-0000-0000-00005A0D0000}"/>
    <cellStyle name="통화 [0] 5 7 6" xfId="5551" xr:uid="{00000000-0005-0000-0000-00005A0D0000}"/>
    <cellStyle name="통화 [0] 5 8" xfId="3425" xr:uid="{00000000-0005-0000-0000-00005E0D0000}"/>
    <cellStyle name="통화 [0] 5 8 2" xfId="3426" xr:uid="{00000000-0005-0000-0000-00005F0D0000}"/>
    <cellStyle name="통화 [0] 5 8 2 2" xfId="5018" xr:uid="{00000000-0005-0000-0000-00005F0D0000}"/>
    <cellStyle name="통화 [0] 5 8 2 2 2" xfId="6099" xr:uid="{00000000-0005-0000-0000-00005F0D0000}"/>
    <cellStyle name="통화 [0] 5 8 2 3" xfId="5556" xr:uid="{00000000-0005-0000-0000-00005F0D0000}"/>
    <cellStyle name="통화 [0] 5 8 3" xfId="3427" xr:uid="{00000000-0005-0000-0000-0000600D0000}"/>
    <cellStyle name="통화 [0] 5 8 3 2" xfId="5019" xr:uid="{00000000-0005-0000-0000-0000600D0000}"/>
    <cellStyle name="통화 [0] 5 8 3 2 2" xfId="6100" xr:uid="{00000000-0005-0000-0000-0000600D0000}"/>
    <cellStyle name="통화 [0] 5 8 3 3" xfId="5557" xr:uid="{00000000-0005-0000-0000-0000600D0000}"/>
    <cellStyle name="통화 [0] 5 8 4" xfId="3428" xr:uid="{00000000-0005-0000-0000-0000610D0000}"/>
    <cellStyle name="통화 [0] 5 8 4 2" xfId="5020" xr:uid="{00000000-0005-0000-0000-0000610D0000}"/>
    <cellStyle name="통화 [0] 5 8 4 2 2" xfId="6101" xr:uid="{00000000-0005-0000-0000-0000610D0000}"/>
    <cellStyle name="통화 [0] 5 8 4 3" xfId="5558" xr:uid="{00000000-0005-0000-0000-0000610D0000}"/>
    <cellStyle name="통화 [0] 5 8 5" xfId="5017" xr:uid="{00000000-0005-0000-0000-00005E0D0000}"/>
    <cellStyle name="통화 [0] 5 8 5 2" xfId="6098" xr:uid="{00000000-0005-0000-0000-00005E0D0000}"/>
    <cellStyle name="통화 [0] 5 8 6" xfId="5555" xr:uid="{00000000-0005-0000-0000-00005E0D0000}"/>
    <cellStyle name="통화 [0] 5 9" xfId="3429" xr:uid="{00000000-0005-0000-0000-0000620D0000}"/>
    <cellStyle name="통화 [0] 5 9 2" xfId="3430" xr:uid="{00000000-0005-0000-0000-0000630D0000}"/>
    <cellStyle name="통화 [0] 5 9 2 2" xfId="5022" xr:uid="{00000000-0005-0000-0000-0000630D0000}"/>
    <cellStyle name="통화 [0] 5 9 2 2 2" xfId="6103" xr:uid="{00000000-0005-0000-0000-0000630D0000}"/>
    <cellStyle name="통화 [0] 5 9 2 3" xfId="5560" xr:uid="{00000000-0005-0000-0000-0000630D0000}"/>
    <cellStyle name="통화 [0] 5 9 3" xfId="3431" xr:uid="{00000000-0005-0000-0000-0000640D0000}"/>
    <cellStyle name="통화 [0] 5 9 3 2" xfId="5023" xr:uid="{00000000-0005-0000-0000-0000640D0000}"/>
    <cellStyle name="통화 [0] 5 9 3 2 2" xfId="6104" xr:uid="{00000000-0005-0000-0000-0000640D0000}"/>
    <cellStyle name="통화 [0] 5 9 3 3" xfId="5561" xr:uid="{00000000-0005-0000-0000-0000640D0000}"/>
    <cellStyle name="통화 [0] 5 9 4" xfId="3432" xr:uid="{00000000-0005-0000-0000-0000650D0000}"/>
    <cellStyle name="통화 [0] 5 9 4 2" xfId="5024" xr:uid="{00000000-0005-0000-0000-0000650D0000}"/>
    <cellStyle name="통화 [0] 5 9 4 2 2" xfId="6105" xr:uid="{00000000-0005-0000-0000-0000650D0000}"/>
    <cellStyle name="통화 [0] 5 9 4 3" xfId="5562" xr:uid="{00000000-0005-0000-0000-0000650D0000}"/>
    <cellStyle name="통화 [0] 5 9 5" xfId="5021" xr:uid="{00000000-0005-0000-0000-0000620D0000}"/>
    <cellStyle name="통화 [0] 5 9 5 2" xfId="6102" xr:uid="{00000000-0005-0000-0000-0000620D0000}"/>
    <cellStyle name="통화 [0] 5 9 6" xfId="5559" xr:uid="{00000000-0005-0000-0000-0000620D0000}"/>
    <cellStyle name="통화 [0] 6" xfId="3433" xr:uid="{00000000-0005-0000-0000-0000660D0000}"/>
    <cellStyle name="통화 [0] 6 10" xfId="3434" xr:uid="{00000000-0005-0000-0000-0000670D0000}"/>
    <cellStyle name="통화 [0] 6 10 2" xfId="3435" xr:uid="{00000000-0005-0000-0000-0000680D0000}"/>
    <cellStyle name="통화 [0] 6 10 2 2" xfId="5027" xr:uid="{00000000-0005-0000-0000-0000680D0000}"/>
    <cellStyle name="통화 [0] 6 10 2 2 2" xfId="6108" xr:uid="{00000000-0005-0000-0000-0000680D0000}"/>
    <cellStyle name="통화 [0] 6 10 2 3" xfId="5565" xr:uid="{00000000-0005-0000-0000-0000680D0000}"/>
    <cellStyle name="통화 [0] 6 10 3" xfId="3436" xr:uid="{00000000-0005-0000-0000-0000690D0000}"/>
    <cellStyle name="통화 [0] 6 10 3 2" xfId="5028" xr:uid="{00000000-0005-0000-0000-0000690D0000}"/>
    <cellStyle name="통화 [0] 6 10 3 2 2" xfId="6109" xr:uid="{00000000-0005-0000-0000-0000690D0000}"/>
    <cellStyle name="통화 [0] 6 10 3 3" xfId="5566" xr:uid="{00000000-0005-0000-0000-0000690D0000}"/>
    <cellStyle name="통화 [0] 6 10 4" xfId="3437" xr:uid="{00000000-0005-0000-0000-00006A0D0000}"/>
    <cellStyle name="통화 [0] 6 10 4 2" xfId="5029" xr:uid="{00000000-0005-0000-0000-00006A0D0000}"/>
    <cellStyle name="통화 [0] 6 10 4 2 2" xfId="6110" xr:uid="{00000000-0005-0000-0000-00006A0D0000}"/>
    <cellStyle name="통화 [0] 6 10 4 3" xfId="5567" xr:uid="{00000000-0005-0000-0000-00006A0D0000}"/>
    <cellStyle name="통화 [0] 6 10 5" xfId="5026" xr:uid="{00000000-0005-0000-0000-0000670D0000}"/>
    <cellStyle name="통화 [0] 6 10 5 2" xfId="6107" xr:uid="{00000000-0005-0000-0000-0000670D0000}"/>
    <cellStyle name="통화 [0] 6 10 6" xfId="5564" xr:uid="{00000000-0005-0000-0000-0000670D0000}"/>
    <cellStyle name="통화 [0] 6 11" xfId="3438" xr:uid="{00000000-0005-0000-0000-00006B0D0000}"/>
    <cellStyle name="통화 [0] 6 11 2" xfId="5030" xr:uid="{00000000-0005-0000-0000-00006B0D0000}"/>
    <cellStyle name="통화 [0] 6 11 2 2" xfId="6111" xr:uid="{00000000-0005-0000-0000-00006B0D0000}"/>
    <cellStyle name="통화 [0] 6 11 3" xfId="5568" xr:uid="{00000000-0005-0000-0000-00006B0D0000}"/>
    <cellStyle name="통화 [0] 6 12" xfId="3439" xr:uid="{00000000-0005-0000-0000-00006C0D0000}"/>
    <cellStyle name="통화 [0] 6 12 2" xfId="5031" xr:uid="{00000000-0005-0000-0000-00006C0D0000}"/>
    <cellStyle name="통화 [0] 6 12 2 2" xfId="6112" xr:uid="{00000000-0005-0000-0000-00006C0D0000}"/>
    <cellStyle name="통화 [0] 6 12 3" xfId="5569" xr:uid="{00000000-0005-0000-0000-00006C0D0000}"/>
    <cellStyle name="통화 [0] 6 13" xfId="3440" xr:uid="{00000000-0005-0000-0000-00006D0D0000}"/>
    <cellStyle name="통화 [0] 6 13 2" xfId="5032" xr:uid="{00000000-0005-0000-0000-00006D0D0000}"/>
    <cellStyle name="통화 [0] 6 13 2 2" xfId="6113" xr:uid="{00000000-0005-0000-0000-00006D0D0000}"/>
    <cellStyle name="통화 [0] 6 13 3" xfId="5570" xr:uid="{00000000-0005-0000-0000-00006D0D0000}"/>
    <cellStyle name="통화 [0] 6 14" xfId="5025" xr:uid="{00000000-0005-0000-0000-0000660D0000}"/>
    <cellStyle name="통화 [0] 6 14 2" xfId="6106" xr:uid="{00000000-0005-0000-0000-0000660D0000}"/>
    <cellStyle name="통화 [0] 6 15" xfId="5563" xr:uid="{00000000-0005-0000-0000-0000660D0000}"/>
    <cellStyle name="통화 [0] 6 2" xfId="3441" xr:uid="{00000000-0005-0000-0000-00006E0D0000}"/>
    <cellStyle name="통화 [0] 6 2 2" xfId="3442" xr:uid="{00000000-0005-0000-0000-00006F0D0000}"/>
    <cellStyle name="통화 [0] 6 2 2 2" xfId="5034" xr:uid="{00000000-0005-0000-0000-00006F0D0000}"/>
    <cellStyle name="통화 [0] 6 2 2 2 2" xfId="6115" xr:uid="{00000000-0005-0000-0000-00006F0D0000}"/>
    <cellStyle name="통화 [0] 6 2 2 3" xfId="5572" xr:uid="{00000000-0005-0000-0000-00006F0D0000}"/>
    <cellStyle name="통화 [0] 6 2 3" xfId="3443" xr:uid="{00000000-0005-0000-0000-0000700D0000}"/>
    <cellStyle name="통화 [0] 6 2 3 2" xfId="5035" xr:uid="{00000000-0005-0000-0000-0000700D0000}"/>
    <cellStyle name="통화 [0] 6 2 3 2 2" xfId="6116" xr:uid="{00000000-0005-0000-0000-0000700D0000}"/>
    <cellStyle name="통화 [0] 6 2 3 3" xfId="5573" xr:uid="{00000000-0005-0000-0000-0000700D0000}"/>
    <cellStyle name="통화 [0] 6 2 4" xfId="3444" xr:uid="{00000000-0005-0000-0000-0000710D0000}"/>
    <cellStyle name="통화 [0] 6 2 4 2" xfId="5036" xr:uid="{00000000-0005-0000-0000-0000710D0000}"/>
    <cellStyle name="통화 [0] 6 2 4 2 2" xfId="6117" xr:uid="{00000000-0005-0000-0000-0000710D0000}"/>
    <cellStyle name="통화 [0] 6 2 4 3" xfId="5574" xr:uid="{00000000-0005-0000-0000-0000710D0000}"/>
    <cellStyle name="통화 [0] 6 2 5" xfId="5033" xr:uid="{00000000-0005-0000-0000-00006E0D0000}"/>
    <cellStyle name="통화 [0] 6 2 5 2" xfId="6114" xr:uid="{00000000-0005-0000-0000-00006E0D0000}"/>
    <cellStyle name="통화 [0] 6 2 6" xfId="5571" xr:uid="{00000000-0005-0000-0000-00006E0D0000}"/>
    <cellStyle name="통화 [0] 6 3" xfId="3445" xr:uid="{00000000-0005-0000-0000-0000720D0000}"/>
    <cellStyle name="통화 [0] 6 3 2" xfId="3446" xr:uid="{00000000-0005-0000-0000-0000730D0000}"/>
    <cellStyle name="통화 [0] 6 3 2 2" xfId="5038" xr:uid="{00000000-0005-0000-0000-0000730D0000}"/>
    <cellStyle name="통화 [0] 6 3 2 2 2" xfId="6119" xr:uid="{00000000-0005-0000-0000-0000730D0000}"/>
    <cellStyle name="통화 [0] 6 3 2 3" xfId="5576" xr:uid="{00000000-0005-0000-0000-0000730D0000}"/>
    <cellStyle name="통화 [0] 6 3 3" xfId="3447" xr:uid="{00000000-0005-0000-0000-0000740D0000}"/>
    <cellStyle name="통화 [0] 6 3 3 2" xfId="5039" xr:uid="{00000000-0005-0000-0000-0000740D0000}"/>
    <cellStyle name="통화 [0] 6 3 3 2 2" xfId="6120" xr:uid="{00000000-0005-0000-0000-0000740D0000}"/>
    <cellStyle name="통화 [0] 6 3 3 3" xfId="5577" xr:uid="{00000000-0005-0000-0000-0000740D0000}"/>
    <cellStyle name="통화 [0] 6 3 4" xfId="3448" xr:uid="{00000000-0005-0000-0000-0000750D0000}"/>
    <cellStyle name="통화 [0] 6 3 4 2" xfId="5040" xr:uid="{00000000-0005-0000-0000-0000750D0000}"/>
    <cellStyle name="통화 [0] 6 3 4 2 2" xfId="6121" xr:uid="{00000000-0005-0000-0000-0000750D0000}"/>
    <cellStyle name="통화 [0] 6 3 4 3" xfId="5578" xr:uid="{00000000-0005-0000-0000-0000750D0000}"/>
    <cellStyle name="통화 [0] 6 3 5" xfId="5037" xr:uid="{00000000-0005-0000-0000-0000720D0000}"/>
    <cellStyle name="통화 [0] 6 3 5 2" xfId="6118" xr:uid="{00000000-0005-0000-0000-0000720D0000}"/>
    <cellStyle name="통화 [0] 6 3 6" xfId="5575" xr:uid="{00000000-0005-0000-0000-0000720D0000}"/>
    <cellStyle name="통화 [0] 6 4" xfId="3449" xr:uid="{00000000-0005-0000-0000-0000760D0000}"/>
    <cellStyle name="통화 [0] 6 4 2" xfId="3450" xr:uid="{00000000-0005-0000-0000-0000770D0000}"/>
    <cellStyle name="통화 [0] 6 4 2 2" xfId="5042" xr:uid="{00000000-0005-0000-0000-0000770D0000}"/>
    <cellStyle name="통화 [0] 6 4 2 2 2" xfId="6123" xr:uid="{00000000-0005-0000-0000-0000770D0000}"/>
    <cellStyle name="통화 [0] 6 4 2 3" xfId="5580" xr:uid="{00000000-0005-0000-0000-0000770D0000}"/>
    <cellStyle name="통화 [0] 6 4 3" xfId="3451" xr:uid="{00000000-0005-0000-0000-0000780D0000}"/>
    <cellStyle name="통화 [0] 6 4 3 2" xfId="5043" xr:uid="{00000000-0005-0000-0000-0000780D0000}"/>
    <cellStyle name="통화 [0] 6 4 3 2 2" xfId="6124" xr:uid="{00000000-0005-0000-0000-0000780D0000}"/>
    <cellStyle name="통화 [0] 6 4 3 3" xfId="5581" xr:uid="{00000000-0005-0000-0000-0000780D0000}"/>
    <cellStyle name="통화 [0] 6 4 4" xfId="3452" xr:uid="{00000000-0005-0000-0000-0000790D0000}"/>
    <cellStyle name="통화 [0] 6 4 4 2" xfId="5044" xr:uid="{00000000-0005-0000-0000-0000790D0000}"/>
    <cellStyle name="통화 [0] 6 4 4 2 2" xfId="6125" xr:uid="{00000000-0005-0000-0000-0000790D0000}"/>
    <cellStyle name="통화 [0] 6 4 4 3" xfId="5582" xr:uid="{00000000-0005-0000-0000-0000790D0000}"/>
    <cellStyle name="통화 [0] 6 4 5" xfId="5041" xr:uid="{00000000-0005-0000-0000-0000760D0000}"/>
    <cellStyle name="통화 [0] 6 4 5 2" xfId="6122" xr:uid="{00000000-0005-0000-0000-0000760D0000}"/>
    <cellStyle name="통화 [0] 6 4 6" xfId="5579" xr:uid="{00000000-0005-0000-0000-0000760D0000}"/>
    <cellStyle name="통화 [0] 6 5" xfId="3453" xr:uid="{00000000-0005-0000-0000-00007A0D0000}"/>
    <cellStyle name="통화 [0] 6 5 2" xfId="3454" xr:uid="{00000000-0005-0000-0000-00007B0D0000}"/>
    <cellStyle name="통화 [0] 6 5 2 2" xfId="5046" xr:uid="{00000000-0005-0000-0000-00007B0D0000}"/>
    <cellStyle name="통화 [0] 6 5 2 2 2" xfId="6127" xr:uid="{00000000-0005-0000-0000-00007B0D0000}"/>
    <cellStyle name="통화 [0] 6 5 2 3" xfId="5584" xr:uid="{00000000-0005-0000-0000-00007B0D0000}"/>
    <cellStyle name="통화 [0] 6 5 3" xfId="3455" xr:uid="{00000000-0005-0000-0000-00007C0D0000}"/>
    <cellStyle name="통화 [0] 6 5 3 2" xfId="5047" xr:uid="{00000000-0005-0000-0000-00007C0D0000}"/>
    <cellStyle name="통화 [0] 6 5 3 2 2" xfId="6128" xr:uid="{00000000-0005-0000-0000-00007C0D0000}"/>
    <cellStyle name="통화 [0] 6 5 3 3" xfId="5585" xr:uid="{00000000-0005-0000-0000-00007C0D0000}"/>
    <cellStyle name="통화 [0] 6 5 4" xfId="3456" xr:uid="{00000000-0005-0000-0000-00007D0D0000}"/>
    <cellStyle name="통화 [0] 6 5 4 2" xfId="5048" xr:uid="{00000000-0005-0000-0000-00007D0D0000}"/>
    <cellStyle name="통화 [0] 6 5 4 2 2" xfId="6129" xr:uid="{00000000-0005-0000-0000-00007D0D0000}"/>
    <cellStyle name="통화 [0] 6 5 4 3" xfId="5586" xr:uid="{00000000-0005-0000-0000-00007D0D0000}"/>
    <cellStyle name="통화 [0] 6 5 5" xfId="5045" xr:uid="{00000000-0005-0000-0000-00007A0D0000}"/>
    <cellStyle name="통화 [0] 6 5 5 2" xfId="6126" xr:uid="{00000000-0005-0000-0000-00007A0D0000}"/>
    <cellStyle name="통화 [0] 6 5 6" xfId="5583" xr:uid="{00000000-0005-0000-0000-00007A0D0000}"/>
    <cellStyle name="통화 [0] 6 6" xfId="3457" xr:uid="{00000000-0005-0000-0000-00007E0D0000}"/>
    <cellStyle name="통화 [0] 6 6 2" xfId="3458" xr:uid="{00000000-0005-0000-0000-00007F0D0000}"/>
    <cellStyle name="통화 [0] 6 6 2 2" xfId="5050" xr:uid="{00000000-0005-0000-0000-00007F0D0000}"/>
    <cellStyle name="통화 [0] 6 6 2 2 2" xfId="6131" xr:uid="{00000000-0005-0000-0000-00007F0D0000}"/>
    <cellStyle name="통화 [0] 6 6 2 3" xfId="5588" xr:uid="{00000000-0005-0000-0000-00007F0D0000}"/>
    <cellStyle name="통화 [0] 6 6 3" xfId="3459" xr:uid="{00000000-0005-0000-0000-0000800D0000}"/>
    <cellStyle name="통화 [0] 6 6 3 2" xfId="5051" xr:uid="{00000000-0005-0000-0000-0000800D0000}"/>
    <cellStyle name="통화 [0] 6 6 3 2 2" xfId="6132" xr:uid="{00000000-0005-0000-0000-0000800D0000}"/>
    <cellStyle name="통화 [0] 6 6 3 3" xfId="5589" xr:uid="{00000000-0005-0000-0000-0000800D0000}"/>
    <cellStyle name="통화 [0] 6 6 4" xfId="3460" xr:uid="{00000000-0005-0000-0000-0000810D0000}"/>
    <cellStyle name="통화 [0] 6 6 4 2" xfId="5052" xr:uid="{00000000-0005-0000-0000-0000810D0000}"/>
    <cellStyle name="통화 [0] 6 6 4 2 2" xfId="6133" xr:uid="{00000000-0005-0000-0000-0000810D0000}"/>
    <cellStyle name="통화 [0] 6 6 4 3" xfId="5590" xr:uid="{00000000-0005-0000-0000-0000810D0000}"/>
    <cellStyle name="통화 [0] 6 6 5" xfId="5049" xr:uid="{00000000-0005-0000-0000-00007E0D0000}"/>
    <cellStyle name="통화 [0] 6 6 5 2" xfId="6130" xr:uid="{00000000-0005-0000-0000-00007E0D0000}"/>
    <cellStyle name="통화 [0] 6 6 6" xfId="5587" xr:uid="{00000000-0005-0000-0000-00007E0D0000}"/>
    <cellStyle name="통화 [0] 6 7" xfId="3461" xr:uid="{00000000-0005-0000-0000-0000820D0000}"/>
    <cellStyle name="통화 [0] 6 7 2" xfId="3462" xr:uid="{00000000-0005-0000-0000-0000830D0000}"/>
    <cellStyle name="통화 [0] 6 7 2 2" xfId="5054" xr:uid="{00000000-0005-0000-0000-0000830D0000}"/>
    <cellStyle name="통화 [0] 6 7 2 2 2" xfId="6135" xr:uid="{00000000-0005-0000-0000-0000830D0000}"/>
    <cellStyle name="통화 [0] 6 7 2 3" xfId="5592" xr:uid="{00000000-0005-0000-0000-0000830D0000}"/>
    <cellStyle name="통화 [0] 6 7 3" xfId="3463" xr:uid="{00000000-0005-0000-0000-0000840D0000}"/>
    <cellStyle name="통화 [0] 6 7 3 2" xfId="5055" xr:uid="{00000000-0005-0000-0000-0000840D0000}"/>
    <cellStyle name="통화 [0] 6 7 3 2 2" xfId="6136" xr:uid="{00000000-0005-0000-0000-0000840D0000}"/>
    <cellStyle name="통화 [0] 6 7 3 3" xfId="5593" xr:uid="{00000000-0005-0000-0000-0000840D0000}"/>
    <cellStyle name="통화 [0] 6 7 4" xfId="3464" xr:uid="{00000000-0005-0000-0000-0000850D0000}"/>
    <cellStyle name="통화 [0] 6 7 4 2" xfId="5056" xr:uid="{00000000-0005-0000-0000-0000850D0000}"/>
    <cellStyle name="통화 [0] 6 7 4 2 2" xfId="6137" xr:uid="{00000000-0005-0000-0000-0000850D0000}"/>
    <cellStyle name="통화 [0] 6 7 4 3" xfId="5594" xr:uid="{00000000-0005-0000-0000-0000850D0000}"/>
    <cellStyle name="통화 [0] 6 7 5" xfId="5053" xr:uid="{00000000-0005-0000-0000-0000820D0000}"/>
    <cellStyle name="통화 [0] 6 7 5 2" xfId="6134" xr:uid="{00000000-0005-0000-0000-0000820D0000}"/>
    <cellStyle name="통화 [0] 6 7 6" xfId="5591" xr:uid="{00000000-0005-0000-0000-0000820D0000}"/>
    <cellStyle name="통화 [0] 6 8" xfId="3465" xr:uid="{00000000-0005-0000-0000-0000860D0000}"/>
    <cellStyle name="통화 [0] 6 8 2" xfId="3466" xr:uid="{00000000-0005-0000-0000-0000870D0000}"/>
    <cellStyle name="통화 [0] 6 8 2 2" xfId="5058" xr:uid="{00000000-0005-0000-0000-0000870D0000}"/>
    <cellStyle name="통화 [0] 6 8 2 2 2" xfId="6139" xr:uid="{00000000-0005-0000-0000-0000870D0000}"/>
    <cellStyle name="통화 [0] 6 8 2 3" xfId="5596" xr:uid="{00000000-0005-0000-0000-0000870D0000}"/>
    <cellStyle name="통화 [0] 6 8 3" xfId="3467" xr:uid="{00000000-0005-0000-0000-0000880D0000}"/>
    <cellStyle name="통화 [0] 6 8 3 2" xfId="5059" xr:uid="{00000000-0005-0000-0000-0000880D0000}"/>
    <cellStyle name="통화 [0] 6 8 3 2 2" xfId="6140" xr:uid="{00000000-0005-0000-0000-0000880D0000}"/>
    <cellStyle name="통화 [0] 6 8 3 3" xfId="5597" xr:uid="{00000000-0005-0000-0000-0000880D0000}"/>
    <cellStyle name="통화 [0] 6 8 4" xfId="3468" xr:uid="{00000000-0005-0000-0000-0000890D0000}"/>
    <cellStyle name="통화 [0] 6 8 4 2" xfId="5060" xr:uid="{00000000-0005-0000-0000-0000890D0000}"/>
    <cellStyle name="통화 [0] 6 8 4 2 2" xfId="6141" xr:uid="{00000000-0005-0000-0000-0000890D0000}"/>
    <cellStyle name="통화 [0] 6 8 4 3" xfId="5598" xr:uid="{00000000-0005-0000-0000-0000890D0000}"/>
    <cellStyle name="통화 [0] 6 8 5" xfId="5057" xr:uid="{00000000-0005-0000-0000-0000860D0000}"/>
    <cellStyle name="통화 [0] 6 8 5 2" xfId="6138" xr:uid="{00000000-0005-0000-0000-0000860D0000}"/>
    <cellStyle name="통화 [0] 6 8 6" xfId="5595" xr:uid="{00000000-0005-0000-0000-0000860D0000}"/>
    <cellStyle name="통화 [0] 6 9" xfId="3469" xr:uid="{00000000-0005-0000-0000-00008A0D0000}"/>
    <cellStyle name="통화 [0] 6 9 2" xfId="3470" xr:uid="{00000000-0005-0000-0000-00008B0D0000}"/>
    <cellStyle name="통화 [0] 6 9 2 2" xfId="5062" xr:uid="{00000000-0005-0000-0000-00008B0D0000}"/>
    <cellStyle name="통화 [0] 6 9 2 2 2" xfId="6143" xr:uid="{00000000-0005-0000-0000-00008B0D0000}"/>
    <cellStyle name="통화 [0] 6 9 2 3" xfId="5600" xr:uid="{00000000-0005-0000-0000-00008B0D0000}"/>
    <cellStyle name="통화 [0] 6 9 3" xfId="3471" xr:uid="{00000000-0005-0000-0000-00008C0D0000}"/>
    <cellStyle name="통화 [0] 6 9 3 2" xfId="5063" xr:uid="{00000000-0005-0000-0000-00008C0D0000}"/>
    <cellStyle name="통화 [0] 6 9 3 2 2" xfId="6144" xr:uid="{00000000-0005-0000-0000-00008C0D0000}"/>
    <cellStyle name="통화 [0] 6 9 3 3" xfId="5601" xr:uid="{00000000-0005-0000-0000-00008C0D0000}"/>
    <cellStyle name="통화 [0] 6 9 4" xfId="3472" xr:uid="{00000000-0005-0000-0000-00008D0D0000}"/>
    <cellStyle name="통화 [0] 6 9 4 2" xfId="5064" xr:uid="{00000000-0005-0000-0000-00008D0D0000}"/>
    <cellStyle name="통화 [0] 6 9 4 2 2" xfId="6145" xr:uid="{00000000-0005-0000-0000-00008D0D0000}"/>
    <cellStyle name="통화 [0] 6 9 4 3" xfId="5602" xr:uid="{00000000-0005-0000-0000-00008D0D0000}"/>
    <cellStyle name="통화 [0] 6 9 5" xfId="5061" xr:uid="{00000000-0005-0000-0000-00008A0D0000}"/>
    <cellStyle name="통화 [0] 6 9 5 2" xfId="6142" xr:uid="{00000000-0005-0000-0000-00008A0D0000}"/>
    <cellStyle name="통화 [0] 6 9 6" xfId="5599" xr:uid="{00000000-0005-0000-0000-00008A0D0000}"/>
    <cellStyle name="통화 [0] 7" xfId="3473" xr:uid="{00000000-0005-0000-0000-00008E0D0000}"/>
    <cellStyle name="통화 [0] 7 10" xfId="3474" xr:uid="{00000000-0005-0000-0000-00008F0D0000}"/>
    <cellStyle name="통화 [0] 7 10 2" xfId="3475" xr:uid="{00000000-0005-0000-0000-0000900D0000}"/>
    <cellStyle name="통화 [0] 7 10 2 2" xfId="5067" xr:uid="{00000000-0005-0000-0000-0000900D0000}"/>
    <cellStyle name="통화 [0] 7 10 2 2 2" xfId="6148" xr:uid="{00000000-0005-0000-0000-0000900D0000}"/>
    <cellStyle name="통화 [0] 7 10 2 3" xfId="5605" xr:uid="{00000000-0005-0000-0000-0000900D0000}"/>
    <cellStyle name="통화 [0] 7 10 3" xfId="3476" xr:uid="{00000000-0005-0000-0000-0000910D0000}"/>
    <cellStyle name="통화 [0] 7 10 3 2" xfId="5068" xr:uid="{00000000-0005-0000-0000-0000910D0000}"/>
    <cellStyle name="통화 [0] 7 10 3 2 2" xfId="6149" xr:uid="{00000000-0005-0000-0000-0000910D0000}"/>
    <cellStyle name="통화 [0] 7 10 3 3" xfId="5606" xr:uid="{00000000-0005-0000-0000-0000910D0000}"/>
    <cellStyle name="통화 [0] 7 10 4" xfId="3477" xr:uid="{00000000-0005-0000-0000-0000920D0000}"/>
    <cellStyle name="통화 [0] 7 10 4 2" xfId="5069" xr:uid="{00000000-0005-0000-0000-0000920D0000}"/>
    <cellStyle name="통화 [0] 7 10 4 2 2" xfId="6150" xr:uid="{00000000-0005-0000-0000-0000920D0000}"/>
    <cellStyle name="통화 [0] 7 10 4 3" xfId="5607" xr:uid="{00000000-0005-0000-0000-0000920D0000}"/>
    <cellStyle name="통화 [0] 7 10 5" xfId="5066" xr:uid="{00000000-0005-0000-0000-00008F0D0000}"/>
    <cellStyle name="통화 [0] 7 10 5 2" xfId="6147" xr:uid="{00000000-0005-0000-0000-00008F0D0000}"/>
    <cellStyle name="통화 [0] 7 10 6" xfId="5604" xr:uid="{00000000-0005-0000-0000-00008F0D0000}"/>
    <cellStyle name="통화 [0] 7 11" xfId="3478" xr:uid="{00000000-0005-0000-0000-0000930D0000}"/>
    <cellStyle name="통화 [0] 7 11 2" xfId="5070" xr:uid="{00000000-0005-0000-0000-0000930D0000}"/>
    <cellStyle name="통화 [0] 7 11 2 2" xfId="6151" xr:uid="{00000000-0005-0000-0000-0000930D0000}"/>
    <cellStyle name="통화 [0] 7 11 3" xfId="5608" xr:uid="{00000000-0005-0000-0000-0000930D0000}"/>
    <cellStyle name="통화 [0] 7 12" xfId="3479" xr:uid="{00000000-0005-0000-0000-0000940D0000}"/>
    <cellStyle name="통화 [0] 7 12 2" xfId="5071" xr:uid="{00000000-0005-0000-0000-0000940D0000}"/>
    <cellStyle name="통화 [0] 7 12 2 2" xfId="6152" xr:uid="{00000000-0005-0000-0000-0000940D0000}"/>
    <cellStyle name="통화 [0] 7 12 3" xfId="5609" xr:uid="{00000000-0005-0000-0000-0000940D0000}"/>
    <cellStyle name="통화 [0] 7 13" xfId="3480" xr:uid="{00000000-0005-0000-0000-0000950D0000}"/>
    <cellStyle name="통화 [0] 7 13 2" xfId="5072" xr:uid="{00000000-0005-0000-0000-0000950D0000}"/>
    <cellStyle name="통화 [0] 7 13 2 2" xfId="6153" xr:uid="{00000000-0005-0000-0000-0000950D0000}"/>
    <cellStyle name="통화 [0] 7 13 3" xfId="5610" xr:uid="{00000000-0005-0000-0000-0000950D0000}"/>
    <cellStyle name="통화 [0] 7 14" xfId="5065" xr:uid="{00000000-0005-0000-0000-00008E0D0000}"/>
    <cellStyle name="통화 [0] 7 14 2" xfId="6146" xr:uid="{00000000-0005-0000-0000-00008E0D0000}"/>
    <cellStyle name="통화 [0] 7 15" xfId="5603" xr:uid="{00000000-0005-0000-0000-00008E0D0000}"/>
    <cellStyle name="통화 [0] 7 2" xfId="3481" xr:uid="{00000000-0005-0000-0000-0000960D0000}"/>
    <cellStyle name="통화 [0] 7 2 2" xfId="3482" xr:uid="{00000000-0005-0000-0000-0000970D0000}"/>
    <cellStyle name="통화 [0] 7 2 2 2" xfId="5074" xr:uid="{00000000-0005-0000-0000-0000970D0000}"/>
    <cellStyle name="통화 [0] 7 2 2 2 2" xfId="6155" xr:uid="{00000000-0005-0000-0000-0000970D0000}"/>
    <cellStyle name="통화 [0] 7 2 2 3" xfId="5612" xr:uid="{00000000-0005-0000-0000-0000970D0000}"/>
    <cellStyle name="통화 [0] 7 2 3" xfId="3483" xr:uid="{00000000-0005-0000-0000-0000980D0000}"/>
    <cellStyle name="통화 [0] 7 2 3 2" xfId="5075" xr:uid="{00000000-0005-0000-0000-0000980D0000}"/>
    <cellStyle name="통화 [0] 7 2 3 2 2" xfId="6156" xr:uid="{00000000-0005-0000-0000-0000980D0000}"/>
    <cellStyle name="통화 [0] 7 2 3 3" xfId="5613" xr:uid="{00000000-0005-0000-0000-0000980D0000}"/>
    <cellStyle name="통화 [0] 7 2 4" xfId="3484" xr:uid="{00000000-0005-0000-0000-0000990D0000}"/>
    <cellStyle name="통화 [0] 7 2 4 2" xfId="5076" xr:uid="{00000000-0005-0000-0000-0000990D0000}"/>
    <cellStyle name="통화 [0] 7 2 4 2 2" xfId="6157" xr:uid="{00000000-0005-0000-0000-0000990D0000}"/>
    <cellStyle name="통화 [0] 7 2 4 3" xfId="5614" xr:uid="{00000000-0005-0000-0000-0000990D0000}"/>
    <cellStyle name="통화 [0] 7 2 5" xfId="5073" xr:uid="{00000000-0005-0000-0000-0000960D0000}"/>
    <cellStyle name="통화 [0] 7 2 5 2" xfId="6154" xr:uid="{00000000-0005-0000-0000-0000960D0000}"/>
    <cellStyle name="통화 [0] 7 2 6" xfId="5611" xr:uid="{00000000-0005-0000-0000-0000960D0000}"/>
    <cellStyle name="통화 [0] 7 3" xfId="3485" xr:uid="{00000000-0005-0000-0000-00009A0D0000}"/>
    <cellStyle name="통화 [0] 7 3 2" xfId="3486" xr:uid="{00000000-0005-0000-0000-00009B0D0000}"/>
    <cellStyle name="통화 [0] 7 3 2 2" xfId="5078" xr:uid="{00000000-0005-0000-0000-00009B0D0000}"/>
    <cellStyle name="통화 [0] 7 3 2 2 2" xfId="6159" xr:uid="{00000000-0005-0000-0000-00009B0D0000}"/>
    <cellStyle name="통화 [0] 7 3 2 3" xfId="5616" xr:uid="{00000000-0005-0000-0000-00009B0D0000}"/>
    <cellStyle name="통화 [0] 7 3 3" xfId="3487" xr:uid="{00000000-0005-0000-0000-00009C0D0000}"/>
    <cellStyle name="통화 [0] 7 3 3 2" xfId="5079" xr:uid="{00000000-0005-0000-0000-00009C0D0000}"/>
    <cellStyle name="통화 [0] 7 3 3 2 2" xfId="6160" xr:uid="{00000000-0005-0000-0000-00009C0D0000}"/>
    <cellStyle name="통화 [0] 7 3 3 3" xfId="5617" xr:uid="{00000000-0005-0000-0000-00009C0D0000}"/>
    <cellStyle name="통화 [0] 7 3 4" xfId="3488" xr:uid="{00000000-0005-0000-0000-00009D0D0000}"/>
    <cellStyle name="통화 [0] 7 3 4 2" xfId="5080" xr:uid="{00000000-0005-0000-0000-00009D0D0000}"/>
    <cellStyle name="통화 [0] 7 3 4 2 2" xfId="6161" xr:uid="{00000000-0005-0000-0000-00009D0D0000}"/>
    <cellStyle name="통화 [0] 7 3 4 3" xfId="5618" xr:uid="{00000000-0005-0000-0000-00009D0D0000}"/>
    <cellStyle name="통화 [0] 7 3 5" xfId="5077" xr:uid="{00000000-0005-0000-0000-00009A0D0000}"/>
    <cellStyle name="통화 [0] 7 3 5 2" xfId="6158" xr:uid="{00000000-0005-0000-0000-00009A0D0000}"/>
    <cellStyle name="통화 [0] 7 3 6" xfId="5615" xr:uid="{00000000-0005-0000-0000-00009A0D0000}"/>
    <cellStyle name="통화 [0] 7 4" xfId="3489" xr:uid="{00000000-0005-0000-0000-00009E0D0000}"/>
    <cellStyle name="통화 [0] 7 4 2" xfId="3490" xr:uid="{00000000-0005-0000-0000-00009F0D0000}"/>
    <cellStyle name="통화 [0] 7 4 2 2" xfId="5082" xr:uid="{00000000-0005-0000-0000-00009F0D0000}"/>
    <cellStyle name="통화 [0] 7 4 2 2 2" xfId="6163" xr:uid="{00000000-0005-0000-0000-00009F0D0000}"/>
    <cellStyle name="통화 [0] 7 4 2 3" xfId="5620" xr:uid="{00000000-0005-0000-0000-00009F0D0000}"/>
    <cellStyle name="통화 [0] 7 4 3" xfId="3491" xr:uid="{00000000-0005-0000-0000-0000A00D0000}"/>
    <cellStyle name="통화 [0] 7 4 3 2" xfId="5083" xr:uid="{00000000-0005-0000-0000-0000A00D0000}"/>
    <cellStyle name="통화 [0] 7 4 3 2 2" xfId="6164" xr:uid="{00000000-0005-0000-0000-0000A00D0000}"/>
    <cellStyle name="통화 [0] 7 4 3 3" xfId="5621" xr:uid="{00000000-0005-0000-0000-0000A00D0000}"/>
    <cellStyle name="통화 [0] 7 4 4" xfId="3492" xr:uid="{00000000-0005-0000-0000-0000A10D0000}"/>
    <cellStyle name="통화 [0] 7 4 4 2" xfId="5084" xr:uid="{00000000-0005-0000-0000-0000A10D0000}"/>
    <cellStyle name="통화 [0] 7 4 4 2 2" xfId="6165" xr:uid="{00000000-0005-0000-0000-0000A10D0000}"/>
    <cellStyle name="통화 [0] 7 4 4 3" xfId="5622" xr:uid="{00000000-0005-0000-0000-0000A10D0000}"/>
    <cellStyle name="통화 [0] 7 4 5" xfId="5081" xr:uid="{00000000-0005-0000-0000-00009E0D0000}"/>
    <cellStyle name="통화 [0] 7 4 5 2" xfId="6162" xr:uid="{00000000-0005-0000-0000-00009E0D0000}"/>
    <cellStyle name="통화 [0] 7 4 6" xfId="5619" xr:uid="{00000000-0005-0000-0000-00009E0D0000}"/>
    <cellStyle name="통화 [0] 7 5" xfId="3493" xr:uid="{00000000-0005-0000-0000-0000A20D0000}"/>
    <cellStyle name="통화 [0] 7 5 2" xfId="3494" xr:uid="{00000000-0005-0000-0000-0000A30D0000}"/>
    <cellStyle name="통화 [0] 7 5 2 2" xfId="5086" xr:uid="{00000000-0005-0000-0000-0000A30D0000}"/>
    <cellStyle name="통화 [0] 7 5 2 2 2" xfId="6167" xr:uid="{00000000-0005-0000-0000-0000A30D0000}"/>
    <cellStyle name="통화 [0] 7 5 2 3" xfId="5624" xr:uid="{00000000-0005-0000-0000-0000A30D0000}"/>
    <cellStyle name="통화 [0] 7 5 3" xfId="3495" xr:uid="{00000000-0005-0000-0000-0000A40D0000}"/>
    <cellStyle name="통화 [0] 7 5 3 2" xfId="5087" xr:uid="{00000000-0005-0000-0000-0000A40D0000}"/>
    <cellStyle name="통화 [0] 7 5 3 2 2" xfId="6168" xr:uid="{00000000-0005-0000-0000-0000A40D0000}"/>
    <cellStyle name="통화 [0] 7 5 3 3" xfId="5625" xr:uid="{00000000-0005-0000-0000-0000A40D0000}"/>
    <cellStyle name="통화 [0] 7 5 4" xfId="3496" xr:uid="{00000000-0005-0000-0000-0000A50D0000}"/>
    <cellStyle name="통화 [0] 7 5 4 2" xfId="5088" xr:uid="{00000000-0005-0000-0000-0000A50D0000}"/>
    <cellStyle name="통화 [0] 7 5 4 2 2" xfId="6169" xr:uid="{00000000-0005-0000-0000-0000A50D0000}"/>
    <cellStyle name="통화 [0] 7 5 4 3" xfId="5626" xr:uid="{00000000-0005-0000-0000-0000A50D0000}"/>
    <cellStyle name="통화 [0] 7 5 5" xfId="5085" xr:uid="{00000000-0005-0000-0000-0000A20D0000}"/>
    <cellStyle name="통화 [0] 7 5 5 2" xfId="6166" xr:uid="{00000000-0005-0000-0000-0000A20D0000}"/>
    <cellStyle name="통화 [0] 7 5 6" xfId="5623" xr:uid="{00000000-0005-0000-0000-0000A20D0000}"/>
    <cellStyle name="통화 [0] 7 6" xfId="3497" xr:uid="{00000000-0005-0000-0000-0000A60D0000}"/>
    <cellStyle name="통화 [0] 7 6 2" xfId="3498" xr:uid="{00000000-0005-0000-0000-0000A70D0000}"/>
    <cellStyle name="통화 [0] 7 6 2 2" xfId="5090" xr:uid="{00000000-0005-0000-0000-0000A70D0000}"/>
    <cellStyle name="통화 [0] 7 6 2 2 2" xfId="6171" xr:uid="{00000000-0005-0000-0000-0000A70D0000}"/>
    <cellStyle name="통화 [0] 7 6 2 3" xfId="5628" xr:uid="{00000000-0005-0000-0000-0000A70D0000}"/>
    <cellStyle name="통화 [0] 7 6 3" xfId="3499" xr:uid="{00000000-0005-0000-0000-0000A80D0000}"/>
    <cellStyle name="통화 [0] 7 6 3 2" xfId="5091" xr:uid="{00000000-0005-0000-0000-0000A80D0000}"/>
    <cellStyle name="통화 [0] 7 6 3 2 2" xfId="6172" xr:uid="{00000000-0005-0000-0000-0000A80D0000}"/>
    <cellStyle name="통화 [0] 7 6 3 3" xfId="5629" xr:uid="{00000000-0005-0000-0000-0000A80D0000}"/>
    <cellStyle name="통화 [0] 7 6 4" xfId="3500" xr:uid="{00000000-0005-0000-0000-0000A90D0000}"/>
    <cellStyle name="통화 [0] 7 6 4 2" xfId="5092" xr:uid="{00000000-0005-0000-0000-0000A90D0000}"/>
    <cellStyle name="통화 [0] 7 6 4 2 2" xfId="6173" xr:uid="{00000000-0005-0000-0000-0000A90D0000}"/>
    <cellStyle name="통화 [0] 7 6 4 3" xfId="5630" xr:uid="{00000000-0005-0000-0000-0000A90D0000}"/>
    <cellStyle name="통화 [0] 7 6 5" xfId="5089" xr:uid="{00000000-0005-0000-0000-0000A60D0000}"/>
    <cellStyle name="통화 [0] 7 6 5 2" xfId="6170" xr:uid="{00000000-0005-0000-0000-0000A60D0000}"/>
    <cellStyle name="통화 [0] 7 6 6" xfId="5627" xr:uid="{00000000-0005-0000-0000-0000A60D0000}"/>
    <cellStyle name="통화 [0] 7 7" xfId="3501" xr:uid="{00000000-0005-0000-0000-0000AA0D0000}"/>
    <cellStyle name="통화 [0] 7 7 2" xfId="3502" xr:uid="{00000000-0005-0000-0000-0000AB0D0000}"/>
    <cellStyle name="통화 [0] 7 7 2 2" xfId="5094" xr:uid="{00000000-0005-0000-0000-0000AB0D0000}"/>
    <cellStyle name="통화 [0] 7 7 2 2 2" xfId="6175" xr:uid="{00000000-0005-0000-0000-0000AB0D0000}"/>
    <cellStyle name="통화 [0] 7 7 2 3" xfId="5632" xr:uid="{00000000-0005-0000-0000-0000AB0D0000}"/>
    <cellStyle name="통화 [0] 7 7 3" xfId="3503" xr:uid="{00000000-0005-0000-0000-0000AC0D0000}"/>
    <cellStyle name="통화 [0] 7 7 3 2" xfId="5095" xr:uid="{00000000-0005-0000-0000-0000AC0D0000}"/>
    <cellStyle name="통화 [0] 7 7 3 2 2" xfId="6176" xr:uid="{00000000-0005-0000-0000-0000AC0D0000}"/>
    <cellStyle name="통화 [0] 7 7 3 3" xfId="5633" xr:uid="{00000000-0005-0000-0000-0000AC0D0000}"/>
    <cellStyle name="통화 [0] 7 7 4" xfId="3504" xr:uid="{00000000-0005-0000-0000-0000AD0D0000}"/>
    <cellStyle name="통화 [0] 7 7 4 2" xfId="5096" xr:uid="{00000000-0005-0000-0000-0000AD0D0000}"/>
    <cellStyle name="통화 [0] 7 7 4 2 2" xfId="6177" xr:uid="{00000000-0005-0000-0000-0000AD0D0000}"/>
    <cellStyle name="통화 [0] 7 7 4 3" xfId="5634" xr:uid="{00000000-0005-0000-0000-0000AD0D0000}"/>
    <cellStyle name="통화 [0] 7 7 5" xfId="5093" xr:uid="{00000000-0005-0000-0000-0000AA0D0000}"/>
    <cellStyle name="통화 [0] 7 7 5 2" xfId="6174" xr:uid="{00000000-0005-0000-0000-0000AA0D0000}"/>
    <cellStyle name="통화 [0] 7 7 6" xfId="5631" xr:uid="{00000000-0005-0000-0000-0000AA0D0000}"/>
    <cellStyle name="통화 [0] 7 8" xfId="3505" xr:uid="{00000000-0005-0000-0000-0000AE0D0000}"/>
    <cellStyle name="통화 [0] 7 8 2" xfId="3506" xr:uid="{00000000-0005-0000-0000-0000AF0D0000}"/>
    <cellStyle name="통화 [0] 7 8 2 2" xfId="5098" xr:uid="{00000000-0005-0000-0000-0000AF0D0000}"/>
    <cellStyle name="통화 [0] 7 8 2 2 2" xfId="6179" xr:uid="{00000000-0005-0000-0000-0000AF0D0000}"/>
    <cellStyle name="통화 [0] 7 8 2 3" xfId="5636" xr:uid="{00000000-0005-0000-0000-0000AF0D0000}"/>
    <cellStyle name="통화 [0] 7 8 3" xfId="3507" xr:uid="{00000000-0005-0000-0000-0000B00D0000}"/>
    <cellStyle name="통화 [0] 7 8 3 2" xfId="5099" xr:uid="{00000000-0005-0000-0000-0000B00D0000}"/>
    <cellStyle name="통화 [0] 7 8 3 2 2" xfId="6180" xr:uid="{00000000-0005-0000-0000-0000B00D0000}"/>
    <cellStyle name="통화 [0] 7 8 3 3" xfId="5637" xr:uid="{00000000-0005-0000-0000-0000B00D0000}"/>
    <cellStyle name="통화 [0] 7 8 4" xfId="3508" xr:uid="{00000000-0005-0000-0000-0000B10D0000}"/>
    <cellStyle name="통화 [0] 7 8 4 2" xfId="5100" xr:uid="{00000000-0005-0000-0000-0000B10D0000}"/>
    <cellStyle name="통화 [0] 7 8 4 2 2" xfId="6181" xr:uid="{00000000-0005-0000-0000-0000B10D0000}"/>
    <cellStyle name="통화 [0] 7 8 4 3" xfId="5638" xr:uid="{00000000-0005-0000-0000-0000B10D0000}"/>
    <cellStyle name="통화 [0] 7 8 5" xfId="5097" xr:uid="{00000000-0005-0000-0000-0000AE0D0000}"/>
    <cellStyle name="통화 [0] 7 8 5 2" xfId="6178" xr:uid="{00000000-0005-0000-0000-0000AE0D0000}"/>
    <cellStyle name="통화 [0] 7 8 6" xfId="5635" xr:uid="{00000000-0005-0000-0000-0000AE0D0000}"/>
    <cellStyle name="통화 [0] 7 9" xfId="3509" xr:uid="{00000000-0005-0000-0000-0000B20D0000}"/>
    <cellStyle name="통화 [0] 7 9 2" xfId="3510" xr:uid="{00000000-0005-0000-0000-0000B30D0000}"/>
    <cellStyle name="통화 [0] 7 9 2 2" xfId="5102" xr:uid="{00000000-0005-0000-0000-0000B30D0000}"/>
    <cellStyle name="통화 [0] 7 9 2 2 2" xfId="6183" xr:uid="{00000000-0005-0000-0000-0000B30D0000}"/>
    <cellStyle name="통화 [0] 7 9 2 3" xfId="5640" xr:uid="{00000000-0005-0000-0000-0000B30D0000}"/>
    <cellStyle name="통화 [0] 7 9 3" xfId="3511" xr:uid="{00000000-0005-0000-0000-0000B40D0000}"/>
    <cellStyle name="통화 [0] 7 9 3 2" xfId="5103" xr:uid="{00000000-0005-0000-0000-0000B40D0000}"/>
    <cellStyle name="통화 [0] 7 9 3 2 2" xfId="6184" xr:uid="{00000000-0005-0000-0000-0000B40D0000}"/>
    <cellStyle name="통화 [0] 7 9 3 3" xfId="5641" xr:uid="{00000000-0005-0000-0000-0000B40D0000}"/>
    <cellStyle name="통화 [0] 7 9 4" xfId="3512" xr:uid="{00000000-0005-0000-0000-0000B50D0000}"/>
    <cellStyle name="통화 [0] 7 9 4 2" xfId="5104" xr:uid="{00000000-0005-0000-0000-0000B50D0000}"/>
    <cellStyle name="통화 [0] 7 9 4 2 2" xfId="6185" xr:uid="{00000000-0005-0000-0000-0000B50D0000}"/>
    <cellStyle name="통화 [0] 7 9 4 3" xfId="5642" xr:uid="{00000000-0005-0000-0000-0000B50D0000}"/>
    <cellStyle name="통화 [0] 7 9 5" xfId="5101" xr:uid="{00000000-0005-0000-0000-0000B20D0000}"/>
    <cellStyle name="통화 [0] 7 9 5 2" xfId="6182" xr:uid="{00000000-0005-0000-0000-0000B20D0000}"/>
    <cellStyle name="통화 [0] 7 9 6" xfId="5639" xr:uid="{00000000-0005-0000-0000-0000B20D0000}"/>
    <cellStyle name="통화 [0] 8" xfId="3513" xr:uid="{00000000-0005-0000-0000-0000B60D0000}"/>
    <cellStyle name="통화 [0] 8 10" xfId="3514" xr:uid="{00000000-0005-0000-0000-0000B70D0000}"/>
    <cellStyle name="통화 [0] 8 10 2" xfId="3515" xr:uid="{00000000-0005-0000-0000-0000B80D0000}"/>
    <cellStyle name="통화 [0] 8 10 2 2" xfId="5107" xr:uid="{00000000-0005-0000-0000-0000B80D0000}"/>
    <cellStyle name="통화 [0] 8 10 2 2 2" xfId="6188" xr:uid="{00000000-0005-0000-0000-0000B80D0000}"/>
    <cellStyle name="통화 [0] 8 10 2 3" xfId="5645" xr:uid="{00000000-0005-0000-0000-0000B80D0000}"/>
    <cellStyle name="통화 [0] 8 10 3" xfId="3516" xr:uid="{00000000-0005-0000-0000-0000B90D0000}"/>
    <cellStyle name="통화 [0] 8 10 3 2" xfId="5108" xr:uid="{00000000-0005-0000-0000-0000B90D0000}"/>
    <cellStyle name="통화 [0] 8 10 3 2 2" xfId="6189" xr:uid="{00000000-0005-0000-0000-0000B90D0000}"/>
    <cellStyle name="통화 [0] 8 10 3 3" xfId="5646" xr:uid="{00000000-0005-0000-0000-0000B90D0000}"/>
    <cellStyle name="통화 [0] 8 10 4" xfId="3517" xr:uid="{00000000-0005-0000-0000-0000BA0D0000}"/>
    <cellStyle name="통화 [0] 8 10 4 2" xfId="5109" xr:uid="{00000000-0005-0000-0000-0000BA0D0000}"/>
    <cellStyle name="통화 [0] 8 10 4 2 2" xfId="6190" xr:uid="{00000000-0005-0000-0000-0000BA0D0000}"/>
    <cellStyle name="통화 [0] 8 10 4 3" xfId="5647" xr:uid="{00000000-0005-0000-0000-0000BA0D0000}"/>
    <cellStyle name="통화 [0] 8 10 5" xfId="5106" xr:uid="{00000000-0005-0000-0000-0000B70D0000}"/>
    <cellStyle name="통화 [0] 8 10 5 2" xfId="6187" xr:uid="{00000000-0005-0000-0000-0000B70D0000}"/>
    <cellStyle name="통화 [0] 8 10 6" xfId="5644" xr:uid="{00000000-0005-0000-0000-0000B70D0000}"/>
    <cellStyle name="통화 [0] 8 11" xfId="3518" xr:uid="{00000000-0005-0000-0000-0000BB0D0000}"/>
    <cellStyle name="통화 [0] 8 11 2" xfId="5110" xr:uid="{00000000-0005-0000-0000-0000BB0D0000}"/>
    <cellStyle name="통화 [0] 8 11 2 2" xfId="6191" xr:uid="{00000000-0005-0000-0000-0000BB0D0000}"/>
    <cellStyle name="통화 [0] 8 11 3" xfId="5648" xr:uid="{00000000-0005-0000-0000-0000BB0D0000}"/>
    <cellStyle name="통화 [0] 8 12" xfId="3519" xr:uid="{00000000-0005-0000-0000-0000BC0D0000}"/>
    <cellStyle name="통화 [0] 8 12 2" xfId="5111" xr:uid="{00000000-0005-0000-0000-0000BC0D0000}"/>
    <cellStyle name="통화 [0] 8 12 2 2" xfId="6192" xr:uid="{00000000-0005-0000-0000-0000BC0D0000}"/>
    <cellStyle name="통화 [0] 8 12 3" xfId="5649" xr:uid="{00000000-0005-0000-0000-0000BC0D0000}"/>
    <cellStyle name="통화 [0] 8 13" xfId="3520" xr:uid="{00000000-0005-0000-0000-0000BD0D0000}"/>
    <cellStyle name="통화 [0] 8 13 2" xfId="5112" xr:uid="{00000000-0005-0000-0000-0000BD0D0000}"/>
    <cellStyle name="통화 [0] 8 13 2 2" xfId="6193" xr:uid="{00000000-0005-0000-0000-0000BD0D0000}"/>
    <cellStyle name="통화 [0] 8 13 3" xfId="5650" xr:uid="{00000000-0005-0000-0000-0000BD0D0000}"/>
    <cellStyle name="통화 [0] 8 14" xfId="5105" xr:uid="{00000000-0005-0000-0000-0000B60D0000}"/>
    <cellStyle name="통화 [0] 8 14 2" xfId="6186" xr:uid="{00000000-0005-0000-0000-0000B60D0000}"/>
    <cellStyle name="통화 [0] 8 15" xfId="5643" xr:uid="{00000000-0005-0000-0000-0000B60D0000}"/>
    <cellStyle name="통화 [0] 8 2" xfId="3521" xr:uid="{00000000-0005-0000-0000-0000BE0D0000}"/>
    <cellStyle name="통화 [0] 8 2 2" xfId="3522" xr:uid="{00000000-0005-0000-0000-0000BF0D0000}"/>
    <cellStyle name="통화 [0] 8 2 2 2" xfId="5114" xr:uid="{00000000-0005-0000-0000-0000BF0D0000}"/>
    <cellStyle name="통화 [0] 8 2 2 2 2" xfId="6195" xr:uid="{00000000-0005-0000-0000-0000BF0D0000}"/>
    <cellStyle name="통화 [0] 8 2 2 3" xfId="5652" xr:uid="{00000000-0005-0000-0000-0000BF0D0000}"/>
    <cellStyle name="통화 [0] 8 2 3" xfId="3523" xr:uid="{00000000-0005-0000-0000-0000C00D0000}"/>
    <cellStyle name="통화 [0] 8 2 3 2" xfId="5115" xr:uid="{00000000-0005-0000-0000-0000C00D0000}"/>
    <cellStyle name="통화 [0] 8 2 3 2 2" xfId="6196" xr:uid="{00000000-0005-0000-0000-0000C00D0000}"/>
    <cellStyle name="통화 [0] 8 2 3 3" xfId="5653" xr:uid="{00000000-0005-0000-0000-0000C00D0000}"/>
    <cellStyle name="통화 [0] 8 2 4" xfId="3524" xr:uid="{00000000-0005-0000-0000-0000C10D0000}"/>
    <cellStyle name="통화 [0] 8 2 4 2" xfId="5116" xr:uid="{00000000-0005-0000-0000-0000C10D0000}"/>
    <cellStyle name="통화 [0] 8 2 4 2 2" xfId="6197" xr:uid="{00000000-0005-0000-0000-0000C10D0000}"/>
    <cellStyle name="통화 [0] 8 2 4 3" xfId="5654" xr:uid="{00000000-0005-0000-0000-0000C10D0000}"/>
    <cellStyle name="통화 [0] 8 2 5" xfId="5113" xr:uid="{00000000-0005-0000-0000-0000BE0D0000}"/>
    <cellStyle name="통화 [0] 8 2 5 2" xfId="6194" xr:uid="{00000000-0005-0000-0000-0000BE0D0000}"/>
    <cellStyle name="통화 [0] 8 2 6" xfId="5651" xr:uid="{00000000-0005-0000-0000-0000BE0D0000}"/>
    <cellStyle name="통화 [0] 8 3" xfId="3525" xr:uid="{00000000-0005-0000-0000-0000C20D0000}"/>
    <cellStyle name="통화 [0] 8 3 2" xfId="3526" xr:uid="{00000000-0005-0000-0000-0000C30D0000}"/>
    <cellStyle name="통화 [0] 8 3 2 2" xfId="5118" xr:uid="{00000000-0005-0000-0000-0000C30D0000}"/>
    <cellStyle name="통화 [0] 8 3 2 2 2" xfId="6199" xr:uid="{00000000-0005-0000-0000-0000C30D0000}"/>
    <cellStyle name="통화 [0] 8 3 2 3" xfId="5656" xr:uid="{00000000-0005-0000-0000-0000C30D0000}"/>
    <cellStyle name="통화 [0] 8 3 3" xfId="3527" xr:uid="{00000000-0005-0000-0000-0000C40D0000}"/>
    <cellStyle name="통화 [0] 8 3 3 2" xfId="5119" xr:uid="{00000000-0005-0000-0000-0000C40D0000}"/>
    <cellStyle name="통화 [0] 8 3 3 2 2" xfId="6200" xr:uid="{00000000-0005-0000-0000-0000C40D0000}"/>
    <cellStyle name="통화 [0] 8 3 3 3" xfId="5657" xr:uid="{00000000-0005-0000-0000-0000C40D0000}"/>
    <cellStyle name="통화 [0] 8 3 4" xfId="3528" xr:uid="{00000000-0005-0000-0000-0000C50D0000}"/>
    <cellStyle name="통화 [0] 8 3 4 2" xfId="5120" xr:uid="{00000000-0005-0000-0000-0000C50D0000}"/>
    <cellStyle name="통화 [0] 8 3 4 2 2" xfId="6201" xr:uid="{00000000-0005-0000-0000-0000C50D0000}"/>
    <cellStyle name="통화 [0] 8 3 4 3" xfId="5658" xr:uid="{00000000-0005-0000-0000-0000C50D0000}"/>
    <cellStyle name="통화 [0] 8 3 5" xfId="5117" xr:uid="{00000000-0005-0000-0000-0000C20D0000}"/>
    <cellStyle name="통화 [0] 8 3 5 2" xfId="6198" xr:uid="{00000000-0005-0000-0000-0000C20D0000}"/>
    <cellStyle name="통화 [0] 8 3 6" xfId="5655" xr:uid="{00000000-0005-0000-0000-0000C20D0000}"/>
    <cellStyle name="통화 [0] 8 4" xfId="3529" xr:uid="{00000000-0005-0000-0000-0000C60D0000}"/>
    <cellStyle name="통화 [0] 8 4 2" xfId="3530" xr:uid="{00000000-0005-0000-0000-0000C70D0000}"/>
    <cellStyle name="통화 [0] 8 4 2 2" xfId="5122" xr:uid="{00000000-0005-0000-0000-0000C70D0000}"/>
    <cellStyle name="통화 [0] 8 4 2 2 2" xfId="6203" xr:uid="{00000000-0005-0000-0000-0000C70D0000}"/>
    <cellStyle name="통화 [0] 8 4 2 3" xfId="5660" xr:uid="{00000000-0005-0000-0000-0000C70D0000}"/>
    <cellStyle name="통화 [0] 8 4 3" xfId="3531" xr:uid="{00000000-0005-0000-0000-0000C80D0000}"/>
    <cellStyle name="통화 [0] 8 4 3 2" xfId="5123" xr:uid="{00000000-0005-0000-0000-0000C80D0000}"/>
    <cellStyle name="통화 [0] 8 4 3 2 2" xfId="6204" xr:uid="{00000000-0005-0000-0000-0000C80D0000}"/>
    <cellStyle name="통화 [0] 8 4 3 3" xfId="5661" xr:uid="{00000000-0005-0000-0000-0000C80D0000}"/>
    <cellStyle name="통화 [0] 8 4 4" xfId="3532" xr:uid="{00000000-0005-0000-0000-0000C90D0000}"/>
    <cellStyle name="통화 [0] 8 4 4 2" xfId="5124" xr:uid="{00000000-0005-0000-0000-0000C90D0000}"/>
    <cellStyle name="통화 [0] 8 4 4 2 2" xfId="6205" xr:uid="{00000000-0005-0000-0000-0000C90D0000}"/>
    <cellStyle name="통화 [0] 8 4 4 3" xfId="5662" xr:uid="{00000000-0005-0000-0000-0000C90D0000}"/>
    <cellStyle name="통화 [0] 8 4 5" xfId="5121" xr:uid="{00000000-0005-0000-0000-0000C60D0000}"/>
    <cellStyle name="통화 [0] 8 4 5 2" xfId="6202" xr:uid="{00000000-0005-0000-0000-0000C60D0000}"/>
    <cellStyle name="통화 [0] 8 4 6" xfId="5659" xr:uid="{00000000-0005-0000-0000-0000C60D0000}"/>
    <cellStyle name="통화 [0] 8 5" xfId="3533" xr:uid="{00000000-0005-0000-0000-0000CA0D0000}"/>
    <cellStyle name="통화 [0] 8 5 2" xfId="3534" xr:uid="{00000000-0005-0000-0000-0000CB0D0000}"/>
    <cellStyle name="통화 [0] 8 5 2 2" xfId="5126" xr:uid="{00000000-0005-0000-0000-0000CB0D0000}"/>
    <cellStyle name="통화 [0] 8 5 2 2 2" xfId="6207" xr:uid="{00000000-0005-0000-0000-0000CB0D0000}"/>
    <cellStyle name="통화 [0] 8 5 2 3" xfId="5664" xr:uid="{00000000-0005-0000-0000-0000CB0D0000}"/>
    <cellStyle name="통화 [0] 8 5 3" xfId="3535" xr:uid="{00000000-0005-0000-0000-0000CC0D0000}"/>
    <cellStyle name="통화 [0] 8 5 3 2" xfId="5127" xr:uid="{00000000-0005-0000-0000-0000CC0D0000}"/>
    <cellStyle name="통화 [0] 8 5 3 2 2" xfId="6208" xr:uid="{00000000-0005-0000-0000-0000CC0D0000}"/>
    <cellStyle name="통화 [0] 8 5 3 3" xfId="5665" xr:uid="{00000000-0005-0000-0000-0000CC0D0000}"/>
    <cellStyle name="통화 [0] 8 5 4" xfId="3536" xr:uid="{00000000-0005-0000-0000-0000CD0D0000}"/>
    <cellStyle name="통화 [0] 8 5 4 2" xfId="5128" xr:uid="{00000000-0005-0000-0000-0000CD0D0000}"/>
    <cellStyle name="통화 [0] 8 5 4 2 2" xfId="6209" xr:uid="{00000000-0005-0000-0000-0000CD0D0000}"/>
    <cellStyle name="통화 [0] 8 5 4 3" xfId="5666" xr:uid="{00000000-0005-0000-0000-0000CD0D0000}"/>
    <cellStyle name="통화 [0] 8 5 5" xfId="5125" xr:uid="{00000000-0005-0000-0000-0000CA0D0000}"/>
    <cellStyle name="통화 [0] 8 5 5 2" xfId="6206" xr:uid="{00000000-0005-0000-0000-0000CA0D0000}"/>
    <cellStyle name="통화 [0] 8 5 6" xfId="5663" xr:uid="{00000000-0005-0000-0000-0000CA0D0000}"/>
    <cellStyle name="통화 [0] 8 6" xfId="3537" xr:uid="{00000000-0005-0000-0000-0000CE0D0000}"/>
    <cellStyle name="통화 [0] 8 6 2" xfId="3538" xr:uid="{00000000-0005-0000-0000-0000CF0D0000}"/>
    <cellStyle name="통화 [0] 8 6 2 2" xfId="5130" xr:uid="{00000000-0005-0000-0000-0000CF0D0000}"/>
    <cellStyle name="통화 [0] 8 6 2 2 2" xfId="6211" xr:uid="{00000000-0005-0000-0000-0000CF0D0000}"/>
    <cellStyle name="통화 [0] 8 6 2 3" xfId="5668" xr:uid="{00000000-0005-0000-0000-0000CF0D0000}"/>
    <cellStyle name="통화 [0] 8 6 3" xfId="3539" xr:uid="{00000000-0005-0000-0000-0000D00D0000}"/>
    <cellStyle name="통화 [0] 8 6 3 2" xfId="5131" xr:uid="{00000000-0005-0000-0000-0000D00D0000}"/>
    <cellStyle name="통화 [0] 8 6 3 2 2" xfId="6212" xr:uid="{00000000-0005-0000-0000-0000D00D0000}"/>
    <cellStyle name="통화 [0] 8 6 3 3" xfId="5669" xr:uid="{00000000-0005-0000-0000-0000D00D0000}"/>
    <cellStyle name="통화 [0] 8 6 4" xfId="3540" xr:uid="{00000000-0005-0000-0000-0000D10D0000}"/>
    <cellStyle name="통화 [0] 8 6 4 2" xfId="5132" xr:uid="{00000000-0005-0000-0000-0000D10D0000}"/>
    <cellStyle name="통화 [0] 8 6 4 2 2" xfId="6213" xr:uid="{00000000-0005-0000-0000-0000D10D0000}"/>
    <cellStyle name="통화 [0] 8 6 4 3" xfId="5670" xr:uid="{00000000-0005-0000-0000-0000D10D0000}"/>
    <cellStyle name="통화 [0] 8 6 5" xfId="5129" xr:uid="{00000000-0005-0000-0000-0000CE0D0000}"/>
    <cellStyle name="통화 [0] 8 6 5 2" xfId="6210" xr:uid="{00000000-0005-0000-0000-0000CE0D0000}"/>
    <cellStyle name="통화 [0] 8 6 6" xfId="5667" xr:uid="{00000000-0005-0000-0000-0000CE0D0000}"/>
    <cellStyle name="통화 [0] 8 7" xfId="3541" xr:uid="{00000000-0005-0000-0000-0000D20D0000}"/>
    <cellStyle name="통화 [0] 8 7 2" xfId="3542" xr:uid="{00000000-0005-0000-0000-0000D30D0000}"/>
    <cellStyle name="통화 [0] 8 7 2 2" xfId="5134" xr:uid="{00000000-0005-0000-0000-0000D30D0000}"/>
    <cellStyle name="통화 [0] 8 7 2 2 2" xfId="6215" xr:uid="{00000000-0005-0000-0000-0000D30D0000}"/>
    <cellStyle name="통화 [0] 8 7 2 3" xfId="5672" xr:uid="{00000000-0005-0000-0000-0000D30D0000}"/>
    <cellStyle name="통화 [0] 8 7 3" xfId="3543" xr:uid="{00000000-0005-0000-0000-0000D40D0000}"/>
    <cellStyle name="통화 [0] 8 7 3 2" xfId="5135" xr:uid="{00000000-0005-0000-0000-0000D40D0000}"/>
    <cellStyle name="통화 [0] 8 7 3 2 2" xfId="6216" xr:uid="{00000000-0005-0000-0000-0000D40D0000}"/>
    <cellStyle name="통화 [0] 8 7 3 3" xfId="5673" xr:uid="{00000000-0005-0000-0000-0000D40D0000}"/>
    <cellStyle name="통화 [0] 8 7 4" xfId="3544" xr:uid="{00000000-0005-0000-0000-0000D50D0000}"/>
    <cellStyle name="통화 [0] 8 7 4 2" xfId="5136" xr:uid="{00000000-0005-0000-0000-0000D50D0000}"/>
    <cellStyle name="통화 [0] 8 7 4 2 2" xfId="6217" xr:uid="{00000000-0005-0000-0000-0000D50D0000}"/>
    <cellStyle name="통화 [0] 8 7 4 3" xfId="5674" xr:uid="{00000000-0005-0000-0000-0000D50D0000}"/>
    <cellStyle name="통화 [0] 8 7 5" xfId="5133" xr:uid="{00000000-0005-0000-0000-0000D20D0000}"/>
    <cellStyle name="통화 [0] 8 7 5 2" xfId="6214" xr:uid="{00000000-0005-0000-0000-0000D20D0000}"/>
    <cellStyle name="통화 [0] 8 7 6" xfId="5671" xr:uid="{00000000-0005-0000-0000-0000D20D0000}"/>
    <cellStyle name="통화 [0] 8 8" xfId="3545" xr:uid="{00000000-0005-0000-0000-0000D60D0000}"/>
    <cellStyle name="통화 [0] 8 8 2" xfId="3546" xr:uid="{00000000-0005-0000-0000-0000D70D0000}"/>
    <cellStyle name="통화 [0] 8 8 2 2" xfId="5138" xr:uid="{00000000-0005-0000-0000-0000D70D0000}"/>
    <cellStyle name="통화 [0] 8 8 2 2 2" xfId="6219" xr:uid="{00000000-0005-0000-0000-0000D70D0000}"/>
    <cellStyle name="통화 [0] 8 8 2 3" xfId="5676" xr:uid="{00000000-0005-0000-0000-0000D70D0000}"/>
    <cellStyle name="통화 [0] 8 8 3" xfId="3547" xr:uid="{00000000-0005-0000-0000-0000D80D0000}"/>
    <cellStyle name="통화 [0] 8 8 3 2" xfId="5139" xr:uid="{00000000-0005-0000-0000-0000D80D0000}"/>
    <cellStyle name="통화 [0] 8 8 3 2 2" xfId="6220" xr:uid="{00000000-0005-0000-0000-0000D80D0000}"/>
    <cellStyle name="통화 [0] 8 8 3 3" xfId="5677" xr:uid="{00000000-0005-0000-0000-0000D80D0000}"/>
    <cellStyle name="통화 [0] 8 8 4" xfId="3548" xr:uid="{00000000-0005-0000-0000-0000D90D0000}"/>
    <cellStyle name="통화 [0] 8 8 4 2" xfId="5140" xr:uid="{00000000-0005-0000-0000-0000D90D0000}"/>
    <cellStyle name="통화 [0] 8 8 4 2 2" xfId="6221" xr:uid="{00000000-0005-0000-0000-0000D90D0000}"/>
    <cellStyle name="통화 [0] 8 8 4 3" xfId="5678" xr:uid="{00000000-0005-0000-0000-0000D90D0000}"/>
    <cellStyle name="통화 [0] 8 8 5" xfId="5137" xr:uid="{00000000-0005-0000-0000-0000D60D0000}"/>
    <cellStyle name="통화 [0] 8 8 5 2" xfId="6218" xr:uid="{00000000-0005-0000-0000-0000D60D0000}"/>
    <cellStyle name="통화 [0] 8 8 6" xfId="5675" xr:uid="{00000000-0005-0000-0000-0000D60D0000}"/>
    <cellStyle name="통화 [0] 8 9" xfId="3549" xr:uid="{00000000-0005-0000-0000-0000DA0D0000}"/>
    <cellStyle name="통화 [0] 8 9 2" xfId="3550" xr:uid="{00000000-0005-0000-0000-0000DB0D0000}"/>
    <cellStyle name="통화 [0] 8 9 2 2" xfId="5142" xr:uid="{00000000-0005-0000-0000-0000DB0D0000}"/>
    <cellStyle name="통화 [0] 8 9 2 2 2" xfId="6223" xr:uid="{00000000-0005-0000-0000-0000DB0D0000}"/>
    <cellStyle name="통화 [0] 8 9 2 3" xfId="5680" xr:uid="{00000000-0005-0000-0000-0000DB0D0000}"/>
    <cellStyle name="통화 [0] 8 9 3" xfId="3551" xr:uid="{00000000-0005-0000-0000-0000DC0D0000}"/>
    <cellStyle name="통화 [0] 8 9 3 2" xfId="5143" xr:uid="{00000000-0005-0000-0000-0000DC0D0000}"/>
    <cellStyle name="통화 [0] 8 9 3 2 2" xfId="6224" xr:uid="{00000000-0005-0000-0000-0000DC0D0000}"/>
    <cellStyle name="통화 [0] 8 9 3 3" xfId="5681" xr:uid="{00000000-0005-0000-0000-0000DC0D0000}"/>
    <cellStyle name="통화 [0] 8 9 4" xfId="3552" xr:uid="{00000000-0005-0000-0000-0000DD0D0000}"/>
    <cellStyle name="통화 [0] 8 9 4 2" xfId="5144" xr:uid="{00000000-0005-0000-0000-0000DD0D0000}"/>
    <cellStyle name="통화 [0] 8 9 4 2 2" xfId="6225" xr:uid="{00000000-0005-0000-0000-0000DD0D0000}"/>
    <cellStyle name="통화 [0] 8 9 4 3" xfId="5682" xr:uid="{00000000-0005-0000-0000-0000DD0D0000}"/>
    <cellStyle name="통화 [0] 8 9 5" xfId="5141" xr:uid="{00000000-0005-0000-0000-0000DA0D0000}"/>
    <cellStyle name="통화 [0] 8 9 5 2" xfId="6222" xr:uid="{00000000-0005-0000-0000-0000DA0D0000}"/>
    <cellStyle name="통화 [0] 8 9 6" xfId="5679" xr:uid="{00000000-0005-0000-0000-0000DA0D0000}"/>
    <cellStyle name="통화 [0] 9" xfId="3553" xr:uid="{00000000-0005-0000-0000-0000DE0D0000}"/>
    <cellStyle name="통화 [0] 9 10" xfId="3554" xr:uid="{00000000-0005-0000-0000-0000DF0D0000}"/>
    <cellStyle name="통화 [0] 9 10 2" xfId="3555" xr:uid="{00000000-0005-0000-0000-0000E00D0000}"/>
    <cellStyle name="통화 [0] 9 10 2 2" xfId="5147" xr:uid="{00000000-0005-0000-0000-0000E00D0000}"/>
    <cellStyle name="통화 [0] 9 10 2 2 2" xfId="6228" xr:uid="{00000000-0005-0000-0000-0000E00D0000}"/>
    <cellStyle name="통화 [0] 9 10 2 3" xfId="5685" xr:uid="{00000000-0005-0000-0000-0000E00D0000}"/>
    <cellStyle name="통화 [0] 9 10 3" xfId="3556" xr:uid="{00000000-0005-0000-0000-0000E10D0000}"/>
    <cellStyle name="통화 [0] 9 10 3 2" xfId="5148" xr:uid="{00000000-0005-0000-0000-0000E10D0000}"/>
    <cellStyle name="통화 [0] 9 10 3 2 2" xfId="6229" xr:uid="{00000000-0005-0000-0000-0000E10D0000}"/>
    <cellStyle name="통화 [0] 9 10 3 3" xfId="5686" xr:uid="{00000000-0005-0000-0000-0000E10D0000}"/>
    <cellStyle name="통화 [0] 9 10 4" xfId="3557" xr:uid="{00000000-0005-0000-0000-0000E20D0000}"/>
    <cellStyle name="통화 [0] 9 10 4 2" xfId="5149" xr:uid="{00000000-0005-0000-0000-0000E20D0000}"/>
    <cellStyle name="통화 [0] 9 10 4 2 2" xfId="6230" xr:uid="{00000000-0005-0000-0000-0000E20D0000}"/>
    <cellStyle name="통화 [0] 9 10 4 3" xfId="5687" xr:uid="{00000000-0005-0000-0000-0000E20D0000}"/>
    <cellStyle name="통화 [0] 9 10 5" xfId="5146" xr:uid="{00000000-0005-0000-0000-0000DF0D0000}"/>
    <cellStyle name="통화 [0] 9 10 5 2" xfId="6227" xr:uid="{00000000-0005-0000-0000-0000DF0D0000}"/>
    <cellStyle name="통화 [0] 9 10 6" xfId="5684" xr:uid="{00000000-0005-0000-0000-0000DF0D0000}"/>
    <cellStyle name="통화 [0] 9 11" xfId="3558" xr:uid="{00000000-0005-0000-0000-0000E30D0000}"/>
    <cellStyle name="통화 [0] 9 11 2" xfId="5150" xr:uid="{00000000-0005-0000-0000-0000E30D0000}"/>
    <cellStyle name="통화 [0] 9 11 2 2" xfId="6231" xr:uid="{00000000-0005-0000-0000-0000E30D0000}"/>
    <cellStyle name="통화 [0] 9 11 3" xfId="5688" xr:uid="{00000000-0005-0000-0000-0000E30D0000}"/>
    <cellStyle name="통화 [0] 9 12" xfId="3559" xr:uid="{00000000-0005-0000-0000-0000E40D0000}"/>
    <cellStyle name="통화 [0] 9 12 2" xfId="5151" xr:uid="{00000000-0005-0000-0000-0000E40D0000}"/>
    <cellStyle name="통화 [0] 9 12 2 2" xfId="6232" xr:uid="{00000000-0005-0000-0000-0000E40D0000}"/>
    <cellStyle name="통화 [0] 9 12 3" xfId="5689" xr:uid="{00000000-0005-0000-0000-0000E40D0000}"/>
    <cellStyle name="통화 [0] 9 13" xfId="3560" xr:uid="{00000000-0005-0000-0000-0000E50D0000}"/>
    <cellStyle name="통화 [0] 9 13 2" xfId="5152" xr:uid="{00000000-0005-0000-0000-0000E50D0000}"/>
    <cellStyle name="통화 [0] 9 13 2 2" xfId="6233" xr:uid="{00000000-0005-0000-0000-0000E50D0000}"/>
    <cellStyle name="통화 [0] 9 13 3" xfId="5690" xr:uid="{00000000-0005-0000-0000-0000E50D0000}"/>
    <cellStyle name="통화 [0] 9 14" xfId="5145" xr:uid="{00000000-0005-0000-0000-0000DE0D0000}"/>
    <cellStyle name="통화 [0] 9 14 2" xfId="6226" xr:uid="{00000000-0005-0000-0000-0000DE0D0000}"/>
    <cellStyle name="통화 [0] 9 15" xfId="5683" xr:uid="{00000000-0005-0000-0000-0000DE0D0000}"/>
    <cellStyle name="통화 [0] 9 2" xfId="3561" xr:uid="{00000000-0005-0000-0000-0000E60D0000}"/>
    <cellStyle name="통화 [0] 9 2 2" xfId="3562" xr:uid="{00000000-0005-0000-0000-0000E70D0000}"/>
    <cellStyle name="통화 [0] 9 2 2 2" xfId="5154" xr:uid="{00000000-0005-0000-0000-0000E70D0000}"/>
    <cellStyle name="통화 [0] 9 2 2 2 2" xfId="6235" xr:uid="{00000000-0005-0000-0000-0000E70D0000}"/>
    <cellStyle name="통화 [0] 9 2 2 3" xfId="5692" xr:uid="{00000000-0005-0000-0000-0000E70D0000}"/>
    <cellStyle name="통화 [0] 9 2 3" xfId="3563" xr:uid="{00000000-0005-0000-0000-0000E80D0000}"/>
    <cellStyle name="통화 [0] 9 2 3 2" xfId="5155" xr:uid="{00000000-0005-0000-0000-0000E80D0000}"/>
    <cellStyle name="통화 [0] 9 2 3 2 2" xfId="6236" xr:uid="{00000000-0005-0000-0000-0000E80D0000}"/>
    <cellStyle name="통화 [0] 9 2 3 3" xfId="5693" xr:uid="{00000000-0005-0000-0000-0000E80D0000}"/>
    <cellStyle name="통화 [0] 9 2 4" xfId="3564" xr:uid="{00000000-0005-0000-0000-0000E90D0000}"/>
    <cellStyle name="통화 [0] 9 2 4 2" xfId="5156" xr:uid="{00000000-0005-0000-0000-0000E90D0000}"/>
    <cellStyle name="통화 [0] 9 2 4 2 2" xfId="6237" xr:uid="{00000000-0005-0000-0000-0000E90D0000}"/>
    <cellStyle name="통화 [0] 9 2 4 3" xfId="5694" xr:uid="{00000000-0005-0000-0000-0000E90D0000}"/>
    <cellStyle name="통화 [0] 9 2 5" xfId="5153" xr:uid="{00000000-0005-0000-0000-0000E60D0000}"/>
    <cellStyle name="통화 [0] 9 2 5 2" xfId="6234" xr:uid="{00000000-0005-0000-0000-0000E60D0000}"/>
    <cellStyle name="통화 [0] 9 2 6" xfId="5691" xr:uid="{00000000-0005-0000-0000-0000E60D0000}"/>
    <cellStyle name="통화 [0] 9 3" xfId="3565" xr:uid="{00000000-0005-0000-0000-0000EA0D0000}"/>
    <cellStyle name="통화 [0] 9 3 2" xfId="3566" xr:uid="{00000000-0005-0000-0000-0000EB0D0000}"/>
    <cellStyle name="통화 [0] 9 3 2 2" xfId="5158" xr:uid="{00000000-0005-0000-0000-0000EB0D0000}"/>
    <cellStyle name="통화 [0] 9 3 2 2 2" xfId="6239" xr:uid="{00000000-0005-0000-0000-0000EB0D0000}"/>
    <cellStyle name="통화 [0] 9 3 2 3" xfId="5696" xr:uid="{00000000-0005-0000-0000-0000EB0D0000}"/>
    <cellStyle name="통화 [0] 9 3 3" xfId="3567" xr:uid="{00000000-0005-0000-0000-0000EC0D0000}"/>
    <cellStyle name="통화 [0] 9 3 3 2" xfId="5159" xr:uid="{00000000-0005-0000-0000-0000EC0D0000}"/>
    <cellStyle name="통화 [0] 9 3 3 2 2" xfId="6240" xr:uid="{00000000-0005-0000-0000-0000EC0D0000}"/>
    <cellStyle name="통화 [0] 9 3 3 3" xfId="5697" xr:uid="{00000000-0005-0000-0000-0000EC0D0000}"/>
    <cellStyle name="통화 [0] 9 3 4" xfId="3568" xr:uid="{00000000-0005-0000-0000-0000ED0D0000}"/>
    <cellStyle name="통화 [0] 9 3 4 2" xfId="5160" xr:uid="{00000000-0005-0000-0000-0000ED0D0000}"/>
    <cellStyle name="통화 [0] 9 3 4 2 2" xfId="6241" xr:uid="{00000000-0005-0000-0000-0000ED0D0000}"/>
    <cellStyle name="통화 [0] 9 3 4 3" xfId="5698" xr:uid="{00000000-0005-0000-0000-0000ED0D0000}"/>
    <cellStyle name="통화 [0] 9 3 5" xfId="5157" xr:uid="{00000000-0005-0000-0000-0000EA0D0000}"/>
    <cellStyle name="통화 [0] 9 3 5 2" xfId="6238" xr:uid="{00000000-0005-0000-0000-0000EA0D0000}"/>
    <cellStyle name="통화 [0] 9 3 6" xfId="5695" xr:uid="{00000000-0005-0000-0000-0000EA0D0000}"/>
    <cellStyle name="통화 [0] 9 4" xfId="3569" xr:uid="{00000000-0005-0000-0000-0000EE0D0000}"/>
    <cellStyle name="통화 [0] 9 4 2" xfId="3570" xr:uid="{00000000-0005-0000-0000-0000EF0D0000}"/>
    <cellStyle name="통화 [0] 9 4 2 2" xfId="5162" xr:uid="{00000000-0005-0000-0000-0000EF0D0000}"/>
    <cellStyle name="통화 [0] 9 4 2 2 2" xfId="6243" xr:uid="{00000000-0005-0000-0000-0000EF0D0000}"/>
    <cellStyle name="통화 [0] 9 4 2 3" xfId="5700" xr:uid="{00000000-0005-0000-0000-0000EF0D0000}"/>
    <cellStyle name="통화 [0] 9 4 3" xfId="3571" xr:uid="{00000000-0005-0000-0000-0000F00D0000}"/>
    <cellStyle name="통화 [0] 9 4 3 2" xfId="5163" xr:uid="{00000000-0005-0000-0000-0000F00D0000}"/>
    <cellStyle name="통화 [0] 9 4 3 2 2" xfId="6244" xr:uid="{00000000-0005-0000-0000-0000F00D0000}"/>
    <cellStyle name="통화 [0] 9 4 3 3" xfId="5701" xr:uid="{00000000-0005-0000-0000-0000F00D0000}"/>
    <cellStyle name="통화 [0] 9 4 4" xfId="3572" xr:uid="{00000000-0005-0000-0000-0000F10D0000}"/>
    <cellStyle name="통화 [0] 9 4 4 2" xfId="5164" xr:uid="{00000000-0005-0000-0000-0000F10D0000}"/>
    <cellStyle name="통화 [0] 9 4 4 2 2" xfId="6245" xr:uid="{00000000-0005-0000-0000-0000F10D0000}"/>
    <cellStyle name="통화 [0] 9 4 4 3" xfId="5702" xr:uid="{00000000-0005-0000-0000-0000F10D0000}"/>
    <cellStyle name="통화 [0] 9 4 5" xfId="5161" xr:uid="{00000000-0005-0000-0000-0000EE0D0000}"/>
    <cellStyle name="통화 [0] 9 4 5 2" xfId="6242" xr:uid="{00000000-0005-0000-0000-0000EE0D0000}"/>
    <cellStyle name="통화 [0] 9 4 6" xfId="5699" xr:uid="{00000000-0005-0000-0000-0000EE0D0000}"/>
    <cellStyle name="통화 [0] 9 5" xfId="3573" xr:uid="{00000000-0005-0000-0000-0000F20D0000}"/>
    <cellStyle name="통화 [0] 9 5 2" xfId="3574" xr:uid="{00000000-0005-0000-0000-0000F30D0000}"/>
    <cellStyle name="통화 [0] 9 5 2 2" xfId="5166" xr:uid="{00000000-0005-0000-0000-0000F30D0000}"/>
    <cellStyle name="통화 [0] 9 5 2 2 2" xfId="6247" xr:uid="{00000000-0005-0000-0000-0000F30D0000}"/>
    <cellStyle name="통화 [0] 9 5 2 3" xfId="5704" xr:uid="{00000000-0005-0000-0000-0000F30D0000}"/>
    <cellStyle name="통화 [0] 9 5 3" xfId="3575" xr:uid="{00000000-0005-0000-0000-0000F40D0000}"/>
    <cellStyle name="통화 [0] 9 5 3 2" xfId="5167" xr:uid="{00000000-0005-0000-0000-0000F40D0000}"/>
    <cellStyle name="통화 [0] 9 5 3 2 2" xfId="6248" xr:uid="{00000000-0005-0000-0000-0000F40D0000}"/>
    <cellStyle name="통화 [0] 9 5 3 3" xfId="5705" xr:uid="{00000000-0005-0000-0000-0000F40D0000}"/>
    <cellStyle name="통화 [0] 9 5 4" xfId="3576" xr:uid="{00000000-0005-0000-0000-0000F50D0000}"/>
    <cellStyle name="통화 [0] 9 5 4 2" xfId="5168" xr:uid="{00000000-0005-0000-0000-0000F50D0000}"/>
    <cellStyle name="통화 [0] 9 5 4 2 2" xfId="6249" xr:uid="{00000000-0005-0000-0000-0000F50D0000}"/>
    <cellStyle name="통화 [0] 9 5 4 3" xfId="5706" xr:uid="{00000000-0005-0000-0000-0000F50D0000}"/>
    <cellStyle name="통화 [0] 9 5 5" xfId="5165" xr:uid="{00000000-0005-0000-0000-0000F20D0000}"/>
    <cellStyle name="통화 [0] 9 5 5 2" xfId="6246" xr:uid="{00000000-0005-0000-0000-0000F20D0000}"/>
    <cellStyle name="통화 [0] 9 5 6" xfId="5703" xr:uid="{00000000-0005-0000-0000-0000F20D0000}"/>
    <cellStyle name="통화 [0] 9 6" xfId="3577" xr:uid="{00000000-0005-0000-0000-0000F60D0000}"/>
    <cellStyle name="통화 [0] 9 6 2" xfId="3578" xr:uid="{00000000-0005-0000-0000-0000F70D0000}"/>
    <cellStyle name="통화 [0] 9 6 2 2" xfId="5170" xr:uid="{00000000-0005-0000-0000-0000F70D0000}"/>
    <cellStyle name="통화 [0] 9 6 2 2 2" xfId="6251" xr:uid="{00000000-0005-0000-0000-0000F70D0000}"/>
    <cellStyle name="통화 [0] 9 6 2 3" xfId="5708" xr:uid="{00000000-0005-0000-0000-0000F70D0000}"/>
    <cellStyle name="통화 [0] 9 6 3" xfId="3579" xr:uid="{00000000-0005-0000-0000-0000F80D0000}"/>
    <cellStyle name="통화 [0] 9 6 3 2" xfId="5171" xr:uid="{00000000-0005-0000-0000-0000F80D0000}"/>
    <cellStyle name="통화 [0] 9 6 3 2 2" xfId="6252" xr:uid="{00000000-0005-0000-0000-0000F80D0000}"/>
    <cellStyle name="통화 [0] 9 6 3 3" xfId="5709" xr:uid="{00000000-0005-0000-0000-0000F80D0000}"/>
    <cellStyle name="통화 [0] 9 6 4" xfId="3580" xr:uid="{00000000-0005-0000-0000-0000F90D0000}"/>
    <cellStyle name="통화 [0] 9 6 4 2" xfId="5172" xr:uid="{00000000-0005-0000-0000-0000F90D0000}"/>
    <cellStyle name="통화 [0] 9 6 4 2 2" xfId="6253" xr:uid="{00000000-0005-0000-0000-0000F90D0000}"/>
    <cellStyle name="통화 [0] 9 6 4 3" xfId="5710" xr:uid="{00000000-0005-0000-0000-0000F90D0000}"/>
    <cellStyle name="통화 [0] 9 6 5" xfId="5169" xr:uid="{00000000-0005-0000-0000-0000F60D0000}"/>
    <cellStyle name="통화 [0] 9 6 5 2" xfId="6250" xr:uid="{00000000-0005-0000-0000-0000F60D0000}"/>
    <cellStyle name="통화 [0] 9 6 6" xfId="5707" xr:uid="{00000000-0005-0000-0000-0000F60D0000}"/>
    <cellStyle name="통화 [0] 9 7" xfId="3581" xr:uid="{00000000-0005-0000-0000-0000FA0D0000}"/>
    <cellStyle name="통화 [0] 9 7 2" xfId="3582" xr:uid="{00000000-0005-0000-0000-0000FB0D0000}"/>
    <cellStyle name="통화 [0] 9 7 2 2" xfId="5174" xr:uid="{00000000-0005-0000-0000-0000FB0D0000}"/>
    <cellStyle name="통화 [0] 9 7 2 2 2" xfId="6255" xr:uid="{00000000-0005-0000-0000-0000FB0D0000}"/>
    <cellStyle name="통화 [0] 9 7 2 3" xfId="5712" xr:uid="{00000000-0005-0000-0000-0000FB0D0000}"/>
    <cellStyle name="통화 [0] 9 7 3" xfId="3583" xr:uid="{00000000-0005-0000-0000-0000FC0D0000}"/>
    <cellStyle name="통화 [0] 9 7 3 2" xfId="5175" xr:uid="{00000000-0005-0000-0000-0000FC0D0000}"/>
    <cellStyle name="통화 [0] 9 7 3 2 2" xfId="6256" xr:uid="{00000000-0005-0000-0000-0000FC0D0000}"/>
    <cellStyle name="통화 [0] 9 7 3 3" xfId="5713" xr:uid="{00000000-0005-0000-0000-0000FC0D0000}"/>
    <cellStyle name="통화 [0] 9 7 4" xfId="3584" xr:uid="{00000000-0005-0000-0000-0000FD0D0000}"/>
    <cellStyle name="통화 [0] 9 7 4 2" xfId="5176" xr:uid="{00000000-0005-0000-0000-0000FD0D0000}"/>
    <cellStyle name="통화 [0] 9 7 4 2 2" xfId="6257" xr:uid="{00000000-0005-0000-0000-0000FD0D0000}"/>
    <cellStyle name="통화 [0] 9 7 4 3" xfId="5714" xr:uid="{00000000-0005-0000-0000-0000FD0D0000}"/>
    <cellStyle name="통화 [0] 9 7 5" xfId="5173" xr:uid="{00000000-0005-0000-0000-0000FA0D0000}"/>
    <cellStyle name="통화 [0] 9 7 5 2" xfId="6254" xr:uid="{00000000-0005-0000-0000-0000FA0D0000}"/>
    <cellStyle name="통화 [0] 9 7 6" xfId="5711" xr:uid="{00000000-0005-0000-0000-0000FA0D0000}"/>
    <cellStyle name="통화 [0] 9 8" xfId="3585" xr:uid="{00000000-0005-0000-0000-0000FE0D0000}"/>
    <cellStyle name="통화 [0] 9 8 2" xfId="3586" xr:uid="{00000000-0005-0000-0000-0000FF0D0000}"/>
    <cellStyle name="통화 [0] 9 8 2 2" xfId="5178" xr:uid="{00000000-0005-0000-0000-0000FF0D0000}"/>
    <cellStyle name="통화 [0] 9 8 2 2 2" xfId="6259" xr:uid="{00000000-0005-0000-0000-0000FF0D0000}"/>
    <cellStyle name="통화 [0] 9 8 2 3" xfId="5716" xr:uid="{00000000-0005-0000-0000-0000FF0D0000}"/>
    <cellStyle name="통화 [0] 9 8 3" xfId="3587" xr:uid="{00000000-0005-0000-0000-0000000E0000}"/>
    <cellStyle name="통화 [0] 9 8 3 2" xfId="5179" xr:uid="{00000000-0005-0000-0000-0000000E0000}"/>
    <cellStyle name="통화 [0] 9 8 3 2 2" xfId="6260" xr:uid="{00000000-0005-0000-0000-0000000E0000}"/>
    <cellStyle name="통화 [0] 9 8 3 3" xfId="5717" xr:uid="{00000000-0005-0000-0000-0000000E0000}"/>
    <cellStyle name="통화 [0] 9 8 4" xfId="3588" xr:uid="{00000000-0005-0000-0000-0000010E0000}"/>
    <cellStyle name="통화 [0] 9 8 4 2" xfId="5180" xr:uid="{00000000-0005-0000-0000-0000010E0000}"/>
    <cellStyle name="통화 [0] 9 8 4 2 2" xfId="6261" xr:uid="{00000000-0005-0000-0000-0000010E0000}"/>
    <cellStyle name="통화 [0] 9 8 4 3" xfId="5718" xr:uid="{00000000-0005-0000-0000-0000010E0000}"/>
    <cellStyle name="통화 [0] 9 8 5" xfId="5177" xr:uid="{00000000-0005-0000-0000-0000FE0D0000}"/>
    <cellStyle name="통화 [0] 9 8 5 2" xfId="6258" xr:uid="{00000000-0005-0000-0000-0000FE0D0000}"/>
    <cellStyle name="통화 [0] 9 8 6" xfId="5715" xr:uid="{00000000-0005-0000-0000-0000FE0D0000}"/>
    <cellStyle name="통화 [0] 9 9" xfId="3589" xr:uid="{00000000-0005-0000-0000-0000020E0000}"/>
    <cellStyle name="통화 [0] 9 9 2" xfId="3590" xr:uid="{00000000-0005-0000-0000-0000030E0000}"/>
    <cellStyle name="통화 [0] 9 9 2 2" xfId="5182" xr:uid="{00000000-0005-0000-0000-0000030E0000}"/>
    <cellStyle name="통화 [0] 9 9 2 2 2" xfId="6263" xr:uid="{00000000-0005-0000-0000-0000030E0000}"/>
    <cellStyle name="통화 [0] 9 9 2 3" xfId="5720" xr:uid="{00000000-0005-0000-0000-0000030E0000}"/>
    <cellStyle name="통화 [0] 9 9 3" xfId="3591" xr:uid="{00000000-0005-0000-0000-0000040E0000}"/>
    <cellStyle name="통화 [0] 9 9 3 2" xfId="5183" xr:uid="{00000000-0005-0000-0000-0000040E0000}"/>
    <cellStyle name="통화 [0] 9 9 3 2 2" xfId="6264" xr:uid="{00000000-0005-0000-0000-0000040E0000}"/>
    <cellStyle name="통화 [0] 9 9 3 3" xfId="5721" xr:uid="{00000000-0005-0000-0000-0000040E0000}"/>
    <cellStyle name="통화 [0] 9 9 4" xfId="3592" xr:uid="{00000000-0005-0000-0000-0000050E0000}"/>
    <cellStyle name="통화 [0] 9 9 4 2" xfId="5184" xr:uid="{00000000-0005-0000-0000-0000050E0000}"/>
    <cellStyle name="통화 [0] 9 9 4 2 2" xfId="6265" xr:uid="{00000000-0005-0000-0000-0000050E0000}"/>
    <cellStyle name="통화 [0] 9 9 4 3" xfId="5722" xr:uid="{00000000-0005-0000-0000-0000050E0000}"/>
    <cellStyle name="통화 [0] 9 9 5" xfId="5181" xr:uid="{00000000-0005-0000-0000-0000020E0000}"/>
    <cellStyle name="통화 [0] 9 9 5 2" xfId="6262" xr:uid="{00000000-0005-0000-0000-0000020E0000}"/>
    <cellStyle name="통화 [0] 9 9 6" xfId="5719" xr:uid="{00000000-0005-0000-0000-0000020E0000}"/>
    <cellStyle name="통화갑지(토탈)_1" xfId="3593" xr:uid="{00000000-0005-0000-0000-0000060E0000}"/>
    <cellStyle name="퍼센트" xfId="3594" xr:uid="{00000000-0005-0000-0000-0000070E0000}"/>
    <cellStyle name="퍼센트 2" xfId="3595" xr:uid="{00000000-0005-0000-0000-0000080E0000}"/>
    <cellStyle name="퍼센트 3" xfId="3596" xr:uid="{00000000-0005-0000-0000-0000090E0000}"/>
    <cellStyle name="표준" xfId="0" builtinId="0"/>
    <cellStyle name="표준 10" xfId="3597" xr:uid="{00000000-0005-0000-0000-00000B0E0000}"/>
    <cellStyle name="표준 10 10" xfId="3598" xr:uid="{00000000-0005-0000-0000-00000C0E0000}"/>
    <cellStyle name="표준 10 10 2" xfId="3599" xr:uid="{00000000-0005-0000-0000-00000D0E0000}"/>
    <cellStyle name="표준 10 10 3" xfId="3600" xr:uid="{00000000-0005-0000-0000-00000E0E0000}"/>
    <cellStyle name="표준 10 10 4" xfId="3601" xr:uid="{00000000-0005-0000-0000-00000F0E0000}"/>
    <cellStyle name="표준 10 10 5" xfId="3602" xr:uid="{00000000-0005-0000-0000-0000100E0000}"/>
    <cellStyle name="표준 10 11" xfId="3603" xr:uid="{00000000-0005-0000-0000-0000110E0000}"/>
    <cellStyle name="표준 10 11 2" xfId="3604" xr:uid="{00000000-0005-0000-0000-0000120E0000}"/>
    <cellStyle name="표준 10 11 3" xfId="3605" xr:uid="{00000000-0005-0000-0000-0000130E0000}"/>
    <cellStyle name="표준 10 11 4" xfId="3606" xr:uid="{00000000-0005-0000-0000-0000140E0000}"/>
    <cellStyle name="표준 10 11 5" xfId="3607" xr:uid="{00000000-0005-0000-0000-0000150E0000}"/>
    <cellStyle name="표준 10 12" xfId="3608" xr:uid="{00000000-0005-0000-0000-0000160E0000}"/>
    <cellStyle name="표준 10 12 2" xfId="3609" xr:uid="{00000000-0005-0000-0000-0000170E0000}"/>
    <cellStyle name="표준 10 12 3" xfId="3610" xr:uid="{00000000-0005-0000-0000-0000180E0000}"/>
    <cellStyle name="표준 10 12 4" xfId="3611" xr:uid="{00000000-0005-0000-0000-0000190E0000}"/>
    <cellStyle name="표준 10 12_1.부동산행정정보일원화 12년사업 내역서-1_5" xfId="3612" xr:uid="{00000000-0005-0000-0000-00001A0E0000}"/>
    <cellStyle name="표준 10 13" xfId="3613" xr:uid="{00000000-0005-0000-0000-00001B0E0000}"/>
    <cellStyle name="표준 10 13 2" xfId="3614" xr:uid="{00000000-0005-0000-0000-00001C0E0000}"/>
    <cellStyle name="표준 10 13 3" xfId="3615" xr:uid="{00000000-0005-0000-0000-00001D0E0000}"/>
    <cellStyle name="표준 10 13 4" xfId="3616" xr:uid="{00000000-0005-0000-0000-00001E0E0000}"/>
    <cellStyle name="표준 10 13_1.부동산행정정보일원화 12년사업 내역서-1_5" xfId="3617" xr:uid="{00000000-0005-0000-0000-00001F0E0000}"/>
    <cellStyle name="표준 10 14" xfId="3618" xr:uid="{00000000-0005-0000-0000-0000200E0000}"/>
    <cellStyle name="표준 10 14 2" xfId="3619" xr:uid="{00000000-0005-0000-0000-0000210E0000}"/>
    <cellStyle name="표준 10 14 3" xfId="3620" xr:uid="{00000000-0005-0000-0000-0000220E0000}"/>
    <cellStyle name="표준 10 14 4" xfId="3621" xr:uid="{00000000-0005-0000-0000-0000230E0000}"/>
    <cellStyle name="표준 10 14_1.부동산행정정보일원화 12년사업 내역서-1_5" xfId="3622" xr:uid="{00000000-0005-0000-0000-0000240E0000}"/>
    <cellStyle name="표준 10 15" xfId="3623" xr:uid="{00000000-0005-0000-0000-0000250E0000}"/>
    <cellStyle name="표준 10 15 2" xfId="3624" xr:uid="{00000000-0005-0000-0000-0000260E0000}"/>
    <cellStyle name="표준 10 15 3" xfId="3625" xr:uid="{00000000-0005-0000-0000-0000270E0000}"/>
    <cellStyle name="표준 10 15 4" xfId="3626" xr:uid="{00000000-0005-0000-0000-0000280E0000}"/>
    <cellStyle name="표준 10 15_1.부동산행정정보일원화 12년사업 내역서-1_5" xfId="3627" xr:uid="{00000000-0005-0000-0000-0000290E0000}"/>
    <cellStyle name="표준 10 16" xfId="3628" xr:uid="{00000000-0005-0000-0000-00002A0E0000}"/>
    <cellStyle name="표준 10 16 2" xfId="3629" xr:uid="{00000000-0005-0000-0000-00002B0E0000}"/>
    <cellStyle name="표준 10 16 3" xfId="3630" xr:uid="{00000000-0005-0000-0000-00002C0E0000}"/>
    <cellStyle name="표준 10 16 4" xfId="3631" xr:uid="{00000000-0005-0000-0000-00002D0E0000}"/>
    <cellStyle name="표준 10 16_1.부동산행정정보일원화 12년사업 내역서-1_5" xfId="3632" xr:uid="{00000000-0005-0000-0000-00002E0E0000}"/>
    <cellStyle name="표준 10 17" xfId="3633" xr:uid="{00000000-0005-0000-0000-00002F0E0000}"/>
    <cellStyle name="표준 10 17 2" xfId="3634" xr:uid="{00000000-0005-0000-0000-0000300E0000}"/>
    <cellStyle name="표준 10 17 3" xfId="3635" xr:uid="{00000000-0005-0000-0000-0000310E0000}"/>
    <cellStyle name="표준 10 17 4" xfId="3636" xr:uid="{00000000-0005-0000-0000-0000320E0000}"/>
    <cellStyle name="표준 10 17_1.부동산행정정보일원화 12년사업 내역서-1_5" xfId="3637" xr:uid="{00000000-0005-0000-0000-0000330E0000}"/>
    <cellStyle name="표준 10 18" xfId="3638" xr:uid="{00000000-0005-0000-0000-0000340E0000}"/>
    <cellStyle name="표준 10 18 2" xfId="3639" xr:uid="{00000000-0005-0000-0000-0000350E0000}"/>
    <cellStyle name="표준 10 18 3" xfId="3640" xr:uid="{00000000-0005-0000-0000-0000360E0000}"/>
    <cellStyle name="표준 10 18 4" xfId="3641" xr:uid="{00000000-0005-0000-0000-0000370E0000}"/>
    <cellStyle name="표준 10 18_1.부동산행정정보일원화 12년사업 내역서-1_5" xfId="3642" xr:uid="{00000000-0005-0000-0000-0000380E0000}"/>
    <cellStyle name="표준 10 19" xfId="3643" xr:uid="{00000000-0005-0000-0000-0000390E0000}"/>
    <cellStyle name="표준 10 19 2" xfId="3644" xr:uid="{00000000-0005-0000-0000-00003A0E0000}"/>
    <cellStyle name="표준 10 19 3" xfId="3645" xr:uid="{00000000-0005-0000-0000-00003B0E0000}"/>
    <cellStyle name="표준 10 19 4" xfId="3646" xr:uid="{00000000-0005-0000-0000-00003C0E0000}"/>
    <cellStyle name="표준 10 19_1.부동산행정정보일원화 12년사업 내역서-1_5" xfId="3647" xr:uid="{00000000-0005-0000-0000-00003D0E0000}"/>
    <cellStyle name="표준 10 2" xfId="3648" xr:uid="{00000000-0005-0000-0000-00003E0E0000}"/>
    <cellStyle name="표준 10 2 2" xfId="3649" xr:uid="{00000000-0005-0000-0000-00003F0E0000}"/>
    <cellStyle name="표준 10 2 3" xfId="3650" xr:uid="{00000000-0005-0000-0000-0000400E0000}"/>
    <cellStyle name="표준 10 2 4" xfId="3651" xr:uid="{00000000-0005-0000-0000-0000410E0000}"/>
    <cellStyle name="표준 10 2 5" xfId="3652" xr:uid="{00000000-0005-0000-0000-0000420E0000}"/>
    <cellStyle name="표준 10 20" xfId="3653" xr:uid="{00000000-0005-0000-0000-0000430E0000}"/>
    <cellStyle name="표준 10 20 2" xfId="3654" xr:uid="{00000000-0005-0000-0000-0000440E0000}"/>
    <cellStyle name="표준 10 20 3" xfId="3655" xr:uid="{00000000-0005-0000-0000-0000450E0000}"/>
    <cellStyle name="표준 10 20 4" xfId="3656" xr:uid="{00000000-0005-0000-0000-0000460E0000}"/>
    <cellStyle name="표준 10 20_1.부동산행정정보일원화 12년사업 내역서-1_5" xfId="3657" xr:uid="{00000000-0005-0000-0000-0000470E0000}"/>
    <cellStyle name="표준 10 21" xfId="3658" xr:uid="{00000000-0005-0000-0000-0000480E0000}"/>
    <cellStyle name="표준 10 22" xfId="3659" xr:uid="{00000000-0005-0000-0000-0000490E0000}"/>
    <cellStyle name="표준 10 23" xfId="3660" xr:uid="{00000000-0005-0000-0000-00004A0E0000}"/>
    <cellStyle name="표준 10 24" xfId="3661" xr:uid="{00000000-0005-0000-0000-00004B0E0000}"/>
    <cellStyle name="표준 10 25" xfId="3662" xr:uid="{00000000-0005-0000-0000-00004C0E0000}"/>
    <cellStyle name="표준 10 26" xfId="3663" xr:uid="{00000000-0005-0000-0000-00004D0E0000}"/>
    <cellStyle name="표준 10 27" xfId="3664" xr:uid="{00000000-0005-0000-0000-00004E0E0000}"/>
    <cellStyle name="표준 10 28" xfId="3665" xr:uid="{00000000-0005-0000-0000-00004F0E0000}"/>
    <cellStyle name="표준 10 29" xfId="3666" xr:uid="{00000000-0005-0000-0000-0000500E0000}"/>
    <cellStyle name="표준 10 3" xfId="3667" xr:uid="{00000000-0005-0000-0000-0000510E0000}"/>
    <cellStyle name="표준 10 3 2" xfId="3668" xr:uid="{00000000-0005-0000-0000-0000520E0000}"/>
    <cellStyle name="표준 10 3 3" xfId="3669" xr:uid="{00000000-0005-0000-0000-0000530E0000}"/>
    <cellStyle name="표준 10 3 4" xfId="3670" xr:uid="{00000000-0005-0000-0000-0000540E0000}"/>
    <cellStyle name="표준 10 3 5" xfId="3671" xr:uid="{00000000-0005-0000-0000-0000550E0000}"/>
    <cellStyle name="표준 10 30" xfId="3672" xr:uid="{00000000-0005-0000-0000-0000560E0000}"/>
    <cellStyle name="표준 10 31" xfId="3673" xr:uid="{00000000-0005-0000-0000-0000570E0000}"/>
    <cellStyle name="표준 10 32" xfId="3674" xr:uid="{00000000-0005-0000-0000-0000580E0000}"/>
    <cellStyle name="표준 10 33" xfId="3675" xr:uid="{00000000-0005-0000-0000-0000590E0000}"/>
    <cellStyle name="표준 10 34" xfId="3676" xr:uid="{00000000-0005-0000-0000-00005A0E0000}"/>
    <cellStyle name="표준 10 35" xfId="3677" xr:uid="{00000000-0005-0000-0000-00005B0E0000}"/>
    <cellStyle name="표준 10 36" xfId="3678" xr:uid="{00000000-0005-0000-0000-00005C0E0000}"/>
    <cellStyle name="표준 10 37" xfId="3679" xr:uid="{00000000-0005-0000-0000-00005D0E0000}"/>
    <cellStyle name="표준 10 38" xfId="3680" xr:uid="{00000000-0005-0000-0000-00005E0E0000}"/>
    <cellStyle name="표준 10 39" xfId="3681" xr:uid="{00000000-0005-0000-0000-00005F0E0000}"/>
    <cellStyle name="표준 10 4" xfId="3682" xr:uid="{00000000-0005-0000-0000-0000600E0000}"/>
    <cellStyle name="표준 10 4 2" xfId="3683" xr:uid="{00000000-0005-0000-0000-0000610E0000}"/>
    <cellStyle name="표준 10 4 3" xfId="3684" xr:uid="{00000000-0005-0000-0000-0000620E0000}"/>
    <cellStyle name="표준 10 4 4" xfId="3685" xr:uid="{00000000-0005-0000-0000-0000630E0000}"/>
    <cellStyle name="표준 10 4 5" xfId="3686" xr:uid="{00000000-0005-0000-0000-0000640E0000}"/>
    <cellStyle name="표준 10 40" xfId="3687" xr:uid="{00000000-0005-0000-0000-0000650E0000}"/>
    <cellStyle name="표준 10 41" xfId="3688" xr:uid="{00000000-0005-0000-0000-0000660E0000}"/>
    <cellStyle name="표준 10 42" xfId="3689" xr:uid="{00000000-0005-0000-0000-0000670E0000}"/>
    <cellStyle name="표준 10 43" xfId="3690" xr:uid="{00000000-0005-0000-0000-0000680E0000}"/>
    <cellStyle name="표준 10 44" xfId="3691" xr:uid="{00000000-0005-0000-0000-0000690E0000}"/>
    <cellStyle name="표준 10 45" xfId="3692" xr:uid="{00000000-0005-0000-0000-00006A0E0000}"/>
    <cellStyle name="표준 10 46" xfId="3693" xr:uid="{00000000-0005-0000-0000-00006B0E0000}"/>
    <cellStyle name="표준 10 47" xfId="3694" xr:uid="{00000000-0005-0000-0000-00006C0E0000}"/>
    <cellStyle name="표준 10 48" xfId="3695" xr:uid="{00000000-0005-0000-0000-00006D0E0000}"/>
    <cellStyle name="표준 10 49" xfId="3696" xr:uid="{00000000-0005-0000-0000-00006E0E0000}"/>
    <cellStyle name="표준 10 5" xfId="3697" xr:uid="{00000000-0005-0000-0000-00006F0E0000}"/>
    <cellStyle name="표준 10 5 2" xfId="3698" xr:uid="{00000000-0005-0000-0000-0000700E0000}"/>
    <cellStyle name="표준 10 5 3" xfId="3699" xr:uid="{00000000-0005-0000-0000-0000710E0000}"/>
    <cellStyle name="표준 10 5 4" xfId="3700" xr:uid="{00000000-0005-0000-0000-0000720E0000}"/>
    <cellStyle name="표준 10 5 5" xfId="3701" xr:uid="{00000000-0005-0000-0000-0000730E0000}"/>
    <cellStyle name="표준 10 50" xfId="4595" xr:uid="{9069ED85-14C7-49E1-B6CF-F347699F1C2F}"/>
    <cellStyle name="표준 10 6" xfId="3702" xr:uid="{00000000-0005-0000-0000-0000740E0000}"/>
    <cellStyle name="표준 10 6 2" xfId="3703" xr:uid="{00000000-0005-0000-0000-0000750E0000}"/>
    <cellStyle name="표준 10 6 3" xfId="3704" xr:uid="{00000000-0005-0000-0000-0000760E0000}"/>
    <cellStyle name="표준 10 6 4" xfId="3705" xr:uid="{00000000-0005-0000-0000-0000770E0000}"/>
    <cellStyle name="표준 10 6 5" xfId="3706" xr:uid="{00000000-0005-0000-0000-0000780E0000}"/>
    <cellStyle name="표준 10 7" xfId="3707" xr:uid="{00000000-0005-0000-0000-0000790E0000}"/>
    <cellStyle name="표준 10 7 2" xfId="3708" xr:uid="{00000000-0005-0000-0000-00007A0E0000}"/>
    <cellStyle name="표준 10 7 3" xfId="3709" xr:uid="{00000000-0005-0000-0000-00007B0E0000}"/>
    <cellStyle name="표준 10 7 4" xfId="3710" xr:uid="{00000000-0005-0000-0000-00007C0E0000}"/>
    <cellStyle name="표준 10 7 5" xfId="3711" xr:uid="{00000000-0005-0000-0000-00007D0E0000}"/>
    <cellStyle name="표준 10 8" xfId="3712" xr:uid="{00000000-0005-0000-0000-00007E0E0000}"/>
    <cellStyle name="표준 10 8 2" xfId="3713" xr:uid="{00000000-0005-0000-0000-00007F0E0000}"/>
    <cellStyle name="표준 10 8 3" xfId="3714" xr:uid="{00000000-0005-0000-0000-0000800E0000}"/>
    <cellStyle name="표준 10 8 4" xfId="3715" xr:uid="{00000000-0005-0000-0000-0000810E0000}"/>
    <cellStyle name="표준 10 8 5" xfId="3716" xr:uid="{00000000-0005-0000-0000-0000820E0000}"/>
    <cellStyle name="표준 10 9" xfId="3717" xr:uid="{00000000-0005-0000-0000-0000830E0000}"/>
    <cellStyle name="표준 10 9 2" xfId="3718" xr:uid="{00000000-0005-0000-0000-0000840E0000}"/>
    <cellStyle name="표준 10 9 3" xfId="3719" xr:uid="{00000000-0005-0000-0000-0000850E0000}"/>
    <cellStyle name="표준 10 9 4" xfId="3720" xr:uid="{00000000-0005-0000-0000-0000860E0000}"/>
    <cellStyle name="표준 10 9 5" xfId="3721" xr:uid="{00000000-0005-0000-0000-0000870E0000}"/>
    <cellStyle name="표준 10_★ (KLIS2009_설계내역서)설계내역Version2.1_국토부0204-2안" xfId="3722" xr:uid="{00000000-0005-0000-0000-0000880E0000}"/>
    <cellStyle name="표준 11" xfId="3723" xr:uid="{00000000-0005-0000-0000-0000890E0000}"/>
    <cellStyle name="표준 11 2" xfId="3724" xr:uid="{00000000-0005-0000-0000-00008A0E0000}"/>
    <cellStyle name="표준 11 3" xfId="3725" xr:uid="{00000000-0005-0000-0000-00008B0E0000}"/>
    <cellStyle name="표준 11 4" xfId="3726" xr:uid="{00000000-0005-0000-0000-00008C0E0000}"/>
    <cellStyle name="표준 11 5" xfId="3727" xr:uid="{00000000-0005-0000-0000-00008D0E0000}"/>
    <cellStyle name="표준 11 6" xfId="3728" xr:uid="{00000000-0005-0000-0000-00008E0E0000}"/>
    <cellStyle name="표준 11 7" xfId="3729" xr:uid="{00000000-0005-0000-0000-00008F0E0000}"/>
    <cellStyle name="표준 11 8" xfId="3730" xr:uid="{00000000-0005-0000-0000-0000900E0000}"/>
    <cellStyle name="표준 114 2" xfId="4596" xr:uid="{C3BB95B7-455A-42B6-84A9-D01A7DF88661}"/>
    <cellStyle name="표준 12" xfId="3731" xr:uid="{00000000-0005-0000-0000-0000910E0000}"/>
    <cellStyle name="표준 12 2" xfId="3732" xr:uid="{00000000-0005-0000-0000-0000920E0000}"/>
    <cellStyle name="표준 12 3" xfId="3733" xr:uid="{00000000-0005-0000-0000-0000930E0000}"/>
    <cellStyle name="표준 12 4" xfId="3734" xr:uid="{00000000-0005-0000-0000-0000940E0000}"/>
    <cellStyle name="표준 12 5" xfId="3735" xr:uid="{00000000-0005-0000-0000-0000950E0000}"/>
    <cellStyle name="표준 12 6" xfId="3736" xr:uid="{00000000-0005-0000-0000-0000960E0000}"/>
    <cellStyle name="표준 12 7" xfId="3737" xr:uid="{00000000-0005-0000-0000-0000970E0000}"/>
    <cellStyle name="표준 12 8" xfId="3738" xr:uid="{00000000-0005-0000-0000-0000980E0000}"/>
    <cellStyle name="표준 13" xfId="3739" xr:uid="{00000000-0005-0000-0000-0000990E0000}"/>
    <cellStyle name="표준 13 2" xfId="3740" xr:uid="{00000000-0005-0000-0000-00009A0E0000}"/>
    <cellStyle name="표준 13 3" xfId="3741" xr:uid="{00000000-0005-0000-0000-00009B0E0000}"/>
    <cellStyle name="표준 13 4" xfId="3742" xr:uid="{00000000-0005-0000-0000-00009C0E0000}"/>
    <cellStyle name="표준 13 5" xfId="3743" xr:uid="{00000000-0005-0000-0000-00009D0E0000}"/>
    <cellStyle name="표준 13 6" xfId="3744" xr:uid="{00000000-0005-0000-0000-00009E0E0000}"/>
    <cellStyle name="표준 13 7" xfId="3745" xr:uid="{00000000-0005-0000-0000-00009F0E0000}"/>
    <cellStyle name="표준 13 8" xfId="3746" xr:uid="{00000000-0005-0000-0000-0000A00E0000}"/>
    <cellStyle name="표준 14" xfId="3747" xr:uid="{00000000-0005-0000-0000-0000A10E0000}"/>
    <cellStyle name="표준 14 10" xfId="3748" xr:uid="{00000000-0005-0000-0000-0000A20E0000}"/>
    <cellStyle name="표준 14 10 2" xfId="3749" xr:uid="{00000000-0005-0000-0000-0000A30E0000}"/>
    <cellStyle name="표준 14 10 3" xfId="3750" xr:uid="{00000000-0005-0000-0000-0000A40E0000}"/>
    <cellStyle name="표준 14 10 4" xfId="3751" xr:uid="{00000000-0005-0000-0000-0000A50E0000}"/>
    <cellStyle name="표준 14 10_1.부동산행정정보일원화 12년사업 내역서-1_5" xfId="3752" xr:uid="{00000000-0005-0000-0000-0000A60E0000}"/>
    <cellStyle name="표준 14 11" xfId="3753" xr:uid="{00000000-0005-0000-0000-0000A70E0000}"/>
    <cellStyle name="표준 14 12" xfId="3754" xr:uid="{00000000-0005-0000-0000-0000A80E0000}"/>
    <cellStyle name="표준 14 13" xfId="3755" xr:uid="{00000000-0005-0000-0000-0000A90E0000}"/>
    <cellStyle name="표준 14 14" xfId="3756" xr:uid="{00000000-0005-0000-0000-0000AA0E0000}"/>
    <cellStyle name="표준 14 15" xfId="3757" xr:uid="{00000000-0005-0000-0000-0000AB0E0000}"/>
    <cellStyle name="표준 14 2" xfId="3758" xr:uid="{00000000-0005-0000-0000-0000AC0E0000}"/>
    <cellStyle name="표준 14 2 2" xfId="3759" xr:uid="{00000000-0005-0000-0000-0000AD0E0000}"/>
    <cellStyle name="표준 14 2 3" xfId="3760" xr:uid="{00000000-0005-0000-0000-0000AE0E0000}"/>
    <cellStyle name="표준 14 2 4" xfId="3761" xr:uid="{00000000-0005-0000-0000-0000AF0E0000}"/>
    <cellStyle name="표준 14 2_1.부동산행정정보일원화 12년사업 내역서-1_5" xfId="3762" xr:uid="{00000000-0005-0000-0000-0000B00E0000}"/>
    <cellStyle name="표준 14 3" xfId="3763" xr:uid="{00000000-0005-0000-0000-0000B10E0000}"/>
    <cellStyle name="표준 14 3 2" xfId="3764" xr:uid="{00000000-0005-0000-0000-0000B20E0000}"/>
    <cellStyle name="표준 14 3 3" xfId="3765" xr:uid="{00000000-0005-0000-0000-0000B30E0000}"/>
    <cellStyle name="표준 14 3 4" xfId="3766" xr:uid="{00000000-0005-0000-0000-0000B40E0000}"/>
    <cellStyle name="표준 14 3_1.부동산행정정보일원화 12년사업 내역서-1_5" xfId="3767" xr:uid="{00000000-0005-0000-0000-0000B50E0000}"/>
    <cellStyle name="표준 14 4" xfId="3768" xr:uid="{00000000-0005-0000-0000-0000B60E0000}"/>
    <cellStyle name="표준 14 4 2" xfId="3769" xr:uid="{00000000-0005-0000-0000-0000B70E0000}"/>
    <cellStyle name="표준 14 4 3" xfId="3770" xr:uid="{00000000-0005-0000-0000-0000B80E0000}"/>
    <cellStyle name="표준 14 4 4" xfId="3771" xr:uid="{00000000-0005-0000-0000-0000B90E0000}"/>
    <cellStyle name="표준 14 4_1.부동산행정정보일원화 12년사업 내역서-1_5" xfId="3772" xr:uid="{00000000-0005-0000-0000-0000BA0E0000}"/>
    <cellStyle name="표준 14 5" xfId="3773" xr:uid="{00000000-0005-0000-0000-0000BB0E0000}"/>
    <cellStyle name="표준 14 5 2" xfId="3774" xr:uid="{00000000-0005-0000-0000-0000BC0E0000}"/>
    <cellStyle name="표준 14 5 3" xfId="3775" xr:uid="{00000000-0005-0000-0000-0000BD0E0000}"/>
    <cellStyle name="표준 14 5 4" xfId="3776" xr:uid="{00000000-0005-0000-0000-0000BE0E0000}"/>
    <cellStyle name="표준 14 5_1.부동산행정정보일원화 12년사업 내역서-1_5" xfId="3777" xr:uid="{00000000-0005-0000-0000-0000BF0E0000}"/>
    <cellStyle name="표준 14 6" xfId="3778" xr:uid="{00000000-0005-0000-0000-0000C00E0000}"/>
    <cellStyle name="표준 14 6 2" xfId="3779" xr:uid="{00000000-0005-0000-0000-0000C10E0000}"/>
    <cellStyle name="표준 14 6 3" xfId="3780" xr:uid="{00000000-0005-0000-0000-0000C20E0000}"/>
    <cellStyle name="표준 14 6 4" xfId="3781" xr:uid="{00000000-0005-0000-0000-0000C30E0000}"/>
    <cellStyle name="표준 14 6_1.부동산행정정보일원화 12년사업 내역서-1_5" xfId="3782" xr:uid="{00000000-0005-0000-0000-0000C40E0000}"/>
    <cellStyle name="표준 14 7" xfId="3783" xr:uid="{00000000-0005-0000-0000-0000C50E0000}"/>
    <cellStyle name="표준 14 7 2" xfId="3784" xr:uid="{00000000-0005-0000-0000-0000C60E0000}"/>
    <cellStyle name="표준 14 7 3" xfId="3785" xr:uid="{00000000-0005-0000-0000-0000C70E0000}"/>
    <cellStyle name="표준 14 7 4" xfId="3786" xr:uid="{00000000-0005-0000-0000-0000C80E0000}"/>
    <cellStyle name="표준 14 7_1.부동산행정정보일원화 12년사업 내역서-1_5" xfId="3787" xr:uid="{00000000-0005-0000-0000-0000C90E0000}"/>
    <cellStyle name="표준 14 8" xfId="3788" xr:uid="{00000000-0005-0000-0000-0000CA0E0000}"/>
    <cellStyle name="표준 14 8 2" xfId="3789" xr:uid="{00000000-0005-0000-0000-0000CB0E0000}"/>
    <cellStyle name="표준 14 8 3" xfId="3790" xr:uid="{00000000-0005-0000-0000-0000CC0E0000}"/>
    <cellStyle name="표준 14 8 4" xfId="3791" xr:uid="{00000000-0005-0000-0000-0000CD0E0000}"/>
    <cellStyle name="표준 14 8_1.부동산행정정보일원화 12년사업 내역서-1_5" xfId="3792" xr:uid="{00000000-0005-0000-0000-0000CE0E0000}"/>
    <cellStyle name="표준 14 9" xfId="3793" xr:uid="{00000000-0005-0000-0000-0000CF0E0000}"/>
    <cellStyle name="표준 14 9 2" xfId="3794" xr:uid="{00000000-0005-0000-0000-0000D00E0000}"/>
    <cellStyle name="표준 14 9 3" xfId="3795" xr:uid="{00000000-0005-0000-0000-0000D10E0000}"/>
    <cellStyle name="표준 14 9 4" xfId="3796" xr:uid="{00000000-0005-0000-0000-0000D20E0000}"/>
    <cellStyle name="표준 14 9_1.부동산행정정보일원화 12년사업 내역서-1_5" xfId="3797" xr:uid="{00000000-0005-0000-0000-0000D30E0000}"/>
    <cellStyle name="표준 14_1.부동산행정정보일원화 12년사업 내역서-1_5" xfId="3798" xr:uid="{00000000-0005-0000-0000-0000D40E0000}"/>
    <cellStyle name="표준 15" xfId="3799" xr:uid="{00000000-0005-0000-0000-0000D50E0000}"/>
    <cellStyle name="표준 15 10" xfId="3800" xr:uid="{00000000-0005-0000-0000-0000D60E0000}"/>
    <cellStyle name="표준 15 10 2" xfId="3801" xr:uid="{00000000-0005-0000-0000-0000D70E0000}"/>
    <cellStyle name="표준 15 10 3" xfId="3802" xr:uid="{00000000-0005-0000-0000-0000D80E0000}"/>
    <cellStyle name="표준 15 10 4" xfId="3803" xr:uid="{00000000-0005-0000-0000-0000D90E0000}"/>
    <cellStyle name="표준 15 10_1.부동산행정정보일원화 12년사업 내역서-1_5" xfId="3804" xr:uid="{00000000-0005-0000-0000-0000DA0E0000}"/>
    <cellStyle name="표준 15 11" xfId="3805" xr:uid="{00000000-0005-0000-0000-0000DB0E0000}"/>
    <cellStyle name="표준 15 12" xfId="3806" xr:uid="{00000000-0005-0000-0000-0000DC0E0000}"/>
    <cellStyle name="표준 15 13" xfId="3807" xr:uid="{00000000-0005-0000-0000-0000DD0E0000}"/>
    <cellStyle name="표준 15 14" xfId="3808" xr:uid="{00000000-0005-0000-0000-0000DE0E0000}"/>
    <cellStyle name="표준 15 15" xfId="3809" xr:uid="{00000000-0005-0000-0000-0000DF0E0000}"/>
    <cellStyle name="표준 15 2" xfId="3810" xr:uid="{00000000-0005-0000-0000-0000E00E0000}"/>
    <cellStyle name="표준 15 2 2" xfId="3811" xr:uid="{00000000-0005-0000-0000-0000E10E0000}"/>
    <cellStyle name="표준 15 2 3" xfId="3812" xr:uid="{00000000-0005-0000-0000-0000E20E0000}"/>
    <cellStyle name="표준 15 2 4" xfId="3813" xr:uid="{00000000-0005-0000-0000-0000E30E0000}"/>
    <cellStyle name="표준 15 2_1.부동산행정정보일원화 12년사업 내역서-1_5" xfId="3814" xr:uid="{00000000-0005-0000-0000-0000E40E0000}"/>
    <cellStyle name="표준 15 3" xfId="3815" xr:uid="{00000000-0005-0000-0000-0000E50E0000}"/>
    <cellStyle name="표준 15 3 2" xfId="3816" xr:uid="{00000000-0005-0000-0000-0000E60E0000}"/>
    <cellStyle name="표준 15 3 3" xfId="3817" xr:uid="{00000000-0005-0000-0000-0000E70E0000}"/>
    <cellStyle name="표준 15 3 4" xfId="3818" xr:uid="{00000000-0005-0000-0000-0000E80E0000}"/>
    <cellStyle name="표준 15 3_1.부동산행정정보일원화 12년사업 내역서-1_5" xfId="3819" xr:uid="{00000000-0005-0000-0000-0000E90E0000}"/>
    <cellStyle name="표준 15 4" xfId="3820" xr:uid="{00000000-0005-0000-0000-0000EA0E0000}"/>
    <cellStyle name="표준 15 4 2" xfId="3821" xr:uid="{00000000-0005-0000-0000-0000EB0E0000}"/>
    <cellStyle name="표준 15 4 3" xfId="3822" xr:uid="{00000000-0005-0000-0000-0000EC0E0000}"/>
    <cellStyle name="표준 15 4 4" xfId="3823" xr:uid="{00000000-0005-0000-0000-0000ED0E0000}"/>
    <cellStyle name="표준 15 4_1.부동산행정정보일원화 12년사업 내역서-1_5" xfId="3824" xr:uid="{00000000-0005-0000-0000-0000EE0E0000}"/>
    <cellStyle name="표준 15 5" xfId="3825" xr:uid="{00000000-0005-0000-0000-0000EF0E0000}"/>
    <cellStyle name="표준 15 5 2" xfId="3826" xr:uid="{00000000-0005-0000-0000-0000F00E0000}"/>
    <cellStyle name="표준 15 5 3" xfId="3827" xr:uid="{00000000-0005-0000-0000-0000F10E0000}"/>
    <cellStyle name="표준 15 5 4" xfId="3828" xr:uid="{00000000-0005-0000-0000-0000F20E0000}"/>
    <cellStyle name="표준 15 5_1.부동산행정정보일원화 12년사업 내역서-1_5" xfId="3829" xr:uid="{00000000-0005-0000-0000-0000F30E0000}"/>
    <cellStyle name="표준 15 6" xfId="3830" xr:uid="{00000000-0005-0000-0000-0000F40E0000}"/>
    <cellStyle name="표준 15 6 2" xfId="3831" xr:uid="{00000000-0005-0000-0000-0000F50E0000}"/>
    <cellStyle name="표준 15 6 3" xfId="3832" xr:uid="{00000000-0005-0000-0000-0000F60E0000}"/>
    <cellStyle name="표준 15 6 4" xfId="3833" xr:uid="{00000000-0005-0000-0000-0000F70E0000}"/>
    <cellStyle name="표준 15 6_1.부동산행정정보일원화 12년사업 내역서-1_5" xfId="3834" xr:uid="{00000000-0005-0000-0000-0000F80E0000}"/>
    <cellStyle name="표준 15 7" xfId="3835" xr:uid="{00000000-0005-0000-0000-0000F90E0000}"/>
    <cellStyle name="표준 15 7 2" xfId="3836" xr:uid="{00000000-0005-0000-0000-0000FA0E0000}"/>
    <cellStyle name="표준 15 7 3" xfId="3837" xr:uid="{00000000-0005-0000-0000-0000FB0E0000}"/>
    <cellStyle name="표준 15 7 4" xfId="3838" xr:uid="{00000000-0005-0000-0000-0000FC0E0000}"/>
    <cellStyle name="표준 15 7_1.부동산행정정보일원화 12년사업 내역서-1_5" xfId="3839" xr:uid="{00000000-0005-0000-0000-0000FD0E0000}"/>
    <cellStyle name="표준 15 8" xfId="3840" xr:uid="{00000000-0005-0000-0000-0000FE0E0000}"/>
    <cellStyle name="표준 15 8 2" xfId="3841" xr:uid="{00000000-0005-0000-0000-0000FF0E0000}"/>
    <cellStyle name="표준 15 8 3" xfId="3842" xr:uid="{00000000-0005-0000-0000-0000000F0000}"/>
    <cellStyle name="표준 15 8 4" xfId="3843" xr:uid="{00000000-0005-0000-0000-0000010F0000}"/>
    <cellStyle name="표준 15 8_1.부동산행정정보일원화 12년사업 내역서-1_5" xfId="3844" xr:uid="{00000000-0005-0000-0000-0000020F0000}"/>
    <cellStyle name="표준 15 9" xfId="3845" xr:uid="{00000000-0005-0000-0000-0000030F0000}"/>
    <cellStyle name="표준 15 9 2" xfId="3846" xr:uid="{00000000-0005-0000-0000-0000040F0000}"/>
    <cellStyle name="표준 15 9 3" xfId="3847" xr:uid="{00000000-0005-0000-0000-0000050F0000}"/>
    <cellStyle name="표준 15 9 4" xfId="3848" xr:uid="{00000000-0005-0000-0000-0000060F0000}"/>
    <cellStyle name="표준 15 9_1.부동산행정정보일원화 12년사업 내역서-1_5" xfId="3849" xr:uid="{00000000-0005-0000-0000-0000070F0000}"/>
    <cellStyle name="표준 15_1.부동산행정정보일원화 12년사업 내역서-1_5" xfId="3850" xr:uid="{00000000-0005-0000-0000-0000080F0000}"/>
    <cellStyle name="표준 16" xfId="3851" xr:uid="{00000000-0005-0000-0000-0000090F0000}"/>
    <cellStyle name="표준 16 10" xfId="3852" xr:uid="{00000000-0005-0000-0000-00000A0F0000}"/>
    <cellStyle name="표준 16 10 2" xfId="3853" xr:uid="{00000000-0005-0000-0000-00000B0F0000}"/>
    <cellStyle name="표준 16 10 3" xfId="3854" xr:uid="{00000000-0005-0000-0000-00000C0F0000}"/>
    <cellStyle name="표준 16 10 4" xfId="3855" xr:uid="{00000000-0005-0000-0000-00000D0F0000}"/>
    <cellStyle name="표준 16 10_1.부동산행정정보일원화 12년사업 내역서-1_5" xfId="3856" xr:uid="{00000000-0005-0000-0000-00000E0F0000}"/>
    <cellStyle name="표준 16 11" xfId="3857" xr:uid="{00000000-0005-0000-0000-00000F0F0000}"/>
    <cellStyle name="표준 16 12" xfId="3858" xr:uid="{00000000-0005-0000-0000-0000100F0000}"/>
    <cellStyle name="표준 16 13" xfId="3859" xr:uid="{00000000-0005-0000-0000-0000110F0000}"/>
    <cellStyle name="표준 16 2" xfId="3860" xr:uid="{00000000-0005-0000-0000-0000120F0000}"/>
    <cellStyle name="표준 16 2 2" xfId="3861" xr:uid="{00000000-0005-0000-0000-0000130F0000}"/>
    <cellStyle name="표준 16 2 3" xfId="3862" xr:uid="{00000000-0005-0000-0000-0000140F0000}"/>
    <cellStyle name="표준 16 2 4" xfId="3863" xr:uid="{00000000-0005-0000-0000-0000150F0000}"/>
    <cellStyle name="표준 16 2_1.부동산행정정보일원화 12년사업 내역서-1_5" xfId="3864" xr:uid="{00000000-0005-0000-0000-0000160F0000}"/>
    <cellStyle name="표준 16 3" xfId="3865" xr:uid="{00000000-0005-0000-0000-0000170F0000}"/>
    <cellStyle name="표준 16 3 2" xfId="3866" xr:uid="{00000000-0005-0000-0000-0000180F0000}"/>
    <cellStyle name="표준 16 3 3" xfId="3867" xr:uid="{00000000-0005-0000-0000-0000190F0000}"/>
    <cellStyle name="표준 16 3 4" xfId="3868" xr:uid="{00000000-0005-0000-0000-00001A0F0000}"/>
    <cellStyle name="표준 16 3_1.부동산행정정보일원화 12년사업 내역서-1_5" xfId="3869" xr:uid="{00000000-0005-0000-0000-00001B0F0000}"/>
    <cellStyle name="표준 16 4" xfId="3870" xr:uid="{00000000-0005-0000-0000-00001C0F0000}"/>
    <cellStyle name="표준 16 4 2" xfId="3871" xr:uid="{00000000-0005-0000-0000-00001D0F0000}"/>
    <cellStyle name="표준 16 4 3" xfId="3872" xr:uid="{00000000-0005-0000-0000-00001E0F0000}"/>
    <cellStyle name="표준 16 4 4" xfId="3873" xr:uid="{00000000-0005-0000-0000-00001F0F0000}"/>
    <cellStyle name="표준 16 4_1.부동산행정정보일원화 12년사업 내역서-1_5" xfId="3874" xr:uid="{00000000-0005-0000-0000-0000200F0000}"/>
    <cellStyle name="표준 16 5" xfId="3875" xr:uid="{00000000-0005-0000-0000-0000210F0000}"/>
    <cellStyle name="표준 16 5 2" xfId="3876" xr:uid="{00000000-0005-0000-0000-0000220F0000}"/>
    <cellStyle name="표준 16 5 3" xfId="3877" xr:uid="{00000000-0005-0000-0000-0000230F0000}"/>
    <cellStyle name="표준 16 5 4" xfId="3878" xr:uid="{00000000-0005-0000-0000-0000240F0000}"/>
    <cellStyle name="표준 16 5_1.부동산행정정보일원화 12년사업 내역서-1_5" xfId="3879" xr:uid="{00000000-0005-0000-0000-0000250F0000}"/>
    <cellStyle name="표준 16 6" xfId="3880" xr:uid="{00000000-0005-0000-0000-0000260F0000}"/>
    <cellStyle name="표준 16 6 2" xfId="3881" xr:uid="{00000000-0005-0000-0000-0000270F0000}"/>
    <cellStyle name="표준 16 6 3" xfId="3882" xr:uid="{00000000-0005-0000-0000-0000280F0000}"/>
    <cellStyle name="표준 16 6 4" xfId="3883" xr:uid="{00000000-0005-0000-0000-0000290F0000}"/>
    <cellStyle name="표준 16 6_1.부동산행정정보일원화 12년사업 내역서-1_5" xfId="3884" xr:uid="{00000000-0005-0000-0000-00002A0F0000}"/>
    <cellStyle name="표준 16 7" xfId="3885" xr:uid="{00000000-0005-0000-0000-00002B0F0000}"/>
    <cellStyle name="표준 16 7 2" xfId="3886" xr:uid="{00000000-0005-0000-0000-00002C0F0000}"/>
    <cellStyle name="표준 16 7 3" xfId="3887" xr:uid="{00000000-0005-0000-0000-00002D0F0000}"/>
    <cellStyle name="표준 16 7 4" xfId="3888" xr:uid="{00000000-0005-0000-0000-00002E0F0000}"/>
    <cellStyle name="표준 16 7_1.부동산행정정보일원화 12년사업 내역서-1_5" xfId="3889" xr:uid="{00000000-0005-0000-0000-00002F0F0000}"/>
    <cellStyle name="표준 16 8" xfId="3890" xr:uid="{00000000-0005-0000-0000-0000300F0000}"/>
    <cellStyle name="표준 16 8 2" xfId="3891" xr:uid="{00000000-0005-0000-0000-0000310F0000}"/>
    <cellStyle name="표준 16 8 3" xfId="3892" xr:uid="{00000000-0005-0000-0000-0000320F0000}"/>
    <cellStyle name="표준 16 8 4" xfId="3893" xr:uid="{00000000-0005-0000-0000-0000330F0000}"/>
    <cellStyle name="표준 16 8_1.부동산행정정보일원화 12년사업 내역서-1_5" xfId="3894" xr:uid="{00000000-0005-0000-0000-0000340F0000}"/>
    <cellStyle name="표준 16 9" xfId="3895" xr:uid="{00000000-0005-0000-0000-0000350F0000}"/>
    <cellStyle name="표준 16 9 2" xfId="3896" xr:uid="{00000000-0005-0000-0000-0000360F0000}"/>
    <cellStyle name="표준 16 9 3" xfId="3897" xr:uid="{00000000-0005-0000-0000-0000370F0000}"/>
    <cellStyle name="표준 16 9 4" xfId="3898" xr:uid="{00000000-0005-0000-0000-0000380F0000}"/>
    <cellStyle name="표준 16 9_1.부동산행정정보일원화 12년사업 내역서-1_5" xfId="3899" xr:uid="{00000000-0005-0000-0000-0000390F0000}"/>
    <cellStyle name="표준 16_1.부동산행정정보일원화 12년사업 내역서-1_5" xfId="3900" xr:uid="{00000000-0005-0000-0000-00003A0F0000}"/>
    <cellStyle name="표준 17" xfId="3901" xr:uid="{00000000-0005-0000-0000-00003B0F0000}"/>
    <cellStyle name="표준 17 10" xfId="3902" xr:uid="{00000000-0005-0000-0000-00003C0F0000}"/>
    <cellStyle name="표준 17 10 2" xfId="3903" xr:uid="{00000000-0005-0000-0000-00003D0F0000}"/>
    <cellStyle name="표준 17 10 3" xfId="3904" xr:uid="{00000000-0005-0000-0000-00003E0F0000}"/>
    <cellStyle name="표준 17 10 4" xfId="3905" xr:uid="{00000000-0005-0000-0000-00003F0F0000}"/>
    <cellStyle name="표준 17 10_1.부동산행정정보일원화 12년사업 내역서-1_5" xfId="3906" xr:uid="{00000000-0005-0000-0000-0000400F0000}"/>
    <cellStyle name="표준 17 11" xfId="3907" xr:uid="{00000000-0005-0000-0000-0000410F0000}"/>
    <cellStyle name="표준 17 12" xfId="3908" xr:uid="{00000000-0005-0000-0000-0000420F0000}"/>
    <cellStyle name="표준 17 13" xfId="3909" xr:uid="{00000000-0005-0000-0000-0000430F0000}"/>
    <cellStyle name="표준 17 2" xfId="3910" xr:uid="{00000000-0005-0000-0000-0000440F0000}"/>
    <cellStyle name="표준 17 2 2" xfId="3911" xr:uid="{00000000-0005-0000-0000-0000450F0000}"/>
    <cellStyle name="표준 17 2 3" xfId="3912" xr:uid="{00000000-0005-0000-0000-0000460F0000}"/>
    <cellStyle name="표준 17 2 4" xfId="3913" xr:uid="{00000000-0005-0000-0000-0000470F0000}"/>
    <cellStyle name="표준 17 2_1.부동산행정정보일원화 12년사업 내역서-1_5" xfId="3914" xr:uid="{00000000-0005-0000-0000-0000480F0000}"/>
    <cellStyle name="표준 17 3" xfId="3915" xr:uid="{00000000-0005-0000-0000-0000490F0000}"/>
    <cellStyle name="표준 17 3 2" xfId="3916" xr:uid="{00000000-0005-0000-0000-00004A0F0000}"/>
    <cellStyle name="표준 17 3 3" xfId="3917" xr:uid="{00000000-0005-0000-0000-00004B0F0000}"/>
    <cellStyle name="표준 17 3 4" xfId="3918" xr:uid="{00000000-0005-0000-0000-00004C0F0000}"/>
    <cellStyle name="표준 17 3_1.부동산행정정보일원화 12년사업 내역서-1_5" xfId="3919" xr:uid="{00000000-0005-0000-0000-00004D0F0000}"/>
    <cellStyle name="표준 17 4" xfId="3920" xr:uid="{00000000-0005-0000-0000-00004E0F0000}"/>
    <cellStyle name="표준 17 4 2" xfId="3921" xr:uid="{00000000-0005-0000-0000-00004F0F0000}"/>
    <cellStyle name="표준 17 4 3" xfId="3922" xr:uid="{00000000-0005-0000-0000-0000500F0000}"/>
    <cellStyle name="표준 17 4 4" xfId="3923" xr:uid="{00000000-0005-0000-0000-0000510F0000}"/>
    <cellStyle name="표준 17 4_1.부동산행정정보일원화 12년사업 내역서-1_5" xfId="3924" xr:uid="{00000000-0005-0000-0000-0000520F0000}"/>
    <cellStyle name="표준 17 5" xfId="3925" xr:uid="{00000000-0005-0000-0000-0000530F0000}"/>
    <cellStyle name="표준 17 5 2" xfId="3926" xr:uid="{00000000-0005-0000-0000-0000540F0000}"/>
    <cellStyle name="표준 17 5 3" xfId="3927" xr:uid="{00000000-0005-0000-0000-0000550F0000}"/>
    <cellStyle name="표준 17 5 4" xfId="3928" xr:uid="{00000000-0005-0000-0000-0000560F0000}"/>
    <cellStyle name="표준 17 5_1.부동산행정정보일원화 12년사업 내역서-1_5" xfId="3929" xr:uid="{00000000-0005-0000-0000-0000570F0000}"/>
    <cellStyle name="표준 17 6" xfId="3930" xr:uid="{00000000-0005-0000-0000-0000580F0000}"/>
    <cellStyle name="표준 17 6 2" xfId="3931" xr:uid="{00000000-0005-0000-0000-0000590F0000}"/>
    <cellStyle name="표준 17 6 3" xfId="3932" xr:uid="{00000000-0005-0000-0000-00005A0F0000}"/>
    <cellStyle name="표준 17 6 4" xfId="3933" xr:uid="{00000000-0005-0000-0000-00005B0F0000}"/>
    <cellStyle name="표준 17 6_1.부동산행정정보일원화 12년사업 내역서-1_5" xfId="3934" xr:uid="{00000000-0005-0000-0000-00005C0F0000}"/>
    <cellStyle name="표준 17 7" xfId="3935" xr:uid="{00000000-0005-0000-0000-00005D0F0000}"/>
    <cellStyle name="표준 17 7 2" xfId="3936" xr:uid="{00000000-0005-0000-0000-00005E0F0000}"/>
    <cellStyle name="표준 17 7 3" xfId="3937" xr:uid="{00000000-0005-0000-0000-00005F0F0000}"/>
    <cellStyle name="표준 17 7 4" xfId="3938" xr:uid="{00000000-0005-0000-0000-0000600F0000}"/>
    <cellStyle name="표준 17 7_1.부동산행정정보일원화 12년사업 내역서-1_5" xfId="3939" xr:uid="{00000000-0005-0000-0000-0000610F0000}"/>
    <cellStyle name="표준 17 8" xfId="3940" xr:uid="{00000000-0005-0000-0000-0000620F0000}"/>
    <cellStyle name="표준 17 8 2" xfId="3941" xr:uid="{00000000-0005-0000-0000-0000630F0000}"/>
    <cellStyle name="표준 17 8 3" xfId="3942" xr:uid="{00000000-0005-0000-0000-0000640F0000}"/>
    <cellStyle name="표준 17 8 4" xfId="3943" xr:uid="{00000000-0005-0000-0000-0000650F0000}"/>
    <cellStyle name="표준 17 8_1.부동산행정정보일원화 12년사업 내역서-1_5" xfId="3944" xr:uid="{00000000-0005-0000-0000-0000660F0000}"/>
    <cellStyle name="표준 17 9" xfId="3945" xr:uid="{00000000-0005-0000-0000-0000670F0000}"/>
    <cellStyle name="표준 17 9 2" xfId="3946" xr:uid="{00000000-0005-0000-0000-0000680F0000}"/>
    <cellStyle name="표준 17 9 3" xfId="3947" xr:uid="{00000000-0005-0000-0000-0000690F0000}"/>
    <cellStyle name="표준 17 9 4" xfId="3948" xr:uid="{00000000-0005-0000-0000-00006A0F0000}"/>
    <cellStyle name="표준 17 9_1.부동산행정정보일원화 12년사업 내역서-1_5" xfId="3949" xr:uid="{00000000-0005-0000-0000-00006B0F0000}"/>
    <cellStyle name="표준 17_1.부동산행정정보일원화 12년사업 내역서-1_5" xfId="3950" xr:uid="{00000000-0005-0000-0000-00006C0F0000}"/>
    <cellStyle name="표준 18" xfId="3951" xr:uid="{00000000-0005-0000-0000-00006D0F0000}"/>
    <cellStyle name="표준 18 10" xfId="3952" xr:uid="{00000000-0005-0000-0000-00006E0F0000}"/>
    <cellStyle name="표준 18 10 2" xfId="3953" xr:uid="{00000000-0005-0000-0000-00006F0F0000}"/>
    <cellStyle name="표준 18 10 3" xfId="3954" xr:uid="{00000000-0005-0000-0000-0000700F0000}"/>
    <cellStyle name="표준 18 10 4" xfId="3955" xr:uid="{00000000-0005-0000-0000-0000710F0000}"/>
    <cellStyle name="표준 18 10_1.부동산행정정보일원화 12년사업 내역서-1_5" xfId="3956" xr:uid="{00000000-0005-0000-0000-0000720F0000}"/>
    <cellStyle name="표준 18 11" xfId="3957" xr:uid="{00000000-0005-0000-0000-0000730F0000}"/>
    <cellStyle name="표준 18 12" xfId="3958" xr:uid="{00000000-0005-0000-0000-0000740F0000}"/>
    <cellStyle name="표준 18 13" xfId="3959" xr:uid="{00000000-0005-0000-0000-0000750F0000}"/>
    <cellStyle name="표준 18 2" xfId="3960" xr:uid="{00000000-0005-0000-0000-0000760F0000}"/>
    <cellStyle name="표준 18 2 2" xfId="3961" xr:uid="{00000000-0005-0000-0000-0000770F0000}"/>
    <cellStyle name="표준 18 2 3" xfId="3962" xr:uid="{00000000-0005-0000-0000-0000780F0000}"/>
    <cellStyle name="표준 18 2 4" xfId="3963" xr:uid="{00000000-0005-0000-0000-0000790F0000}"/>
    <cellStyle name="표준 18 2_1.부동산행정정보일원화 12년사업 내역서-1_5" xfId="3964" xr:uid="{00000000-0005-0000-0000-00007A0F0000}"/>
    <cellStyle name="표준 18 3" xfId="3965" xr:uid="{00000000-0005-0000-0000-00007B0F0000}"/>
    <cellStyle name="표준 18 3 2" xfId="3966" xr:uid="{00000000-0005-0000-0000-00007C0F0000}"/>
    <cellStyle name="표준 18 3 3" xfId="3967" xr:uid="{00000000-0005-0000-0000-00007D0F0000}"/>
    <cellStyle name="표준 18 3 4" xfId="3968" xr:uid="{00000000-0005-0000-0000-00007E0F0000}"/>
    <cellStyle name="표준 18 3_1.부동산행정정보일원화 12년사업 내역서-1_5" xfId="3969" xr:uid="{00000000-0005-0000-0000-00007F0F0000}"/>
    <cellStyle name="표준 18 4" xfId="3970" xr:uid="{00000000-0005-0000-0000-0000800F0000}"/>
    <cellStyle name="표준 18 4 2" xfId="3971" xr:uid="{00000000-0005-0000-0000-0000810F0000}"/>
    <cellStyle name="표준 18 4 3" xfId="3972" xr:uid="{00000000-0005-0000-0000-0000820F0000}"/>
    <cellStyle name="표준 18 4 4" xfId="3973" xr:uid="{00000000-0005-0000-0000-0000830F0000}"/>
    <cellStyle name="표준 18 4_1.부동산행정정보일원화 12년사업 내역서-1_5" xfId="3974" xr:uid="{00000000-0005-0000-0000-0000840F0000}"/>
    <cellStyle name="표준 18 5" xfId="3975" xr:uid="{00000000-0005-0000-0000-0000850F0000}"/>
    <cellStyle name="표준 18 5 2" xfId="3976" xr:uid="{00000000-0005-0000-0000-0000860F0000}"/>
    <cellStyle name="표준 18 5 3" xfId="3977" xr:uid="{00000000-0005-0000-0000-0000870F0000}"/>
    <cellStyle name="표준 18 5 4" xfId="3978" xr:uid="{00000000-0005-0000-0000-0000880F0000}"/>
    <cellStyle name="표준 18 5_1.부동산행정정보일원화 12년사업 내역서-1_5" xfId="3979" xr:uid="{00000000-0005-0000-0000-0000890F0000}"/>
    <cellStyle name="표준 18 6" xfId="3980" xr:uid="{00000000-0005-0000-0000-00008A0F0000}"/>
    <cellStyle name="표준 18 6 2" xfId="3981" xr:uid="{00000000-0005-0000-0000-00008B0F0000}"/>
    <cellStyle name="표준 18 6 3" xfId="3982" xr:uid="{00000000-0005-0000-0000-00008C0F0000}"/>
    <cellStyle name="표준 18 6 4" xfId="3983" xr:uid="{00000000-0005-0000-0000-00008D0F0000}"/>
    <cellStyle name="표준 18 6_1.부동산행정정보일원화 12년사업 내역서-1_5" xfId="3984" xr:uid="{00000000-0005-0000-0000-00008E0F0000}"/>
    <cellStyle name="표준 18 7" xfId="3985" xr:uid="{00000000-0005-0000-0000-00008F0F0000}"/>
    <cellStyle name="표준 18 7 2" xfId="3986" xr:uid="{00000000-0005-0000-0000-0000900F0000}"/>
    <cellStyle name="표준 18 7 3" xfId="3987" xr:uid="{00000000-0005-0000-0000-0000910F0000}"/>
    <cellStyle name="표준 18 7 4" xfId="3988" xr:uid="{00000000-0005-0000-0000-0000920F0000}"/>
    <cellStyle name="표준 18 7_1.부동산행정정보일원화 12년사업 내역서-1_5" xfId="3989" xr:uid="{00000000-0005-0000-0000-0000930F0000}"/>
    <cellStyle name="표준 18 8" xfId="3990" xr:uid="{00000000-0005-0000-0000-0000940F0000}"/>
    <cellStyle name="표준 18 8 2" xfId="3991" xr:uid="{00000000-0005-0000-0000-0000950F0000}"/>
    <cellStyle name="표준 18 8 3" xfId="3992" xr:uid="{00000000-0005-0000-0000-0000960F0000}"/>
    <cellStyle name="표준 18 8 4" xfId="3993" xr:uid="{00000000-0005-0000-0000-0000970F0000}"/>
    <cellStyle name="표준 18 8_1.부동산행정정보일원화 12년사업 내역서-1_5" xfId="3994" xr:uid="{00000000-0005-0000-0000-0000980F0000}"/>
    <cellStyle name="표준 18 9" xfId="3995" xr:uid="{00000000-0005-0000-0000-0000990F0000}"/>
    <cellStyle name="표준 18 9 2" xfId="3996" xr:uid="{00000000-0005-0000-0000-00009A0F0000}"/>
    <cellStyle name="표준 18 9 3" xfId="3997" xr:uid="{00000000-0005-0000-0000-00009B0F0000}"/>
    <cellStyle name="표준 18 9 4" xfId="3998" xr:uid="{00000000-0005-0000-0000-00009C0F0000}"/>
    <cellStyle name="표준 18 9_1.부동산행정정보일원화 12년사업 내역서-1_5" xfId="3999" xr:uid="{00000000-0005-0000-0000-00009D0F0000}"/>
    <cellStyle name="표준 18_1.부동산행정정보일원화 12년사업 내역서-1_5" xfId="4000" xr:uid="{00000000-0005-0000-0000-00009E0F0000}"/>
    <cellStyle name="표준 183" xfId="4001" xr:uid="{00000000-0005-0000-0000-00009F0F0000}"/>
    <cellStyle name="표준 184" xfId="4002" xr:uid="{00000000-0005-0000-0000-0000A00F0000}"/>
    <cellStyle name="표준 185" xfId="4003" xr:uid="{00000000-0005-0000-0000-0000A10F0000}"/>
    <cellStyle name="표준 19" xfId="4004" xr:uid="{00000000-0005-0000-0000-0000A20F0000}"/>
    <cellStyle name="표준 19 10" xfId="4005" xr:uid="{00000000-0005-0000-0000-0000A30F0000}"/>
    <cellStyle name="표준 19 10 2" xfId="4006" xr:uid="{00000000-0005-0000-0000-0000A40F0000}"/>
    <cellStyle name="표준 19 10 3" xfId="4007" xr:uid="{00000000-0005-0000-0000-0000A50F0000}"/>
    <cellStyle name="표준 19 10 4" xfId="4008" xr:uid="{00000000-0005-0000-0000-0000A60F0000}"/>
    <cellStyle name="표준 19 10_1.부동산행정정보일원화 12년사업 내역서-1_5" xfId="4009" xr:uid="{00000000-0005-0000-0000-0000A70F0000}"/>
    <cellStyle name="표준 19 11" xfId="4010" xr:uid="{00000000-0005-0000-0000-0000A80F0000}"/>
    <cellStyle name="표준 19 12" xfId="4011" xr:uid="{00000000-0005-0000-0000-0000A90F0000}"/>
    <cellStyle name="표준 19 13" xfId="4012" xr:uid="{00000000-0005-0000-0000-0000AA0F0000}"/>
    <cellStyle name="표준 19 2" xfId="4013" xr:uid="{00000000-0005-0000-0000-0000AB0F0000}"/>
    <cellStyle name="표준 19 2 2" xfId="4014" xr:uid="{00000000-0005-0000-0000-0000AC0F0000}"/>
    <cellStyle name="표준 19 2 3" xfId="4015" xr:uid="{00000000-0005-0000-0000-0000AD0F0000}"/>
    <cellStyle name="표준 19 2 4" xfId="4016" xr:uid="{00000000-0005-0000-0000-0000AE0F0000}"/>
    <cellStyle name="표준 19 2_1.부동산행정정보일원화 12년사업 내역서-1_5" xfId="4017" xr:uid="{00000000-0005-0000-0000-0000AF0F0000}"/>
    <cellStyle name="표준 19 3" xfId="4018" xr:uid="{00000000-0005-0000-0000-0000B00F0000}"/>
    <cellStyle name="표준 19 3 2" xfId="4019" xr:uid="{00000000-0005-0000-0000-0000B10F0000}"/>
    <cellStyle name="표준 19 3 3" xfId="4020" xr:uid="{00000000-0005-0000-0000-0000B20F0000}"/>
    <cellStyle name="표준 19 3 4" xfId="4021" xr:uid="{00000000-0005-0000-0000-0000B30F0000}"/>
    <cellStyle name="표준 19 3_1.부동산행정정보일원화 12년사업 내역서-1_5" xfId="4022" xr:uid="{00000000-0005-0000-0000-0000B40F0000}"/>
    <cellStyle name="표준 19 4" xfId="4023" xr:uid="{00000000-0005-0000-0000-0000B50F0000}"/>
    <cellStyle name="표준 19 4 2" xfId="4024" xr:uid="{00000000-0005-0000-0000-0000B60F0000}"/>
    <cellStyle name="표준 19 4 3" xfId="4025" xr:uid="{00000000-0005-0000-0000-0000B70F0000}"/>
    <cellStyle name="표준 19 4 4" xfId="4026" xr:uid="{00000000-0005-0000-0000-0000B80F0000}"/>
    <cellStyle name="표준 19 4_1.부동산행정정보일원화 12년사업 내역서-1_5" xfId="4027" xr:uid="{00000000-0005-0000-0000-0000B90F0000}"/>
    <cellStyle name="표준 19 5" xfId="4028" xr:uid="{00000000-0005-0000-0000-0000BA0F0000}"/>
    <cellStyle name="표준 19 5 2" xfId="4029" xr:uid="{00000000-0005-0000-0000-0000BB0F0000}"/>
    <cellStyle name="표준 19 5 3" xfId="4030" xr:uid="{00000000-0005-0000-0000-0000BC0F0000}"/>
    <cellStyle name="표준 19 5 4" xfId="4031" xr:uid="{00000000-0005-0000-0000-0000BD0F0000}"/>
    <cellStyle name="표준 19 5_1.부동산행정정보일원화 12년사업 내역서-1_5" xfId="4032" xr:uid="{00000000-0005-0000-0000-0000BE0F0000}"/>
    <cellStyle name="표준 19 6" xfId="4033" xr:uid="{00000000-0005-0000-0000-0000BF0F0000}"/>
    <cellStyle name="표준 19 6 2" xfId="4034" xr:uid="{00000000-0005-0000-0000-0000C00F0000}"/>
    <cellStyle name="표준 19 6 3" xfId="4035" xr:uid="{00000000-0005-0000-0000-0000C10F0000}"/>
    <cellStyle name="표준 19 6 4" xfId="4036" xr:uid="{00000000-0005-0000-0000-0000C20F0000}"/>
    <cellStyle name="표준 19 6_1.부동산행정정보일원화 12년사업 내역서-1_5" xfId="4037" xr:uid="{00000000-0005-0000-0000-0000C30F0000}"/>
    <cellStyle name="표준 19 7" xfId="4038" xr:uid="{00000000-0005-0000-0000-0000C40F0000}"/>
    <cellStyle name="표준 19 7 2" xfId="4039" xr:uid="{00000000-0005-0000-0000-0000C50F0000}"/>
    <cellStyle name="표준 19 7 3" xfId="4040" xr:uid="{00000000-0005-0000-0000-0000C60F0000}"/>
    <cellStyle name="표준 19 7 4" xfId="4041" xr:uid="{00000000-0005-0000-0000-0000C70F0000}"/>
    <cellStyle name="표준 19 7_1.부동산행정정보일원화 12년사업 내역서-1_5" xfId="4042" xr:uid="{00000000-0005-0000-0000-0000C80F0000}"/>
    <cellStyle name="표준 19 8" xfId="4043" xr:uid="{00000000-0005-0000-0000-0000C90F0000}"/>
    <cellStyle name="표준 19 8 2" xfId="4044" xr:uid="{00000000-0005-0000-0000-0000CA0F0000}"/>
    <cellStyle name="표준 19 8 3" xfId="4045" xr:uid="{00000000-0005-0000-0000-0000CB0F0000}"/>
    <cellStyle name="표준 19 8 4" xfId="4046" xr:uid="{00000000-0005-0000-0000-0000CC0F0000}"/>
    <cellStyle name="표준 19 8_1.부동산행정정보일원화 12년사업 내역서-1_5" xfId="4047" xr:uid="{00000000-0005-0000-0000-0000CD0F0000}"/>
    <cellStyle name="표준 19 9" xfId="4048" xr:uid="{00000000-0005-0000-0000-0000CE0F0000}"/>
    <cellStyle name="표준 19 9 2" xfId="4049" xr:uid="{00000000-0005-0000-0000-0000CF0F0000}"/>
    <cellStyle name="표준 19 9 3" xfId="4050" xr:uid="{00000000-0005-0000-0000-0000D00F0000}"/>
    <cellStyle name="표준 19 9 4" xfId="4051" xr:uid="{00000000-0005-0000-0000-0000D10F0000}"/>
    <cellStyle name="표준 19 9_1.부동산행정정보일원화 12년사업 내역서-1_5" xfId="4052" xr:uid="{00000000-0005-0000-0000-0000D20F0000}"/>
    <cellStyle name="표준 19_1.부동산행정정보일원화 12년사업 내역서-1_5" xfId="4053" xr:uid="{00000000-0005-0000-0000-0000D30F0000}"/>
    <cellStyle name="표준 2" xfId="42" xr:uid="{00000000-0005-0000-0000-0000D40F0000}"/>
    <cellStyle name="표준 2 10" xfId="4054" xr:uid="{00000000-0005-0000-0000-0000D50F0000}"/>
    <cellStyle name="표준 2 10 2" xfId="4055" xr:uid="{00000000-0005-0000-0000-0000D60F0000}"/>
    <cellStyle name="표준 2 10 3" xfId="4056" xr:uid="{00000000-0005-0000-0000-0000D70F0000}"/>
    <cellStyle name="표준 2 10 4" xfId="4057" xr:uid="{00000000-0005-0000-0000-0000D80F0000}"/>
    <cellStyle name="표준 2 10 5" xfId="4058" xr:uid="{00000000-0005-0000-0000-0000D90F0000}"/>
    <cellStyle name="표준 2 10 5 2" xfId="4059" xr:uid="{00000000-0005-0000-0000-0000DA0F0000}"/>
    <cellStyle name="표준 2 10 5 3" xfId="4060" xr:uid="{00000000-0005-0000-0000-0000DB0F0000}"/>
    <cellStyle name="표준 2 10_1.부동산행정정보일원화 12년사업 내역서-1_5" xfId="4061" xr:uid="{00000000-0005-0000-0000-0000DC0F0000}"/>
    <cellStyle name="표준 2 11" xfId="4062" xr:uid="{00000000-0005-0000-0000-0000DD0F0000}"/>
    <cellStyle name="표준 2 11 2" xfId="4063" xr:uid="{00000000-0005-0000-0000-0000DE0F0000}"/>
    <cellStyle name="표준 2 11 3" xfId="4064" xr:uid="{00000000-0005-0000-0000-0000DF0F0000}"/>
    <cellStyle name="표준 2 11 4" xfId="4065" xr:uid="{00000000-0005-0000-0000-0000E00F0000}"/>
    <cellStyle name="표준 2 11 5" xfId="4066" xr:uid="{00000000-0005-0000-0000-0000E10F0000}"/>
    <cellStyle name="표준 2 11 5 2" xfId="4067" xr:uid="{00000000-0005-0000-0000-0000E20F0000}"/>
    <cellStyle name="표준 2 11 5 3" xfId="4068" xr:uid="{00000000-0005-0000-0000-0000E30F0000}"/>
    <cellStyle name="표준 2 11_1.부동산행정정보일원화 12년사업 내역서-1_5" xfId="4069" xr:uid="{00000000-0005-0000-0000-0000E40F0000}"/>
    <cellStyle name="표준 2 12" xfId="4070" xr:uid="{00000000-0005-0000-0000-0000E50F0000}"/>
    <cellStyle name="표준 2 12 2" xfId="4071" xr:uid="{00000000-0005-0000-0000-0000E60F0000}"/>
    <cellStyle name="표준 2 12 3" xfId="4072" xr:uid="{00000000-0005-0000-0000-0000E70F0000}"/>
    <cellStyle name="표준 2 12 4" xfId="4073" xr:uid="{00000000-0005-0000-0000-0000E80F0000}"/>
    <cellStyle name="표준 2 12_1.부동산행정정보일원화 12년사업 내역서-1_5" xfId="4074" xr:uid="{00000000-0005-0000-0000-0000E90F0000}"/>
    <cellStyle name="표준 2 13" xfId="4075" xr:uid="{00000000-0005-0000-0000-0000EA0F0000}"/>
    <cellStyle name="표준 2 13 2" xfId="4076" xr:uid="{00000000-0005-0000-0000-0000EB0F0000}"/>
    <cellStyle name="표준 2 13 3" xfId="4077" xr:uid="{00000000-0005-0000-0000-0000EC0F0000}"/>
    <cellStyle name="표준 2 13 4" xfId="4078" xr:uid="{00000000-0005-0000-0000-0000ED0F0000}"/>
    <cellStyle name="표준 2 13_1.부동산행정정보일원화 12년사업 내역서-1_5" xfId="4079" xr:uid="{00000000-0005-0000-0000-0000EE0F0000}"/>
    <cellStyle name="표준 2 14" xfId="4080" xr:uid="{00000000-0005-0000-0000-0000EF0F0000}"/>
    <cellStyle name="표준 2 14 2" xfId="4081" xr:uid="{00000000-0005-0000-0000-0000F00F0000}"/>
    <cellStyle name="표준 2 14 3" xfId="4082" xr:uid="{00000000-0005-0000-0000-0000F10F0000}"/>
    <cellStyle name="표준 2 14 4" xfId="4083" xr:uid="{00000000-0005-0000-0000-0000F20F0000}"/>
    <cellStyle name="표준 2 14_1.부동산행정정보일원화 12년사업 내역서-1_5" xfId="4084" xr:uid="{00000000-0005-0000-0000-0000F30F0000}"/>
    <cellStyle name="표준 2 15" xfId="4085" xr:uid="{00000000-0005-0000-0000-0000F40F0000}"/>
    <cellStyle name="표준 2 15 2" xfId="4086" xr:uid="{00000000-0005-0000-0000-0000F50F0000}"/>
    <cellStyle name="표준 2 15 3" xfId="4087" xr:uid="{00000000-0005-0000-0000-0000F60F0000}"/>
    <cellStyle name="표준 2 15 4" xfId="4088" xr:uid="{00000000-0005-0000-0000-0000F70F0000}"/>
    <cellStyle name="표준 2 15 5" xfId="4089" xr:uid="{00000000-0005-0000-0000-0000F80F0000}"/>
    <cellStyle name="표준 2 16" xfId="4090" xr:uid="{00000000-0005-0000-0000-0000F90F0000}"/>
    <cellStyle name="표준 2 16 2" xfId="4091" xr:uid="{00000000-0005-0000-0000-0000FA0F0000}"/>
    <cellStyle name="표준 2 17" xfId="4092" xr:uid="{00000000-0005-0000-0000-0000FB0F0000}"/>
    <cellStyle name="표준 2 17 2" xfId="4093" xr:uid="{00000000-0005-0000-0000-0000FC0F0000}"/>
    <cellStyle name="표준 2 18" xfId="4094" xr:uid="{00000000-0005-0000-0000-0000FD0F0000}"/>
    <cellStyle name="표준 2 18 2" xfId="4095" xr:uid="{00000000-0005-0000-0000-0000FE0F0000}"/>
    <cellStyle name="표준 2 18 3" xfId="4096" xr:uid="{00000000-0005-0000-0000-0000FF0F0000}"/>
    <cellStyle name="표준 2 18 4" xfId="4097" xr:uid="{00000000-0005-0000-0000-000000100000}"/>
    <cellStyle name="표준 2 19" xfId="4098" xr:uid="{00000000-0005-0000-0000-000001100000}"/>
    <cellStyle name="표준 2 2" xfId="43" xr:uid="{00000000-0005-0000-0000-000002100000}"/>
    <cellStyle name="표준 2 2 2" xfId="4099" xr:uid="{00000000-0005-0000-0000-000003100000}"/>
    <cellStyle name="표준 2 2 2 2" xfId="4100" xr:uid="{00000000-0005-0000-0000-000004100000}"/>
    <cellStyle name="표준 2 2 2 3" xfId="4101" xr:uid="{00000000-0005-0000-0000-000005100000}"/>
    <cellStyle name="표준 2 2 2 4" xfId="4102" xr:uid="{00000000-0005-0000-0000-000006100000}"/>
    <cellStyle name="표준 2 2 2 5" xfId="4103" xr:uid="{00000000-0005-0000-0000-000007100000}"/>
    <cellStyle name="표준 2 2 22 24" xfId="4104" xr:uid="{00000000-0005-0000-0000-000008100000}"/>
    <cellStyle name="표준 2 2 22 24 2" xfId="4105" xr:uid="{00000000-0005-0000-0000-000009100000}"/>
    <cellStyle name="표준 2 2 22 24 3" xfId="4106" xr:uid="{00000000-0005-0000-0000-00000A100000}"/>
    <cellStyle name="표준 2 2 22 24 4" xfId="4107" xr:uid="{00000000-0005-0000-0000-00000B100000}"/>
    <cellStyle name="표준 2 2 22 24 5" xfId="4108" xr:uid="{00000000-0005-0000-0000-00000C100000}"/>
    <cellStyle name="표준 2 2 22 3" xfId="4109" xr:uid="{00000000-0005-0000-0000-00000D100000}"/>
    <cellStyle name="표준 2 2 22 3 2" xfId="4110" xr:uid="{00000000-0005-0000-0000-00000E100000}"/>
    <cellStyle name="표준 2 2 22 3 3" xfId="4111" xr:uid="{00000000-0005-0000-0000-00000F100000}"/>
    <cellStyle name="표준 2 2 22 3 4" xfId="4112" xr:uid="{00000000-0005-0000-0000-000010100000}"/>
    <cellStyle name="표준 2 2 22 3 5" xfId="4113" xr:uid="{00000000-0005-0000-0000-000011100000}"/>
    <cellStyle name="표준 2 2 22 4" xfId="4114" xr:uid="{00000000-0005-0000-0000-000012100000}"/>
    <cellStyle name="표준 2 2 22 4 2" xfId="4115" xr:uid="{00000000-0005-0000-0000-000013100000}"/>
    <cellStyle name="표준 2 2 22 4 3" xfId="4116" xr:uid="{00000000-0005-0000-0000-000014100000}"/>
    <cellStyle name="표준 2 2 22 4 4" xfId="4117" xr:uid="{00000000-0005-0000-0000-000015100000}"/>
    <cellStyle name="표준 2 2 22 4 5" xfId="4118" xr:uid="{00000000-0005-0000-0000-000016100000}"/>
    <cellStyle name="표준 2 2 3" xfId="4119" xr:uid="{00000000-0005-0000-0000-000017100000}"/>
    <cellStyle name="표준 2 2 3 2" xfId="4120" xr:uid="{00000000-0005-0000-0000-000018100000}"/>
    <cellStyle name="표준 2 2 4" xfId="4121" xr:uid="{00000000-0005-0000-0000-000019100000}"/>
    <cellStyle name="표준 2 2 5" xfId="4122" xr:uid="{00000000-0005-0000-0000-00001A100000}"/>
    <cellStyle name="표준 2 2 6" xfId="4123" xr:uid="{00000000-0005-0000-0000-00001B100000}"/>
    <cellStyle name="표준 2 2 7" xfId="4124" xr:uid="{00000000-0005-0000-0000-00001C100000}"/>
    <cellStyle name="표준 2 2_2011년 개별주택 프로그램 변경작업 일정표 Ver1.2" xfId="4125" xr:uid="{00000000-0005-0000-0000-00001D100000}"/>
    <cellStyle name="표준 2 20" xfId="4126" xr:uid="{00000000-0005-0000-0000-00001E100000}"/>
    <cellStyle name="표준 2 21" xfId="4127" xr:uid="{00000000-0005-0000-0000-00001F100000}"/>
    <cellStyle name="표준 2 22" xfId="4128" xr:uid="{00000000-0005-0000-0000-000020100000}"/>
    <cellStyle name="표준 2 23" xfId="4129" xr:uid="{00000000-0005-0000-0000-000021100000}"/>
    <cellStyle name="표준 2 24" xfId="4130" xr:uid="{00000000-0005-0000-0000-000022100000}"/>
    <cellStyle name="표준 2 25" xfId="4131" xr:uid="{00000000-0005-0000-0000-000023100000}"/>
    <cellStyle name="표준 2 26" xfId="4132" xr:uid="{00000000-0005-0000-0000-000024100000}"/>
    <cellStyle name="표준 2 27" xfId="4133" xr:uid="{00000000-0005-0000-0000-000025100000}"/>
    <cellStyle name="표준 2 28" xfId="4134" xr:uid="{00000000-0005-0000-0000-000026100000}"/>
    <cellStyle name="표준 2 29" xfId="4135" xr:uid="{00000000-0005-0000-0000-000027100000}"/>
    <cellStyle name="표준 2 3" xfId="4136" xr:uid="{00000000-0005-0000-0000-000028100000}"/>
    <cellStyle name="표준 2 3 10" xfId="4137" xr:uid="{00000000-0005-0000-0000-000029100000}"/>
    <cellStyle name="표준 2 3 11" xfId="4138" xr:uid="{00000000-0005-0000-0000-00002A100000}"/>
    <cellStyle name="표준 2 3 12" xfId="4139" xr:uid="{00000000-0005-0000-0000-00002B100000}"/>
    <cellStyle name="표준 2 3 13" xfId="4140" xr:uid="{00000000-0005-0000-0000-00002C100000}"/>
    <cellStyle name="표준 2 3 14" xfId="4141" xr:uid="{00000000-0005-0000-0000-00002D100000}"/>
    <cellStyle name="표준 2 3 15" xfId="4142" xr:uid="{00000000-0005-0000-0000-00002E100000}"/>
    <cellStyle name="표준 2 3 2" xfId="4143" xr:uid="{00000000-0005-0000-0000-00002F100000}"/>
    <cellStyle name="표준 2 3 2 10" xfId="4144" xr:uid="{00000000-0005-0000-0000-000030100000}"/>
    <cellStyle name="표준 2 3 2 11" xfId="4145" xr:uid="{00000000-0005-0000-0000-000031100000}"/>
    <cellStyle name="표준 2 3 2 2" xfId="4146" xr:uid="{00000000-0005-0000-0000-000032100000}"/>
    <cellStyle name="표준 2 3 2 3" xfId="4147" xr:uid="{00000000-0005-0000-0000-000033100000}"/>
    <cellStyle name="표준 2 3 2 4" xfId="4148" xr:uid="{00000000-0005-0000-0000-000034100000}"/>
    <cellStyle name="표준 2 3 2 5" xfId="4149" xr:uid="{00000000-0005-0000-0000-000035100000}"/>
    <cellStyle name="표준 2 3 2 6" xfId="4150" xr:uid="{00000000-0005-0000-0000-000036100000}"/>
    <cellStyle name="표준 2 3 2 7" xfId="4151" xr:uid="{00000000-0005-0000-0000-000037100000}"/>
    <cellStyle name="표준 2 3 2 8" xfId="4152" xr:uid="{00000000-0005-0000-0000-000038100000}"/>
    <cellStyle name="표준 2 3 2 9" xfId="4153" xr:uid="{00000000-0005-0000-0000-000039100000}"/>
    <cellStyle name="표준 2 3 3" xfId="4154" xr:uid="{00000000-0005-0000-0000-00003A100000}"/>
    <cellStyle name="표준 2 3 4" xfId="4155" xr:uid="{00000000-0005-0000-0000-00003B100000}"/>
    <cellStyle name="표준 2 3 5" xfId="4156" xr:uid="{00000000-0005-0000-0000-00003C100000}"/>
    <cellStyle name="표준 2 3 6" xfId="4157" xr:uid="{00000000-0005-0000-0000-00003D100000}"/>
    <cellStyle name="표준 2 3 7" xfId="4158" xr:uid="{00000000-0005-0000-0000-00003E100000}"/>
    <cellStyle name="표준 2 3 8" xfId="4159" xr:uid="{00000000-0005-0000-0000-00003F100000}"/>
    <cellStyle name="표준 2 3 9" xfId="4160" xr:uid="{00000000-0005-0000-0000-000040100000}"/>
    <cellStyle name="표준 2 30" xfId="4161" xr:uid="{00000000-0005-0000-0000-000041100000}"/>
    <cellStyle name="표준 2 31" xfId="4162" xr:uid="{00000000-0005-0000-0000-000042100000}"/>
    <cellStyle name="표준 2 32" xfId="4163" xr:uid="{00000000-0005-0000-0000-000043100000}"/>
    <cellStyle name="표준 2 33" xfId="4164" xr:uid="{00000000-0005-0000-0000-000044100000}"/>
    <cellStyle name="표준 2 34" xfId="4165" xr:uid="{00000000-0005-0000-0000-000045100000}"/>
    <cellStyle name="표준 2 35" xfId="4166" xr:uid="{00000000-0005-0000-0000-000046100000}"/>
    <cellStyle name="표준 2 36" xfId="4167" xr:uid="{00000000-0005-0000-0000-000047100000}"/>
    <cellStyle name="표준 2 37" xfId="4168" xr:uid="{00000000-0005-0000-0000-000048100000}"/>
    <cellStyle name="표준 2 38" xfId="4169" xr:uid="{00000000-0005-0000-0000-000049100000}"/>
    <cellStyle name="표준 2 39" xfId="4170" xr:uid="{00000000-0005-0000-0000-00004A100000}"/>
    <cellStyle name="표준 2 4" xfId="4171" xr:uid="{00000000-0005-0000-0000-00004B100000}"/>
    <cellStyle name="표준 2 4 2" xfId="4172" xr:uid="{00000000-0005-0000-0000-00004C100000}"/>
    <cellStyle name="표준 2 4 2 2" xfId="4173" xr:uid="{00000000-0005-0000-0000-00004D100000}"/>
    <cellStyle name="표준 2 4 2 3" xfId="4174" xr:uid="{00000000-0005-0000-0000-00004E100000}"/>
    <cellStyle name="표준 2 4 3" xfId="4175" xr:uid="{00000000-0005-0000-0000-00004F100000}"/>
    <cellStyle name="표준 2 40" xfId="4176" xr:uid="{00000000-0005-0000-0000-000050100000}"/>
    <cellStyle name="표준 2 41" xfId="4177" xr:uid="{00000000-0005-0000-0000-000051100000}"/>
    <cellStyle name="표준 2 42" xfId="4178" xr:uid="{00000000-0005-0000-0000-000052100000}"/>
    <cellStyle name="표준 2 43" xfId="4179" xr:uid="{00000000-0005-0000-0000-000053100000}"/>
    <cellStyle name="표준 2 44" xfId="4180" xr:uid="{00000000-0005-0000-0000-000054100000}"/>
    <cellStyle name="표준 2 45" xfId="4181" xr:uid="{00000000-0005-0000-0000-000055100000}"/>
    <cellStyle name="표준 2 46" xfId="4182" xr:uid="{00000000-0005-0000-0000-000056100000}"/>
    <cellStyle name="표준 2 47" xfId="4183" xr:uid="{00000000-0005-0000-0000-000057100000}"/>
    <cellStyle name="표준 2 48" xfId="4184" xr:uid="{00000000-0005-0000-0000-000058100000}"/>
    <cellStyle name="표준 2 49" xfId="4185" xr:uid="{00000000-0005-0000-0000-000059100000}"/>
    <cellStyle name="표준 2 5" xfId="4186" xr:uid="{00000000-0005-0000-0000-00005A100000}"/>
    <cellStyle name="표준 2 5 2" xfId="4187" xr:uid="{00000000-0005-0000-0000-00005B100000}"/>
    <cellStyle name="표준 2 5 2 2" xfId="4188" xr:uid="{00000000-0005-0000-0000-00005C100000}"/>
    <cellStyle name="표준 2 5 2 3" xfId="4189" xr:uid="{00000000-0005-0000-0000-00005D100000}"/>
    <cellStyle name="표준 2 50" xfId="4190" xr:uid="{00000000-0005-0000-0000-00005E100000}"/>
    <cellStyle name="표준 2 51" xfId="4191" xr:uid="{00000000-0005-0000-0000-00005F100000}"/>
    <cellStyle name="표준 2 52" xfId="4192" xr:uid="{00000000-0005-0000-0000-000060100000}"/>
    <cellStyle name="표준 2 53" xfId="4193" xr:uid="{00000000-0005-0000-0000-000061100000}"/>
    <cellStyle name="표준 2 54" xfId="4194" xr:uid="{00000000-0005-0000-0000-000062100000}"/>
    <cellStyle name="표준 2 55" xfId="4195" xr:uid="{00000000-0005-0000-0000-000063100000}"/>
    <cellStyle name="표준 2 56" xfId="4196" xr:uid="{00000000-0005-0000-0000-000064100000}"/>
    <cellStyle name="표준 2 57" xfId="4197" xr:uid="{00000000-0005-0000-0000-000065100000}"/>
    <cellStyle name="표준 2 58" xfId="4198" xr:uid="{00000000-0005-0000-0000-000066100000}"/>
    <cellStyle name="표준 2 59" xfId="4199" xr:uid="{00000000-0005-0000-0000-000067100000}"/>
    <cellStyle name="표준 2 6" xfId="4200" xr:uid="{00000000-0005-0000-0000-000068100000}"/>
    <cellStyle name="표준 2 6 2" xfId="4201" xr:uid="{00000000-0005-0000-0000-000069100000}"/>
    <cellStyle name="표준 2 6 2 2" xfId="4202" xr:uid="{00000000-0005-0000-0000-00006A100000}"/>
    <cellStyle name="표준 2 6 2 3" xfId="4203" xr:uid="{00000000-0005-0000-0000-00006B100000}"/>
    <cellStyle name="표준 2 60" xfId="4204" xr:uid="{00000000-0005-0000-0000-00006C100000}"/>
    <cellStyle name="표준 2 61" xfId="4205" xr:uid="{00000000-0005-0000-0000-00006D100000}"/>
    <cellStyle name="표준 2 62" xfId="4206" xr:uid="{00000000-0005-0000-0000-00006E100000}"/>
    <cellStyle name="표준 2 63" xfId="4207" xr:uid="{00000000-0005-0000-0000-00006F100000}"/>
    <cellStyle name="표준 2 64" xfId="4208" xr:uid="{00000000-0005-0000-0000-000070100000}"/>
    <cellStyle name="표준 2 65" xfId="4209" xr:uid="{00000000-0005-0000-0000-000071100000}"/>
    <cellStyle name="표준 2 66" xfId="4210" xr:uid="{00000000-0005-0000-0000-000072100000}"/>
    <cellStyle name="표준 2 67" xfId="5190" xr:uid="{ED8176CD-A0FE-4C68-BAB5-BC09E4A3C01B}"/>
    <cellStyle name="표준 2 67 2" xfId="6271" xr:uid="{ED8176CD-A0FE-4C68-BAB5-BC09E4A3C01B}"/>
    <cellStyle name="표준 2 7" xfId="4211" xr:uid="{00000000-0005-0000-0000-000073100000}"/>
    <cellStyle name="표준 2 7 2" xfId="4212" xr:uid="{00000000-0005-0000-0000-000074100000}"/>
    <cellStyle name="표준 2 7 2 2" xfId="4213" xr:uid="{00000000-0005-0000-0000-000075100000}"/>
    <cellStyle name="표준 2 7 2 3" xfId="4214" xr:uid="{00000000-0005-0000-0000-000076100000}"/>
    <cellStyle name="표준 2 7 3" xfId="4215" xr:uid="{00000000-0005-0000-0000-000077100000}"/>
    <cellStyle name="표준 2 7 4" xfId="4216" xr:uid="{00000000-0005-0000-0000-000078100000}"/>
    <cellStyle name="표준 2 7 5" xfId="4217" xr:uid="{00000000-0005-0000-0000-000079100000}"/>
    <cellStyle name="표준 2 7 6" xfId="4218" xr:uid="{00000000-0005-0000-0000-00007A100000}"/>
    <cellStyle name="표준 2 8" xfId="4219" xr:uid="{00000000-0005-0000-0000-00007B100000}"/>
    <cellStyle name="표준 2 8 2" xfId="4220" xr:uid="{00000000-0005-0000-0000-00007C100000}"/>
    <cellStyle name="표준 2 8 3" xfId="4221" xr:uid="{00000000-0005-0000-0000-00007D100000}"/>
    <cellStyle name="표준 2 8 4" xfId="4222" xr:uid="{00000000-0005-0000-0000-00007E100000}"/>
    <cellStyle name="표준 2 8 5" xfId="4223" xr:uid="{00000000-0005-0000-0000-00007F100000}"/>
    <cellStyle name="표준 2 8 5 2" xfId="4224" xr:uid="{00000000-0005-0000-0000-000080100000}"/>
    <cellStyle name="표준 2 8 5 3" xfId="4225" xr:uid="{00000000-0005-0000-0000-000081100000}"/>
    <cellStyle name="표준 2 8_1.부동산행정정보일원화 12년사업 내역서-1_5" xfId="4226" xr:uid="{00000000-0005-0000-0000-000082100000}"/>
    <cellStyle name="표준 2 9" xfId="4227" xr:uid="{00000000-0005-0000-0000-000083100000}"/>
    <cellStyle name="표준 2 9 2" xfId="4228" xr:uid="{00000000-0005-0000-0000-000084100000}"/>
    <cellStyle name="표준 2 9 3" xfId="4229" xr:uid="{00000000-0005-0000-0000-000085100000}"/>
    <cellStyle name="표준 2 9 4" xfId="4230" xr:uid="{00000000-0005-0000-0000-000086100000}"/>
    <cellStyle name="표준 2 9 5" xfId="4231" xr:uid="{00000000-0005-0000-0000-000087100000}"/>
    <cellStyle name="표준 2 9 5 2" xfId="4232" xr:uid="{00000000-0005-0000-0000-000088100000}"/>
    <cellStyle name="표준 2 9 5 3" xfId="4233" xr:uid="{00000000-0005-0000-0000-000089100000}"/>
    <cellStyle name="표준 2 9_1.부동산행정정보일원화 12년사업 내역서-1_5" xfId="4234" xr:uid="{00000000-0005-0000-0000-00008A100000}"/>
    <cellStyle name="표준 2_2011년 개별주택 프로그램 변경작업 일정표 Ver1.2" xfId="4235" xr:uid="{00000000-0005-0000-0000-00008B100000}"/>
    <cellStyle name="표준 20" xfId="4236" xr:uid="{00000000-0005-0000-0000-00008C100000}"/>
    <cellStyle name="표준 20 10" xfId="4237" xr:uid="{00000000-0005-0000-0000-00008D100000}"/>
    <cellStyle name="표준 20 10 2" xfId="4238" xr:uid="{00000000-0005-0000-0000-00008E100000}"/>
    <cellStyle name="표준 20 10 3" xfId="4239" xr:uid="{00000000-0005-0000-0000-00008F100000}"/>
    <cellStyle name="표준 20 10 4" xfId="4240" xr:uid="{00000000-0005-0000-0000-000090100000}"/>
    <cellStyle name="표준 20 10_1.부동산행정정보일원화 12년사업 내역서-1_5" xfId="4241" xr:uid="{00000000-0005-0000-0000-000091100000}"/>
    <cellStyle name="표준 20 11" xfId="4242" xr:uid="{00000000-0005-0000-0000-000092100000}"/>
    <cellStyle name="표준 20 12" xfId="4243" xr:uid="{00000000-0005-0000-0000-000093100000}"/>
    <cellStyle name="표준 20 13" xfId="4244" xr:uid="{00000000-0005-0000-0000-000094100000}"/>
    <cellStyle name="표준 20 2" xfId="4245" xr:uid="{00000000-0005-0000-0000-000095100000}"/>
    <cellStyle name="표준 20 2 2" xfId="4246" xr:uid="{00000000-0005-0000-0000-000096100000}"/>
    <cellStyle name="표준 20 2 3" xfId="4247" xr:uid="{00000000-0005-0000-0000-000097100000}"/>
    <cellStyle name="표준 20 2 4" xfId="4248" xr:uid="{00000000-0005-0000-0000-000098100000}"/>
    <cellStyle name="표준 20 2_1.부동산행정정보일원화 12년사업 내역서-1_5" xfId="4249" xr:uid="{00000000-0005-0000-0000-000099100000}"/>
    <cellStyle name="표준 20 3" xfId="4250" xr:uid="{00000000-0005-0000-0000-00009A100000}"/>
    <cellStyle name="표준 20 3 2" xfId="4251" xr:uid="{00000000-0005-0000-0000-00009B100000}"/>
    <cellStyle name="표준 20 3 3" xfId="4252" xr:uid="{00000000-0005-0000-0000-00009C100000}"/>
    <cellStyle name="표준 20 3 4" xfId="4253" xr:uid="{00000000-0005-0000-0000-00009D100000}"/>
    <cellStyle name="표준 20 3_1.부동산행정정보일원화 12년사업 내역서-1_5" xfId="4254" xr:uid="{00000000-0005-0000-0000-00009E100000}"/>
    <cellStyle name="표준 20 4" xfId="4255" xr:uid="{00000000-0005-0000-0000-00009F100000}"/>
    <cellStyle name="표준 20 4 2" xfId="4256" xr:uid="{00000000-0005-0000-0000-0000A0100000}"/>
    <cellStyle name="표준 20 4 3" xfId="4257" xr:uid="{00000000-0005-0000-0000-0000A1100000}"/>
    <cellStyle name="표준 20 4 4" xfId="4258" xr:uid="{00000000-0005-0000-0000-0000A2100000}"/>
    <cellStyle name="표준 20 4_1.부동산행정정보일원화 12년사업 내역서-1_5" xfId="4259" xr:uid="{00000000-0005-0000-0000-0000A3100000}"/>
    <cellStyle name="표준 20 5" xfId="4260" xr:uid="{00000000-0005-0000-0000-0000A4100000}"/>
    <cellStyle name="표준 20 5 2" xfId="4261" xr:uid="{00000000-0005-0000-0000-0000A5100000}"/>
    <cellStyle name="표준 20 5 3" xfId="4262" xr:uid="{00000000-0005-0000-0000-0000A6100000}"/>
    <cellStyle name="표준 20 5 4" xfId="4263" xr:uid="{00000000-0005-0000-0000-0000A7100000}"/>
    <cellStyle name="표준 20 5_1.부동산행정정보일원화 12년사업 내역서-1_5" xfId="4264" xr:uid="{00000000-0005-0000-0000-0000A8100000}"/>
    <cellStyle name="표준 20 6" xfId="4265" xr:uid="{00000000-0005-0000-0000-0000A9100000}"/>
    <cellStyle name="표준 20 6 2" xfId="4266" xr:uid="{00000000-0005-0000-0000-0000AA100000}"/>
    <cellStyle name="표준 20 6 3" xfId="4267" xr:uid="{00000000-0005-0000-0000-0000AB100000}"/>
    <cellStyle name="표준 20 6 4" xfId="4268" xr:uid="{00000000-0005-0000-0000-0000AC100000}"/>
    <cellStyle name="표준 20 6_1.부동산행정정보일원화 12년사업 내역서-1_5" xfId="4269" xr:uid="{00000000-0005-0000-0000-0000AD100000}"/>
    <cellStyle name="표준 20 7" xfId="4270" xr:uid="{00000000-0005-0000-0000-0000AE100000}"/>
    <cellStyle name="표준 20 7 2" xfId="4271" xr:uid="{00000000-0005-0000-0000-0000AF100000}"/>
    <cellStyle name="표준 20 7 3" xfId="4272" xr:uid="{00000000-0005-0000-0000-0000B0100000}"/>
    <cellStyle name="표준 20 7 4" xfId="4273" xr:uid="{00000000-0005-0000-0000-0000B1100000}"/>
    <cellStyle name="표준 20 7_1.부동산행정정보일원화 12년사업 내역서-1_5" xfId="4274" xr:uid="{00000000-0005-0000-0000-0000B2100000}"/>
    <cellStyle name="표준 20 8" xfId="4275" xr:uid="{00000000-0005-0000-0000-0000B3100000}"/>
    <cellStyle name="표준 20 8 2" xfId="4276" xr:uid="{00000000-0005-0000-0000-0000B4100000}"/>
    <cellStyle name="표준 20 8 3" xfId="4277" xr:uid="{00000000-0005-0000-0000-0000B5100000}"/>
    <cellStyle name="표준 20 8 4" xfId="4278" xr:uid="{00000000-0005-0000-0000-0000B6100000}"/>
    <cellStyle name="표준 20 8_1.부동산행정정보일원화 12년사업 내역서-1_5" xfId="4279" xr:uid="{00000000-0005-0000-0000-0000B7100000}"/>
    <cellStyle name="표준 20 9" xfId="4280" xr:uid="{00000000-0005-0000-0000-0000B8100000}"/>
    <cellStyle name="표준 20 9 2" xfId="4281" xr:uid="{00000000-0005-0000-0000-0000B9100000}"/>
    <cellStyle name="표준 20 9 3" xfId="4282" xr:uid="{00000000-0005-0000-0000-0000BA100000}"/>
    <cellStyle name="표준 20 9 4" xfId="4283" xr:uid="{00000000-0005-0000-0000-0000BB100000}"/>
    <cellStyle name="표준 20 9_1.부동산행정정보일원화 12년사업 내역서-1_5" xfId="4284" xr:uid="{00000000-0005-0000-0000-0000BC100000}"/>
    <cellStyle name="표준 20_1.부동산행정정보일원화 12년사업 내역서-1_5" xfId="4285" xr:uid="{00000000-0005-0000-0000-0000BD100000}"/>
    <cellStyle name="표준 21" xfId="4286" xr:uid="{00000000-0005-0000-0000-0000BE100000}"/>
    <cellStyle name="표준 21 10" xfId="4287" xr:uid="{00000000-0005-0000-0000-0000BF100000}"/>
    <cellStyle name="표준 21 10 2" xfId="4288" xr:uid="{00000000-0005-0000-0000-0000C0100000}"/>
    <cellStyle name="표준 21 10 3" xfId="4289" xr:uid="{00000000-0005-0000-0000-0000C1100000}"/>
    <cellStyle name="표준 21 10 4" xfId="4290" xr:uid="{00000000-0005-0000-0000-0000C2100000}"/>
    <cellStyle name="표준 21 10_1.부동산행정정보일원화 12년사업 내역서-1_5" xfId="4291" xr:uid="{00000000-0005-0000-0000-0000C3100000}"/>
    <cellStyle name="표준 21 11" xfId="4292" xr:uid="{00000000-0005-0000-0000-0000C4100000}"/>
    <cellStyle name="표준 21 12" xfId="4293" xr:uid="{00000000-0005-0000-0000-0000C5100000}"/>
    <cellStyle name="표준 21 13" xfId="4294" xr:uid="{00000000-0005-0000-0000-0000C6100000}"/>
    <cellStyle name="표준 21 2" xfId="4295" xr:uid="{00000000-0005-0000-0000-0000C7100000}"/>
    <cellStyle name="표준 21 2 2" xfId="4296" xr:uid="{00000000-0005-0000-0000-0000C8100000}"/>
    <cellStyle name="표준 21 2 3" xfId="4297" xr:uid="{00000000-0005-0000-0000-0000C9100000}"/>
    <cellStyle name="표준 21 2 4" xfId="4298" xr:uid="{00000000-0005-0000-0000-0000CA100000}"/>
    <cellStyle name="표준 21 2_1.부동산행정정보일원화 12년사업 내역서-1_5" xfId="4299" xr:uid="{00000000-0005-0000-0000-0000CB100000}"/>
    <cellStyle name="표준 21 3" xfId="4300" xr:uid="{00000000-0005-0000-0000-0000CC100000}"/>
    <cellStyle name="표준 21 3 2" xfId="4301" xr:uid="{00000000-0005-0000-0000-0000CD100000}"/>
    <cellStyle name="표준 21 3 3" xfId="4302" xr:uid="{00000000-0005-0000-0000-0000CE100000}"/>
    <cellStyle name="표준 21 3 4" xfId="4303" xr:uid="{00000000-0005-0000-0000-0000CF100000}"/>
    <cellStyle name="표준 21 3_1.부동산행정정보일원화 12년사업 내역서-1_5" xfId="4304" xr:uid="{00000000-0005-0000-0000-0000D0100000}"/>
    <cellStyle name="표준 21 4" xfId="4305" xr:uid="{00000000-0005-0000-0000-0000D1100000}"/>
    <cellStyle name="표준 21 4 2" xfId="4306" xr:uid="{00000000-0005-0000-0000-0000D2100000}"/>
    <cellStyle name="표준 21 4 3" xfId="4307" xr:uid="{00000000-0005-0000-0000-0000D3100000}"/>
    <cellStyle name="표준 21 4 4" xfId="4308" xr:uid="{00000000-0005-0000-0000-0000D4100000}"/>
    <cellStyle name="표준 21 4_1.부동산행정정보일원화 12년사업 내역서-1_5" xfId="4309" xr:uid="{00000000-0005-0000-0000-0000D5100000}"/>
    <cellStyle name="표준 21 5" xfId="4310" xr:uid="{00000000-0005-0000-0000-0000D6100000}"/>
    <cellStyle name="표준 21 5 2" xfId="4311" xr:uid="{00000000-0005-0000-0000-0000D7100000}"/>
    <cellStyle name="표준 21 5 3" xfId="4312" xr:uid="{00000000-0005-0000-0000-0000D8100000}"/>
    <cellStyle name="표준 21 5 4" xfId="4313" xr:uid="{00000000-0005-0000-0000-0000D9100000}"/>
    <cellStyle name="표준 21 5_1.부동산행정정보일원화 12년사업 내역서-1_5" xfId="4314" xr:uid="{00000000-0005-0000-0000-0000DA100000}"/>
    <cellStyle name="표준 21 6" xfId="4315" xr:uid="{00000000-0005-0000-0000-0000DB100000}"/>
    <cellStyle name="표준 21 6 2" xfId="4316" xr:uid="{00000000-0005-0000-0000-0000DC100000}"/>
    <cellStyle name="표준 21 6 3" xfId="4317" xr:uid="{00000000-0005-0000-0000-0000DD100000}"/>
    <cellStyle name="표준 21 6 4" xfId="4318" xr:uid="{00000000-0005-0000-0000-0000DE100000}"/>
    <cellStyle name="표준 21 6_1.부동산행정정보일원화 12년사업 내역서-1_5" xfId="4319" xr:uid="{00000000-0005-0000-0000-0000DF100000}"/>
    <cellStyle name="표준 21 7" xfId="4320" xr:uid="{00000000-0005-0000-0000-0000E0100000}"/>
    <cellStyle name="표준 21 7 2" xfId="4321" xr:uid="{00000000-0005-0000-0000-0000E1100000}"/>
    <cellStyle name="표준 21 7 3" xfId="4322" xr:uid="{00000000-0005-0000-0000-0000E2100000}"/>
    <cellStyle name="표준 21 7 4" xfId="4323" xr:uid="{00000000-0005-0000-0000-0000E3100000}"/>
    <cellStyle name="표준 21 7_1.부동산행정정보일원화 12년사업 내역서-1_5" xfId="4324" xr:uid="{00000000-0005-0000-0000-0000E4100000}"/>
    <cellStyle name="표준 21 8" xfId="4325" xr:uid="{00000000-0005-0000-0000-0000E5100000}"/>
    <cellStyle name="표준 21 8 2" xfId="4326" xr:uid="{00000000-0005-0000-0000-0000E6100000}"/>
    <cellStyle name="표준 21 8 3" xfId="4327" xr:uid="{00000000-0005-0000-0000-0000E7100000}"/>
    <cellStyle name="표준 21 8 4" xfId="4328" xr:uid="{00000000-0005-0000-0000-0000E8100000}"/>
    <cellStyle name="표준 21 8_1.부동산행정정보일원화 12년사업 내역서-1_5" xfId="4329" xr:uid="{00000000-0005-0000-0000-0000E9100000}"/>
    <cellStyle name="표준 21 9" xfId="4330" xr:uid="{00000000-0005-0000-0000-0000EA100000}"/>
    <cellStyle name="표준 21 9 2" xfId="4331" xr:uid="{00000000-0005-0000-0000-0000EB100000}"/>
    <cellStyle name="표준 21 9 3" xfId="4332" xr:uid="{00000000-0005-0000-0000-0000EC100000}"/>
    <cellStyle name="표준 21 9 4" xfId="4333" xr:uid="{00000000-0005-0000-0000-0000ED100000}"/>
    <cellStyle name="표준 21 9_1.부동산행정정보일원화 12년사업 내역서-1_5" xfId="4334" xr:uid="{00000000-0005-0000-0000-0000EE100000}"/>
    <cellStyle name="표준 21_1.부동산행정정보일원화 12년사업 내역서-1_5" xfId="4335" xr:uid="{00000000-0005-0000-0000-0000EF100000}"/>
    <cellStyle name="표준 22" xfId="4336" xr:uid="{00000000-0005-0000-0000-0000F0100000}"/>
    <cellStyle name="표준 22 10" xfId="4337" xr:uid="{00000000-0005-0000-0000-0000F1100000}"/>
    <cellStyle name="표준 22 10 2" xfId="4338" xr:uid="{00000000-0005-0000-0000-0000F2100000}"/>
    <cellStyle name="표준 22 10 3" xfId="4339" xr:uid="{00000000-0005-0000-0000-0000F3100000}"/>
    <cellStyle name="표준 22 10 4" xfId="4340" xr:uid="{00000000-0005-0000-0000-0000F4100000}"/>
    <cellStyle name="표준 22 10_1.부동산행정정보일원화 12년사업 내역서-1_5" xfId="4341" xr:uid="{00000000-0005-0000-0000-0000F5100000}"/>
    <cellStyle name="표준 22 11" xfId="4342" xr:uid="{00000000-0005-0000-0000-0000F6100000}"/>
    <cellStyle name="표준 22 12" xfId="4343" xr:uid="{00000000-0005-0000-0000-0000F7100000}"/>
    <cellStyle name="표준 22 13" xfId="4344" xr:uid="{00000000-0005-0000-0000-0000F8100000}"/>
    <cellStyle name="표준 22 2" xfId="4345" xr:uid="{00000000-0005-0000-0000-0000F9100000}"/>
    <cellStyle name="표준 22 2 2" xfId="4346" xr:uid="{00000000-0005-0000-0000-0000FA100000}"/>
    <cellStyle name="표준 22 2 3" xfId="4347" xr:uid="{00000000-0005-0000-0000-0000FB100000}"/>
    <cellStyle name="표준 22 2 4" xfId="4348" xr:uid="{00000000-0005-0000-0000-0000FC100000}"/>
    <cellStyle name="표준 22 2_1.부동산행정정보일원화 12년사업 내역서-1_5" xfId="4349" xr:uid="{00000000-0005-0000-0000-0000FD100000}"/>
    <cellStyle name="표준 22 3" xfId="4350" xr:uid="{00000000-0005-0000-0000-0000FE100000}"/>
    <cellStyle name="표준 22 3 2" xfId="4351" xr:uid="{00000000-0005-0000-0000-0000FF100000}"/>
    <cellStyle name="표준 22 3 3" xfId="4352" xr:uid="{00000000-0005-0000-0000-000000110000}"/>
    <cellStyle name="표준 22 3 4" xfId="4353" xr:uid="{00000000-0005-0000-0000-000001110000}"/>
    <cellStyle name="표준 22 3_1.부동산행정정보일원화 12년사업 내역서-1_5" xfId="4354" xr:uid="{00000000-0005-0000-0000-000002110000}"/>
    <cellStyle name="표준 22 4" xfId="4355" xr:uid="{00000000-0005-0000-0000-000003110000}"/>
    <cellStyle name="표준 22 4 2" xfId="4356" xr:uid="{00000000-0005-0000-0000-000004110000}"/>
    <cellStyle name="표준 22 4 3" xfId="4357" xr:uid="{00000000-0005-0000-0000-000005110000}"/>
    <cellStyle name="표준 22 4 4" xfId="4358" xr:uid="{00000000-0005-0000-0000-000006110000}"/>
    <cellStyle name="표준 22 4_1.부동산행정정보일원화 12년사업 내역서-1_5" xfId="4359" xr:uid="{00000000-0005-0000-0000-000007110000}"/>
    <cellStyle name="표준 22 5" xfId="4360" xr:uid="{00000000-0005-0000-0000-000008110000}"/>
    <cellStyle name="표준 22 5 2" xfId="4361" xr:uid="{00000000-0005-0000-0000-000009110000}"/>
    <cellStyle name="표준 22 5 3" xfId="4362" xr:uid="{00000000-0005-0000-0000-00000A110000}"/>
    <cellStyle name="표준 22 5 4" xfId="4363" xr:uid="{00000000-0005-0000-0000-00000B110000}"/>
    <cellStyle name="표준 22 5_1.부동산행정정보일원화 12년사업 내역서-1_5" xfId="4364" xr:uid="{00000000-0005-0000-0000-00000C110000}"/>
    <cellStyle name="표준 22 6" xfId="4365" xr:uid="{00000000-0005-0000-0000-00000D110000}"/>
    <cellStyle name="표준 22 6 2" xfId="4366" xr:uid="{00000000-0005-0000-0000-00000E110000}"/>
    <cellStyle name="표준 22 6 3" xfId="4367" xr:uid="{00000000-0005-0000-0000-00000F110000}"/>
    <cellStyle name="표준 22 6 4" xfId="4368" xr:uid="{00000000-0005-0000-0000-000010110000}"/>
    <cellStyle name="표준 22 6_1.부동산행정정보일원화 12년사업 내역서-1_5" xfId="4369" xr:uid="{00000000-0005-0000-0000-000011110000}"/>
    <cellStyle name="표준 22 7" xfId="4370" xr:uid="{00000000-0005-0000-0000-000012110000}"/>
    <cellStyle name="표준 22 7 2" xfId="4371" xr:uid="{00000000-0005-0000-0000-000013110000}"/>
    <cellStyle name="표준 22 7 3" xfId="4372" xr:uid="{00000000-0005-0000-0000-000014110000}"/>
    <cellStyle name="표준 22 7 4" xfId="4373" xr:uid="{00000000-0005-0000-0000-000015110000}"/>
    <cellStyle name="표준 22 7_1.부동산행정정보일원화 12년사업 내역서-1_5" xfId="4374" xr:uid="{00000000-0005-0000-0000-000016110000}"/>
    <cellStyle name="표준 22 8" xfId="4375" xr:uid="{00000000-0005-0000-0000-000017110000}"/>
    <cellStyle name="표준 22 8 2" xfId="4376" xr:uid="{00000000-0005-0000-0000-000018110000}"/>
    <cellStyle name="표준 22 8 3" xfId="4377" xr:uid="{00000000-0005-0000-0000-000019110000}"/>
    <cellStyle name="표준 22 8 4" xfId="4378" xr:uid="{00000000-0005-0000-0000-00001A110000}"/>
    <cellStyle name="표준 22 8_1.부동산행정정보일원화 12년사업 내역서-1_5" xfId="4379" xr:uid="{00000000-0005-0000-0000-00001B110000}"/>
    <cellStyle name="표준 22 9" xfId="4380" xr:uid="{00000000-0005-0000-0000-00001C110000}"/>
    <cellStyle name="표준 22 9 2" xfId="4381" xr:uid="{00000000-0005-0000-0000-00001D110000}"/>
    <cellStyle name="표준 22 9 3" xfId="4382" xr:uid="{00000000-0005-0000-0000-00001E110000}"/>
    <cellStyle name="표준 22 9 4" xfId="4383" xr:uid="{00000000-0005-0000-0000-00001F110000}"/>
    <cellStyle name="표준 22 9_1.부동산행정정보일원화 12년사업 내역서-1_5" xfId="4384" xr:uid="{00000000-0005-0000-0000-000020110000}"/>
    <cellStyle name="표준 22_1.부동산행정정보일원화 12년사업 내역서-1_5" xfId="4385" xr:uid="{00000000-0005-0000-0000-000021110000}"/>
    <cellStyle name="표준 23" xfId="4386" xr:uid="{00000000-0005-0000-0000-000022110000}"/>
    <cellStyle name="표준 23 2" xfId="4387" xr:uid="{00000000-0005-0000-0000-000023110000}"/>
    <cellStyle name="표준 23 3" xfId="4388" xr:uid="{00000000-0005-0000-0000-000024110000}"/>
    <cellStyle name="표준 23 4" xfId="4389" xr:uid="{00000000-0005-0000-0000-000025110000}"/>
    <cellStyle name="표준 23 5" xfId="4390" xr:uid="{00000000-0005-0000-0000-000026110000}"/>
    <cellStyle name="표준 24" xfId="4391" xr:uid="{00000000-0005-0000-0000-000027110000}"/>
    <cellStyle name="표준 24 2" xfId="4392" xr:uid="{00000000-0005-0000-0000-000028110000}"/>
    <cellStyle name="표준 24 3" xfId="4393" xr:uid="{00000000-0005-0000-0000-000029110000}"/>
    <cellStyle name="표준 24 4" xfId="4394" xr:uid="{00000000-0005-0000-0000-00002A110000}"/>
    <cellStyle name="표준 24 5" xfId="4395" xr:uid="{00000000-0005-0000-0000-00002B110000}"/>
    <cellStyle name="표준 25" xfId="4396" xr:uid="{00000000-0005-0000-0000-00002C110000}"/>
    <cellStyle name="표준 25 2" xfId="4397" xr:uid="{00000000-0005-0000-0000-00002D110000}"/>
    <cellStyle name="표준 25 3" xfId="4398" xr:uid="{00000000-0005-0000-0000-00002E110000}"/>
    <cellStyle name="표준 25 4" xfId="4399" xr:uid="{00000000-0005-0000-0000-00002F110000}"/>
    <cellStyle name="표준 25 5" xfId="4400" xr:uid="{00000000-0005-0000-0000-000030110000}"/>
    <cellStyle name="표준 26" xfId="4401" xr:uid="{00000000-0005-0000-0000-000031110000}"/>
    <cellStyle name="표준 26 2" xfId="4402" xr:uid="{00000000-0005-0000-0000-000032110000}"/>
    <cellStyle name="표준 26 3" xfId="4403" xr:uid="{00000000-0005-0000-0000-000033110000}"/>
    <cellStyle name="표준 26 4" xfId="4404" xr:uid="{00000000-0005-0000-0000-000034110000}"/>
    <cellStyle name="표준 26_1.부동산행정정보일원화 12년사업 내역서-1_5" xfId="4405" xr:uid="{00000000-0005-0000-0000-000035110000}"/>
    <cellStyle name="표준 27" xfId="4406" xr:uid="{00000000-0005-0000-0000-000036110000}"/>
    <cellStyle name="표준 27 2" xfId="4407" xr:uid="{00000000-0005-0000-0000-000037110000}"/>
    <cellStyle name="표준 27 3" xfId="4408" xr:uid="{00000000-0005-0000-0000-000038110000}"/>
    <cellStyle name="표준 27 4" xfId="4409" xr:uid="{00000000-0005-0000-0000-000039110000}"/>
    <cellStyle name="표준 27 5" xfId="4410" xr:uid="{00000000-0005-0000-0000-00003A110000}"/>
    <cellStyle name="표준 28" xfId="4411" xr:uid="{00000000-0005-0000-0000-00003B110000}"/>
    <cellStyle name="표준 29" xfId="4412" xr:uid="{00000000-0005-0000-0000-00003C110000}"/>
    <cellStyle name="표준 3" xfId="4413" xr:uid="{00000000-0005-0000-0000-00003D110000}"/>
    <cellStyle name="표준 3 10" xfId="4414" xr:uid="{00000000-0005-0000-0000-00003E110000}"/>
    <cellStyle name="표준 3 2" xfId="4415" xr:uid="{00000000-0005-0000-0000-00003F110000}"/>
    <cellStyle name="표준 3 2 2" xfId="4416" xr:uid="{00000000-0005-0000-0000-000040110000}"/>
    <cellStyle name="표준 3 3" xfId="4417" xr:uid="{00000000-0005-0000-0000-000041110000}"/>
    <cellStyle name="표준 3 3 2" xfId="4418" xr:uid="{00000000-0005-0000-0000-000042110000}"/>
    <cellStyle name="표준 3 4" xfId="4419" xr:uid="{00000000-0005-0000-0000-000043110000}"/>
    <cellStyle name="표준 3 4 2" xfId="4420" xr:uid="{00000000-0005-0000-0000-000044110000}"/>
    <cellStyle name="표준 3 5" xfId="4421" xr:uid="{00000000-0005-0000-0000-000045110000}"/>
    <cellStyle name="표준 3 5 2" xfId="4422" xr:uid="{00000000-0005-0000-0000-000046110000}"/>
    <cellStyle name="표준 3 6" xfId="4423" xr:uid="{00000000-0005-0000-0000-000047110000}"/>
    <cellStyle name="표준 3 6 2" xfId="4424" xr:uid="{00000000-0005-0000-0000-000048110000}"/>
    <cellStyle name="표준 3 7" xfId="4425" xr:uid="{00000000-0005-0000-0000-000049110000}"/>
    <cellStyle name="표준 3 7 2" xfId="4426" xr:uid="{00000000-0005-0000-0000-00004A110000}"/>
    <cellStyle name="표준 3 8" xfId="4427" xr:uid="{00000000-0005-0000-0000-00004B110000}"/>
    <cellStyle name="표준 3 9" xfId="4428" xr:uid="{00000000-0005-0000-0000-00004C110000}"/>
    <cellStyle name="표준 30" xfId="4429" xr:uid="{00000000-0005-0000-0000-00004D110000}"/>
    <cellStyle name="표준 30 2" xfId="4430" xr:uid="{00000000-0005-0000-0000-00004E110000}"/>
    <cellStyle name="표준 30 3" xfId="4431" xr:uid="{00000000-0005-0000-0000-00004F110000}"/>
    <cellStyle name="표준 30 4" xfId="4432" xr:uid="{00000000-0005-0000-0000-000050110000}"/>
    <cellStyle name="표준 30 5" xfId="4433" xr:uid="{00000000-0005-0000-0000-000051110000}"/>
    <cellStyle name="표준 31" xfId="4434" xr:uid="{00000000-0005-0000-0000-000052110000}"/>
    <cellStyle name="표준 32" xfId="4435" xr:uid="{00000000-0005-0000-0000-000053110000}"/>
    <cellStyle name="표준 33" xfId="4436" xr:uid="{00000000-0005-0000-0000-000054110000}"/>
    <cellStyle name="표준 33 2" xfId="4437" xr:uid="{00000000-0005-0000-0000-000055110000}"/>
    <cellStyle name="표준 33 3" xfId="4438" xr:uid="{00000000-0005-0000-0000-000056110000}"/>
    <cellStyle name="표준 33 4" xfId="4439" xr:uid="{00000000-0005-0000-0000-000057110000}"/>
    <cellStyle name="표준 33 5" xfId="4440" xr:uid="{00000000-0005-0000-0000-000058110000}"/>
    <cellStyle name="표준 34" xfId="4441" xr:uid="{00000000-0005-0000-0000-000059110000}"/>
    <cellStyle name="표준 35" xfId="4442" xr:uid="{00000000-0005-0000-0000-00005A110000}"/>
    <cellStyle name="표준 35 2" xfId="4443" xr:uid="{00000000-0005-0000-0000-00005B110000}"/>
    <cellStyle name="표준 35 3" xfId="4444" xr:uid="{00000000-0005-0000-0000-00005C110000}"/>
    <cellStyle name="표준 35 4" xfId="4445" xr:uid="{00000000-0005-0000-0000-00005D110000}"/>
    <cellStyle name="표준 35 5" xfId="4446" xr:uid="{00000000-0005-0000-0000-00005E110000}"/>
    <cellStyle name="표준 36" xfId="4447" xr:uid="{00000000-0005-0000-0000-00005F110000}"/>
    <cellStyle name="표준 37" xfId="4448" xr:uid="{00000000-0005-0000-0000-000060110000}"/>
    <cellStyle name="표준 38" xfId="4449" xr:uid="{00000000-0005-0000-0000-000061110000}"/>
    <cellStyle name="표준 38 2" xfId="4450" xr:uid="{00000000-0005-0000-0000-000062110000}"/>
    <cellStyle name="표준 38 3" xfId="4451" xr:uid="{00000000-0005-0000-0000-000063110000}"/>
    <cellStyle name="표준 38 4" xfId="4452" xr:uid="{00000000-0005-0000-0000-000064110000}"/>
    <cellStyle name="표준 38 5" xfId="4453" xr:uid="{00000000-0005-0000-0000-000065110000}"/>
    <cellStyle name="표준 38 6" xfId="4454" xr:uid="{00000000-0005-0000-0000-000066110000}"/>
    <cellStyle name="표준 38 7" xfId="4455" xr:uid="{00000000-0005-0000-0000-000067110000}"/>
    <cellStyle name="표준 38 8" xfId="4456" xr:uid="{00000000-0005-0000-0000-000068110000}"/>
    <cellStyle name="표준 39" xfId="4457" xr:uid="{00000000-0005-0000-0000-000069110000}"/>
    <cellStyle name="표준 4" xfId="4458" xr:uid="{00000000-0005-0000-0000-00006A110000}"/>
    <cellStyle name="표준 4 10" xfId="4459" xr:uid="{00000000-0005-0000-0000-00006B110000}"/>
    <cellStyle name="표준 4 11" xfId="4460" xr:uid="{00000000-0005-0000-0000-00006C110000}"/>
    <cellStyle name="표준 4 12" xfId="4461" xr:uid="{00000000-0005-0000-0000-00006D110000}"/>
    <cellStyle name="표준 4 13" xfId="4462" xr:uid="{00000000-0005-0000-0000-00006E110000}"/>
    <cellStyle name="표준 4 14" xfId="4463" xr:uid="{00000000-0005-0000-0000-00006F110000}"/>
    <cellStyle name="표준 4 15" xfId="4464" xr:uid="{00000000-0005-0000-0000-000070110000}"/>
    <cellStyle name="표준 4 16" xfId="4465" xr:uid="{00000000-0005-0000-0000-000071110000}"/>
    <cellStyle name="표준 4 17" xfId="4466" xr:uid="{00000000-0005-0000-0000-000072110000}"/>
    <cellStyle name="표준 4 2" xfId="4467" xr:uid="{00000000-0005-0000-0000-000073110000}"/>
    <cellStyle name="표준 4 2 10" xfId="4468" xr:uid="{00000000-0005-0000-0000-000074110000}"/>
    <cellStyle name="표준 4 2 11" xfId="4469" xr:uid="{00000000-0005-0000-0000-000075110000}"/>
    <cellStyle name="표준 4 2 2" xfId="4470" xr:uid="{00000000-0005-0000-0000-000076110000}"/>
    <cellStyle name="표준 4 2 3" xfId="4471" xr:uid="{00000000-0005-0000-0000-000077110000}"/>
    <cellStyle name="표준 4 2 4" xfId="4472" xr:uid="{00000000-0005-0000-0000-000078110000}"/>
    <cellStyle name="표준 4 2 5" xfId="4473" xr:uid="{00000000-0005-0000-0000-000079110000}"/>
    <cellStyle name="표준 4 2 6" xfId="4474" xr:uid="{00000000-0005-0000-0000-00007A110000}"/>
    <cellStyle name="표준 4 2 7" xfId="4475" xr:uid="{00000000-0005-0000-0000-00007B110000}"/>
    <cellStyle name="표준 4 2 8" xfId="4476" xr:uid="{00000000-0005-0000-0000-00007C110000}"/>
    <cellStyle name="표준 4 2 9" xfId="4477" xr:uid="{00000000-0005-0000-0000-00007D110000}"/>
    <cellStyle name="표준 4 3" xfId="4478" xr:uid="{00000000-0005-0000-0000-00007E110000}"/>
    <cellStyle name="표준 4 3 2" xfId="4479" xr:uid="{00000000-0005-0000-0000-00007F110000}"/>
    <cellStyle name="표준 4 4" xfId="4480" xr:uid="{00000000-0005-0000-0000-000080110000}"/>
    <cellStyle name="표준 4 4 2" xfId="4481" xr:uid="{00000000-0005-0000-0000-000081110000}"/>
    <cellStyle name="표준 4 5" xfId="4482" xr:uid="{00000000-0005-0000-0000-000082110000}"/>
    <cellStyle name="표준 4 5 2" xfId="4483" xr:uid="{00000000-0005-0000-0000-000083110000}"/>
    <cellStyle name="표준 4 6" xfId="4484" xr:uid="{00000000-0005-0000-0000-000084110000}"/>
    <cellStyle name="표준 4 6 2" xfId="4485" xr:uid="{00000000-0005-0000-0000-000085110000}"/>
    <cellStyle name="표준 4 7" xfId="4486" xr:uid="{00000000-0005-0000-0000-000086110000}"/>
    <cellStyle name="표준 4 7 2" xfId="4487" xr:uid="{00000000-0005-0000-0000-000087110000}"/>
    <cellStyle name="표준 4 8" xfId="4488" xr:uid="{00000000-0005-0000-0000-000088110000}"/>
    <cellStyle name="표준 4 8 2" xfId="4489" xr:uid="{00000000-0005-0000-0000-000089110000}"/>
    <cellStyle name="표준 4 9" xfId="4490" xr:uid="{00000000-0005-0000-0000-00008A110000}"/>
    <cellStyle name="표준 40" xfId="4491" xr:uid="{00000000-0005-0000-0000-00008B110000}"/>
    <cellStyle name="표준 40 2" xfId="4492" xr:uid="{00000000-0005-0000-0000-00008C110000}"/>
    <cellStyle name="표준 40 3" xfId="4493" xr:uid="{00000000-0005-0000-0000-00008D110000}"/>
    <cellStyle name="표준 40 4" xfId="4494" xr:uid="{00000000-0005-0000-0000-00008E110000}"/>
    <cellStyle name="표준 40 5" xfId="4495" xr:uid="{00000000-0005-0000-0000-00008F110000}"/>
    <cellStyle name="표준 41" xfId="4496" xr:uid="{00000000-0005-0000-0000-000090110000}"/>
    <cellStyle name="표준 42" xfId="4497" xr:uid="{00000000-0005-0000-0000-000091110000}"/>
    <cellStyle name="표준 43" xfId="4498" xr:uid="{00000000-0005-0000-0000-000092110000}"/>
    <cellStyle name="표준 44" xfId="4499" xr:uid="{00000000-0005-0000-0000-000093110000}"/>
    <cellStyle name="표준 45" xfId="4500" xr:uid="{00000000-0005-0000-0000-000094110000}"/>
    <cellStyle name="표준 46" xfId="4501" xr:uid="{00000000-0005-0000-0000-000095110000}"/>
    <cellStyle name="표준 47" xfId="4502" xr:uid="{00000000-0005-0000-0000-000096110000}"/>
    <cellStyle name="표준 48" xfId="4503" xr:uid="{00000000-0005-0000-0000-000097110000}"/>
    <cellStyle name="표준 49" xfId="4504" xr:uid="{00000000-0005-0000-0000-000098110000}"/>
    <cellStyle name="표준 5" xfId="4505" xr:uid="{00000000-0005-0000-0000-000099110000}"/>
    <cellStyle name="표준 5 2" xfId="4506" xr:uid="{00000000-0005-0000-0000-00009A110000}"/>
    <cellStyle name="표준 5 3" xfId="4507" xr:uid="{00000000-0005-0000-0000-00009B110000}"/>
    <cellStyle name="표준 5 4" xfId="4508" xr:uid="{00000000-0005-0000-0000-00009C110000}"/>
    <cellStyle name="표준 5 5" xfId="4509" xr:uid="{00000000-0005-0000-0000-00009D110000}"/>
    <cellStyle name="표준 5 6" xfId="4510" xr:uid="{00000000-0005-0000-0000-00009E110000}"/>
    <cellStyle name="표준 5 7" xfId="4511" xr:uid="{00000000-0005-0000-0000-00009F110000}"/>
    <cellStyle name="표준 5 8" xfId="4512" xr:uid="{00000000-0005-0000-0000-0000A0110000}"/>
    <cellStyle name="표준 5 9" xfId="4513" xr:uid="{00000000-0005-0000-0000-0000A1110000}"/>
    <cellStyle name="표준 50" xfId="4514" xr:uid="{00000000-0005-0000-0000-0000A2110000}"/>
    <cellStyle name="표준 51" xfId="4515" xr:uid="{00000000-0005-0000-0000-0000A3110000}"/>
    <cellStyle name="표준 52" xfId="4516" xr:uid="{00000000-0005-0000-0000-0000A4110000}"/>
    <cellStyle name="표준 53" xfId="4517" xr:uid="{00000000-0005-0000-0000-0000A5110000}"/>
    <cellStyle name="표준 54" xfId="4518" xr:uid="{00000000-0005-0000-0000-0000A6110000}"/>
    <cellStyle name="표준 55" xfId="4519" xr:uid="{00000000-0005-0000-0000-0000A7110000}"/>
    <cellStyle name="표준 56" xfId="4520" xr:uid="{00000000-0005-0000-0000-0000A8110000}"/>
    <cellStyle name="표준 57" xfId="4521" xr:uid="{00000000-0005-0000-0000-0000A9110000}"/>
    <cellStyle name="표준 58" xfId="4522" xr:uid="{00000000-0005-0000-0000-0000AA110000}"/>
    <cellStyle name="표준 59" xfId="4523" xr:uid="{00000000-0005-0000-0000-0000AB110000}"/>
    <cellStyle name="표준 6" xfId="4524" xr:uid="{00000000-0005-0000-0000-0000AC110000}"/>
    <cellStyle name="표준 6 2" xfId="4525" xr:uid="{00000000-0005-0000-0000-0000AD110000}"/>
    <cellStyle name="표준 6 3" xfId="4526" xr:uid="{00000000-0005-0000-0000-0000AE110000}"/>
    <cellStyle name="표준 6 4" xfId="4527" xr:uid="{00000000-0005-0000-0000-0000AF110000}"/>
    <cellStyle name="표준 6 5" xfId="4528" xr:uid="{00000000-0005-0000-0000-0000B0110000}"/>
    <cellStyle name="표준 6 6" xfId="4529" xr:uid="{00000000-0005-0000-0000-0000B1110000}"/>
    <cellStyle name="표준 6 7" xfId="4530" xr:uid="{00000000-0005-0000-0000-0000B2110000}"/>
    <cellStyle name="표준 6 8" xfId="4531" xr:uid="{00000000-0005-0000-0000-0000B3110000}"/>
    <cellStyle name="표준 60" xfId="4532" xr:uid="{00000000-0005-0000-0000-0000B4110000}"/>
    <cellStyle name="표준 61" xfId="4533" xr:uid="{00000000-0005-0000-0000-0000B5110000}"/>
    <cellStyle name="표준 62" xfId="4534" xr:uid="{00000000-0005-0000-0000-0000B6110000}"/>
    <cellStyle name="표준 63" xfId="4535" xr:uid="{00000000-0005-0000-0000-0000B7110000}"/>
    <cellStyle name="표준 64" xfId="4536" xr:uid="{00000000-0005-0000-0000-0000B8110000}"/>
    <cellStyle name="표준 65" xfId="4537" xr:uid="{00000000-0005-0000-0000-0000B9110000}"/>
    <cellStyle name="표준 66" xfId="4538" xr:uid="{00000000-0005-0000-0000-0000BA110000}"/>
    <cellStyle name="표준 67 2" xfId="4594" xr:uid="{00000000-0005-0000-0000-0000BB110000}"/>
    <cellStyle name="표준 7" xfId="4539" xr:uid="{00000000-0005-0000-0000-0000BC110000}"/>
    <cellStyle name="표준 7 13" xfId="4540" xr:uid="{00000000-0005-0000-0000-0000BD110000}"/>
    <cellStyle name="표준 7 2" xfId="4541" xr:uid="{00000000-0005-0000-0000-0000BE110000}"/>
    <cellStyle name="표준 7 3" xfId="4542" xr:uid="{00000000-0005-0000-0000-0000BF110000}"/>
    <cellStyle name="표준 7 4" xfId="4543" xr:uid="{00000000-0005-0000-0000-0000C0110000}"/>
    <cellStyle name="표준 7 5" xfId="4544" xr:uid="{00000000-0005-0000-0000-0000C1110000}"/>
    <cellStyle name="표준 7 6" xfId="4545" xr:uid="{00000000-0005-0000-0000-0000C2110000}"/>
    <cellStyle name="표준 7 7" xfId="4546" xr:uid="{00000000-0005-0000-0000-0000C3110000}"/>
    <cellStyle name="표준 7 8" xfId="4547" xr:uid="{00000000-0005-0000-0000-0000C4110000}"/>
    <cellStyle name="표준 7 9" xfId="4548" xr:uid="{00000000-0005-0000-0000-0000C5110000}"/>
    <cellStyle name="표준 8" xfId="4549" xr:uid="{00000000-0005-0000-0000-0000C6110000}"/>
    <cellStyle name="표준 8 2" xfId="4550" xr:uid="{00000000-0005-0000-0000-0000C7110000}"/>
    <cellStyle name="표준 8 3" xfId="4551" xr:uid="{00000000-0005-0000-0000-0000C8110000}"/>
    <cellStyle name="표준 8 4" xfId="4552" xr:uid="{00000000-0005-0000-0000-0000C9110000}"/>
    <cellStyle name="표준 8 5" xfId="4553" xr:uid="{00000000-0005-0000-0000-0000CA110000}"/>
    <cellStyle name="표준 8 6" xfId="4554" xr:uid="{00000000-0005-0000-0000-0000CB110000}"/>
    <cellStyle name="표준 8 7" xfId="4555" xr:uid="{00000000-0005-0000-0000-0000CC110000}"/>
    <cellStyle name="표준 8 8" xfId="4556" xr:uid="{00000000-0005-0000-0000-0000CD110000}"/>
    <cellStyle name="표준 9" xfId="4557" xr:uid="{00000000-0005-0000-0000-0000CE110000}"/>
    <cellStyle name="표준 9 2" xfId="4558" xr:uid="{00000000-0005-0000-0000-0000CF110000}"/>
    <cellStyle name="표준 9 3" xfId="4559" xr:uid="{00000000-0005-0000-0000-0000D0110000}"/>
    <cellStyle name="표준 9 4" xfId="4560" xr:uid="{00000000-0005-0000-0000-0000D1110000}"/>
    <cellStyle name="표준 9 5" xfId="4561" xr:uid="{00000000-0005-0000-0000-0000D2110000}"/>
    <cellStyle name="표준 9 6" xfId="4562" xr:uid="{00000000-0005-0000-0000-0000D3110000}"/>
    <cellStyle name="표준 9 7" xfId="4563" xr:uid="{00000000-0005-0000-0000-0000D4110000}"/>
    <cellStyle name="표준 9 8" xfId="4564" xr:uid="{00000000-0005-0000-0000-0000D5110000}"/>
    <cellStyle name="標準_Akia(F）-8" xfId="4565" xr:uid="{00000000-0005-0000-0000-0000D6110000}"/>
    <cellStyle name="표준1" xfId="4566" xr:uid="{00000000-0005-0000-0000-0000D7110000}"/>
    <cellStyle name="표준123" xfId="4567" xr:uid="{00000000-0005-0000-0000-0000D8110000}"/>
    <cellStyle name="표준像呼?(2)" xfId="4568" xr:uid="{00000000-0005-0000-0000-0000D9110000}"/>
    <cellStyle name="표준茱볐뼁?(2)_갑지(토탈)" xfId="4569" xr:uid="{00000000-0005-0000-0000-0000DA110000}"/>
    <cellStyle name="표준渦潟뼁ぜ?갑지(토탈)_laroux" xfId="4570" xr:uid="{00000000-0005-0000-0000-0000DB110000}"/>
    <cellStyle name="표준날짜" xfId="4571" xr:uid="{00000000-0005-0000-0000-0000DC110000}"/>
    <cellStyle name="표준숫자" xfId="4572" xr:uid="{00000000-0005-0000-0000-0000DD110000}"/>
    <cellStyle name="표쥰" xfId="4573" xr:uid="{00000000-0005-0000-0000-0000DE110000}"/>
    <cellStyle name="하이퍼링크 2" xfId="4574" xr:uid="{00000000-0005-0000-0000-0000DF110000}"/>
    <cellStyle name="하이퍼링크 2 2" xfId="4575" xr:uid="{00000000-0005-0000-0000-0000E0110000}"/>
    <cellStyle name="하이퍼링크 3" xfId="4576" xr:uid="{00000000-0005-0000-0000-0000E1110000}"/>
    <cellStyle name="합계" xfId="4577" xr:uid="{00000000-0005-0000-0000-0000E2110000}"/>
    <cellStyle name="합계 2" xfId="4578" xr:uid="{00000000-0005-0000-0000-0000E3110000}"/>
    <cellStyle name="합계 2 2" xfId="5186" xr:uid="{00000000-0005-0000-0000-0000E3110000}"/>
    <cellStyle name="합계 2 2 2" xfId="6267" xr:uid="{00000000-0005-0000-0000-0000E3110000}"/>
    <cellStyle name="합계 2 3" xfId="5724" xr:uid="{00000000-0005-0000-0000-0000E3110000}"/>
    <cellStyle name="합계 3" xfId="4579" xr:uid="{00000000-0005-0000-0000-0000E4110000}"/>
    <cellStyle name="합계 3 2" xfId="5187" xr:uid="{00000000-0005-0000-0000-0000E4110000}"/>
    <cellStyle name="합계 3 2 2" xfId="6268" xr:uid="{00000000-0005-0000-0000-0000E4110000}"/>
    <cellStyle name="합계 3 3" xfId="5725" xr:uid="{00000000-0005-0000-0000-0000E4110000}"/>
    <cellStyle name="합계 4" xfId="4580" xr:uid="{00000000-0005-0000-0000-0000E5110000}"/>
    <cellStyle name="합계 4 2" xfId="5188" xr:uid="{00000000-0005-0000-0000-0000E5110000}"/>
    <cellStyle name="합계 4 2 2" xfId="6269" xr:uid="{00000000-0005-0000-0000-0000E5110000}"/>
    <cellStyle name="합계 4 3" xfId="5726" xr:uid="{00000000-0005-0000-0000-0000E5110000}"/>
    <cellStyle name="합계 5" xfId="4581" xr:uid="{00000000-0005-0000-0000-0000E6110000}"/>
    <cellStyle name="합계 5 2" xfId="5189" xr:uid="{00000000-0005-0000-0000-0000E6110000}"/>
    <cellStyle name="합계 5 2 2" xfId="6270" xr:uid="{00000000-0005-0000-0000-0000E6110000}"/>
    <cellStyle name="합계 5 3" xfId="5727" xr:uid="{00000000-0005-0000-0000-0000E6110000}"/>
    <cellStyle name="합계 6" xfId="5185" xr:uid="{00000000-0005-0000-0000-0000E2110000}"/>
    <cellStyle name="합계 6 2" xfId="6266" xr:uid="{00000000-0005-0000-0000-0000E2110000}"/>
    <cellStyle name="합계 7" xfId="5723" xr:uid="{00000000-0005-0000-0000-0000E2110000}"/>
    <cellStyle name="합산" xfId="4582" xr:uid="{00000000-0005-0000-0000-0000E7110000}"/>
    <cellStyle name="합산 2" xfId="4583" xr:uid="{00000000-0005-0000-0000-0000E8110000}"/>
    <cellStyle name="합산 2 2" xfId="5729" xr:uid="{00000000-0005-0000-0000-0000E8110000}"/>
    <cellStyle name="합산 3" xfId="4584" xr:uid="{00000000-0005-0000-0000-0000E9110000}"/>
    <cellStyle name="합산 3 2" xfId="5730" xr:uid="{00000000-0005-0000-0000-0000E9110000}"/>
    <cellStyle name="합산 4" xfId="5728" xr:uid="{00000000-0005-0000-0000-0000E7110000}"/>
    <cellStyle name="합산_11년 자료정비_시험사업_시스템-산출내역서_V1.3" xfId="4585" xr:uid="{00000000-0005-0000-0000-0000EA110000}"/>
    <cellStyle name="貨幣 [0]_GARMENT STEP FORM HK" xfId="4586" xr:uid="{00000000-0005-0000-0000-0000EB110000}"/>
    <cellStyle name="貨幣_GARMENT STEP FORM HK" xfId="4587" xr:uid="{00000000-0005-0000-0000-0000EC110000}"/>
    <cellStyle name="화폐기호" xfId="4588" xr:uid="{00000000-0005-0000-0000-0000ED110000}"/>
    <cellStyle name="화폐기호 2" xfId="4589" xr:uid="{00000000-0005-0000-0000-0000EE110000}"/>
    <cellStyle name="화폐기호 3" xfId="4590" xr:uid="{00000000-0005-0000-0000-0000EF110000}"/>
    <cellStyle name="화폐기호0" xfId="4591" xr:uid="{00000000-0005-0000-0000-0000F0110000}"/>
    <cellStyle name="화폐기호0 2" xfId="4592" xr:uid="{00000000-0005-0000-0000-0000F1110000}"/>
    <cellStyle name="화폐기호0 3" xfId="4593" xr:uid="{00000000-0005-0000-0000-0000F2110000}"/>
  </cellStyles>
  <dxfs count="2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CBE7-CA9D-4223-A767-4C872D275AB2}">
  <sheetPr filterMode="1">
    <pageSetUpPr fitToPage="1"/>
  </sheetPr>
  <dimension ref="A1:W1499"/>
  <sheetViews>
    <sheetView zoomScale="85" zoomScaleNormal="85" workbookViewId="0">
      <pane ySplit="1" topLeftCell="A1197" activePane="bottomLeft" state="frozen"/>
      <selection pane="bottomLeft" activeCell="D1506" sqref="D1506"/>
    </sheetView>
  </sheetViews>
  <sheetFormatPr defaultRowHeight="16.5"/>
  <cols>
    <col min="1" max="1" width="9" style="19"/>
    <col min="2" max="2" width="13" style="25" bestFit="1" customWidth="1"/>
    <col min="3" max="3" width="13.375" style="26" bestFit="1" customWidth="1"/>
    <col min="4" max="4" width="54.375" style="26" bestFit="1" customWidth="1"/>
    <col min="5" max="5" width="51.625" style="26" customWidth="1"/>
    <col min="6" max="6" width="46.75" style="26" customWidth="1"/>
    <col min="7" max="7" width="23.625" style="26" customWidth="1"/>
    <col min="8" max="8" width="33.875" style="26" customWidth="1"/>
    <col min="9" max="9" width="19.375" style="26" customWidth="1"/>
    <col min="10" max="10" width="14.375" style="26" customWidth="1"/>
    <col min="11" max="12" width="10.25" style="26" customWidth="1"/>
    <col min="13" max="13" width="21.875" style="26" customWidth="1"/>
    <col min="14" max="14" width="14.125" style="26" customWidth="1"/>
    <col min="15" max="15" width="6.75" style="26" customWidth="1"/>
    <col min="16" max="16" width="38.125" style="26" customWidth="1"/>
    <col min="17" max="17" width="55.75" style="26" bestFit="1" customWidth="1"/>
    <col min="18" max="18" width="7" style="19" customWidth="1"/>
    <col min="19" max="19" width="6.875" style="26" customWidth="1"/>
    <col min="20" max="20" width="33.875" style="26" customWidth="1"/>
    <col min="21" max="21" width="11.375" style="26" customWidth="1"/>
    <col min="22" max="22" width="10.25" style="26" customWidth="1"/>
    <col min="23" max="23" width="14" style="26" customWidth="1"/>
    <col min="24" max="16384" width="9" style="25"/>
  </cols>
  <sheetData>
    <row r="1" spans="1:23" ht="27">
      <c r="A1" s="11" t="s">
        <v>1815</v>
      </c>
      <c r="B1" s="8" t="s">
        <v>1330</v>
      </c>
      <c r="C1" s="8" t="s">
        <v>64</v>
      </c>
      <c r="D1" s="8" t="s">
        <v>18</v>
      </c>
      <c r="E1" s="8" t="s">
        <v>19</v>
      </c>
      <c r="F1" s="8" t="s">
        <v>83</v>
      </c>
      <c r="G1" s="8" t="s">
        <v>12</v>
      </c>
      <c r="H1" s="8" t="s">
        <v>2</v>
      </c>
      <c r="I1" s="8"/>
      <c r="J1" s="8" t="s">
        <v>1603</v>
      </c>
      <c r="K1" s="23" t="s">
        <v>1604</v>
      </c>
      <c r="L1" s="11" t="s">
        <v>1605</v>
      </c>
      <c r="M1" s="8" t="s">
        <v>1606</v>
      </c>
      <c r="N1" s="8" t="s">
        <v>625</v>
      </c>
      <c r="O1" s="8" t="s">
        <v>26</v>
      </c>
      <c r="P1" s="8" t="s">
        <v>28</v>
      </c>
      <c r="Q1" s="8" t="s">
        <v>646</v>
      </c>
      <c r="R1" s="11" t="s">
        <v>647</v>
      </c>
      <c r="S1" s="8" t="s">
        <v>27</v>
      </c>
      <c r="T1" s="8" t="s">
        <v>10</v>
      </c>
      <c r="U1" s="8" t="s">
        <v>41</v>
      </c>
      <c r="V1" s="8" t="s">
        <v>65</v>
      </c>
      <c r="W1" s="8" t="s">
        <v>42</v>
      </c>
    </row>
    <row r="2" spans="1:23" s="12" customFormat="1" hidden="1">
      <c r="A2" s="46" t="s">
        <v>572</v>
      </c>
      <c r="B2" s="28" t="s">
        <v>1331</v>
      </c>
      <c r="C2" s="28" t="s">
        <v>88</v>
      </c>
      <c r="D2" s="28" t="s">
        <v>336</v>
      </c>
      <c r="E2" s="28" t="s">
        <v>337</v>
      </c>
      <c r="F2" s="28" t="s">
        <v>549</v>
      </c>
      <c r="G2" s="28" t="s">
        <v>549</v>
      </c>
      <c r="H2" s="28" t="s">
        <v>338</v>
      </c>
      <c r="I2" s="28" t="str">
        <f>VLOOKUP(F2,표준용어사전!$B:$D,3,FALSE)</f>
        <v>연월C6</v>
      </c>
      <c r="J2" s="28" t="s">
        <v>709</v>
      </c>
      <c r="K2" s="24">
        <v>6</v>
      </c>
      <c r="L2" s="29" t="s">
        <v>571</v>
      </c>
      <c r="M2" s="29" t="s">
        <v>710</v>
      </c>
      <c r="N2" s="29" t="s">
        <v>711</v>
      </c>
      <c r="O2" s="28" t="s">
        <v>641</v>
      </c>
      <c r="P2" s="28"/>
      <c r="Q2" s="28" t="s">
        <v>76</v>
      </c>
      <c r="R2" s="29"/>
      <c r="S2" s="28"/>
      <c r="T2" s="28" t="s">
        <v>577</v>
      </c>
      <c r="U2" s="28" t="s">
        <v>75</v>
      </c>
      <c r="V2" s="28" t="s">
        <v>75</v>
      </c>
      <c r="W2" s="28"/>
    </row>
    <row r="3" spans="1:23" s="12" customFormat="1" hidden="1">
      <c r="A3" s="46" t="s">
        <v>572</v>
      </c>
      <c r="B3" s="28" t="s">
        <v>1331</v>
      </c>
      <c r="C3" s="28" t="s">
        <v>88</v>
      </c>
      <c r="D3" s="28" t="s">
        <v>336</v>
      </c>
      <c r="E3" s="28" t="s">
        <v>339</v>
      </c>
      <c r="F3" s="28" t="s">
        <v>550</v>
      </c>
      <c r="G3" s="28" t="s">
        <v>550</v>
      </c>
      <c r="H3" s="28" t="s">
        <v>338</v>
      </c>
      <c r="I3" s="28" t="str">
        <f>VLOOKUP(F3,표준용어사전!$B:$D,3,FALSE)</f>
        <v>수N10</v>
      </c>
      <c r="J3" s="28" t="s">
        <v>63</v>
      </c>
      <c r="K3" s="24">
        <v>10</v>
      </c>
      <c r="L3" s="29" t="s">
        <v>571</v>
      </c>
      <c r="M3" s="29">
        <v>9999999999</v>
      </c>
      <c r="N3" s="29" t="s">
        <v>572</v>
      </c>
      <c r="O3" s="28"/>
      <c r="P3" s="28"/>
      <c r="Q3" s="28" t="s">
        <v>76</v>
      </c>
      <c r="R3" s="29"/>
      <c r="S3" s="28"/>
      <c r="T3" s="28"/>
      <c r="U3" s="28" t="s">
        <v>75</v>
      </c>
      <c r="V3" s="28" t="s">
        <v>75</v>
      </c>
      <c r="W3" s="28"/>
    </row>
    <row r="4" spans="1:23" s="12" customFormat="1" ht="15.75" hidden="1" customHeight="1">
      <c r="A4" s="46" t="s">
        <v>572</v>
      </c>
      <c r="B4" s="28" t="s">
        <v>1331</v>
      </c>
      <c r="C4" s="28" t="s">
        <v>88</v>
      </c>
      <c r="D4" s="28" t="s">
        <v>336</v>
      </c>
      <c r="E4" s="28" t="s">
        <v>340</v>
      </c>
      <c r="F4" s="28" t="s">
        <v>551</v>
      </c>
      <c r="G4" s="28" t="s">
        <v>551</v>
      </c>
      <c r="H4" s="28" t="s">
        <v>338</v>
      </c>
      <c r="I4" s="28" t="str">
        <f>VLOOKUP(F4,표준용어사전!$B:$D,3,FALSE)</f>
        <v>수N10</v>
      </c>
      <c r="J4" s="28" t="s">
        <v>63</v>
      </c>
      <c r="K4" s="24">
        <v>10</v>
      </c>
      <c r="L4" s="29" t="s">
        <v>571</v>
      </c>
      <c r="M4" s="29">
        <v>9999999999</v>
      </c>
      <c r="N4" s="29" t="s">
        <v>572</v>
      </c>
      <c r="O4" s="28"/>
      <c r="P4" s="28"/>
      <c r="Q4" s="28" t="s">
        <v>76</v>
      </c>
      <c r="R4" s="29"/>
      <c r="S4" s="28"/>
      <c r="T4" s="28"/>
      <c r="U4" s="28" t="s">
        <v>75</v>
      </c>
      <c r="V4" s="28" t="s">
        <v>75</v>
      </c>
      <c r="W4" s="28"/>
    </row>
    <row r="5" spans="1:23" s="12" customFormat="1" hidden="1">
      <c r="A5" s="46" t="s">
        <v>572</v>
      </c>
      <c r="B5" s="28" t="s">
        <v>1331</v>
      </c>
      <c r="C5" s="28" t="s">
        <v>88</v>
      </c>
      <c r="D5" s="28" t="s">
        <v>336</v>
      </c>
      <c r="E5" s="28" t="s">
        <v>341</v>
      </c>
      <c r="F5" s="28" t="s">
        <v>552</v>
      </c>
      <c r="G5" s="28" t="s">
        <v>552</v>
      </c>
      <c r="H5" s="28" t="s">
        <v>338</v>
      </c>
      <c r="I5" s="28" t="str">
        <f>VLOOKUP(F5,표준용어사전!$B:$D,3,FALSE)</f>
        <v>수N10</v>
      </c>
      <c r="J5" s="28" t="s">
        <v>63</v>
      </c>
      <c r="K5" s="24">
        <v>10</v>
      </c>
      <c r="L5" s="29" t="s">
        <v>571</v>
      </c>
      <c r="M5" s="29">
        <v>9999999999</v>
      </c>
      <c r="N5" s="29" t="s">
        <v>572</v>
      </c>
      <c r="O5" s="28"/>
      <c r="P5" s="28"/>
      <c r="Q5" s="28" t="s">
        <v>76</v>
      </c>
      <c r="R5" s="29"/>
      <c r="S5" s="28"/>
      <c r="T5" s="28"/>
      <c r="U5" s="28" t="s">
        <v>75</v>
      </c>
      <c r="V5" s="28" t="s">
        <v>75</v>
      </c>
      <c r="W5" s="28"/>
    </row>
    <row r="6" spans="1:23" s="12" customFormat="1" hidden="1">
      <c r="A6" s="46" t="s">
        <v>572</v>
      </c>
      <c r="B6" s="28" t="s">
        <v>1331</v>
      </c>
      <c r="C6" s="28" t="s">
        <v>88</v>
      </c>
      <c r="D6" s="28" t="s">
        <v>336</v>
      </c>
      <c r="E6" s="28" t="s">
        <v>342</v>
      </c>
      <c r="F6" s="28" t="s">
        <v>553</v>
      </c>
      <c r="G6" s="28" t="s">
        <v>553</v>
      </c>
      <c r="H6" s="28" t="s">
        <v>338</v>
      </c>
      <c r="I6" s="28" t="str">
        <f>VLOOKUP(F6,표준용어사전!$B:$D,3,FALSE)</f>
        <v>시분초N10</v>
      </c>
      <c r="J6" s="28" t="s">
        <v>63</v>
      </c>
      <c r="K6" s="24">
        <v>10</v>
      </c>
      <c r="L6" s="29" t="s">
        <v>571</v>
      </c>
      <c r="M6" s="29">
        <v>9999999999</v>
      </c>
      <c r="N6" s="29" t="s">
        <v>572</v>
      </c>
      <c r="O6" s="28"/>
      <c r="P6" s="28"/>
      <c r="Q6" s="28" t="s">
        <v>76</v>
      </c>
      <c r="R6" s="29"/>
      <c r="S6" s="28"/>
      <c r="T6" s="28"/>
      <c r="U6" s="28" t="s">
        <v>75</v>
      </c>
      <c r="V6" s="28" t="s">
        <v>75</v>
      </c>
      <c r="W6" s="28"/>
    </row>
    <row r="7" spans="1:23" s="12" customFormat="1" hidden="1">
      <c r="A7" s="46" t="s">
        <v>572</v>
      </c>
      <c r="B7" s="28" t="s">
        <v>1331</v>
      </c>
      <c r="C7" s="28" t="s">
        <v>88</v>
      </c>
      <c r="D7" s="28" t="s">
        <v>336</v>
      </c>
      <c r="E7" s="28" t="s">
        <v>343</v>
      </c>
      <c r="F7" s="28" t="s">
        <v>554</v>
      </c>
      <c r="G7" s="28" t="s">
        <v>554</v>
      </c>
      <c r="H7" s="28" t="s">
        <v>338</v>
      </c>
      <c r="I7" s="28" t="str">
        <f>VLOOKUP(F7,표준용어사전!$B:$D,3,FALSE)</f>
        <v>시분초N10</v>
      </c>
      <c r="J7" s="28" t="s">
        <v>63</v>
      </c>
      <c r="K7" s="24">
        <v>10</v>
      </c>
      <c r="L7" s="29" t="s">
        <v>571</v>
      </c>
      <c r="M7" s="29">
        <v>9999999999</v>
      </c>
      <c r="N7" s="29" t="s">
        <v>572</v>
      </c>
      <c r="O7" s="28"/>
      <c r="P7" s="28"/>
      <c r="Q7" s="28" t="s">
        <v>76</v>
      </c>
      <c r="R7" s="29"/>
      <c r="S7" s="28"/>
      <c r="T7" s="28"/>
      <c r="U7" s="28" t="s">
        <v>75</v>
      </c>
      <c r="V7" s="28" t="s">
        <v>75</v>
      </c>
      <c r="W7" s="28"/>
    </row>
    <row r="8" spans="1:23" s="12" customFormat="1" hidden="1">
      <c r="A8" s="46" t="s">
        <v>572</v>
      </c>
      <c r="B8" s="28" t="s">
        <v>1331</v>
      </c>
      <c r="C8" s="28" t="s">
        <v>88</v>
      </c>
      <c r="D8" s="28" t="s">
        <v>336</v>
      </c>
      <c r="E8" s="28" t="s">
        <v>1589</v>
      </c>
      <c r="F8" s="28" t="s">
        <v>555</v>
      </c>
      <c r="G8" s="28" t="s">
        <v>1588</v>
      </c>
      <c r="H8" s="28" t="s">
        <v>338</v>
      </c>
      <c r="I8" s="28" t="str">
        <f>VLOOKUP(F8,표준용어사전!$B:$D,3,FALSE)</f>
        <v>시분초N10</v>
      </c>
      <c r="J8" s="28" t="s">
        <v>63</v>
      </c>
      <c r="K8" s="24">
        <v>10</v>
      </c>
      <c r="L8" s="29" t="s">
        <v>571</v>
      </c>
      <c r="M8" s="29">
        <v>9999999999</v>
      </c>
      <c r="N8" s="29" t="s">
        <v>572</v>
      </c>
      <c r="O8" s="28"/>
      <c r="P8" s="28"/>
      <c r="Q8" s="28" t="s">
        <v>76</v>
      </c>
      <c r="R8" s="29"/>
      <c r="S8" s="28"/>
      <c r="T8" s="28"/>
      <c r="U8" s="28" t="s">
        <v>75</v>
      </c>
      <c r="V8" s="28" t="s">
        <v>75</v>
      </c>
      <c r="W8" s="28"/>
    </row>
    <row r="9" spans="1:23" s="12" customFormat="1" hidden="1">
      <c r="A9" s="46" t="s">
        <v>711</v>
      </c>
      <c r="B9" s="28" t="s">
        <v>1331</v>
      </c>
      <c r="C9" s="28" t="s">
        <v>88</v>
      </c>
      <c r="D9" s="28" t="s">
        <v>336</v>
      </c>
      <c r="E9" s="28" t="s">
        <v>1590</v>
      </c>
      <c r="F9" s="28" t="s">
        <v>1591</v>
      </c>
      <c r="G9" s="28" t="s">
        <v>1591</v>
      </c>
      <c r="H9" s="28" t="s">
        <v>338</v>
      </c>
      <c r="I9" s="28" t="str">
        <f>VLOOKUP(F9,표준용어사전!$B:$D,3,FALSE)</f>
        <v>시분초N10</v>
      </c>
      <c r="J9" s="28" t="s">
        <v>63</v>
      </c>
      <c r="K9" s="24">
        <v>10</v>
      </c>
      <c r="L9" s="29" t="s">
        <v>571</v>
      </c>
      <c r="M9" s="29">
        <v>9999999999</v>
      </c>
      <c r="N9" s="29" t="s">
        <v>572</v>
      </c>
      <c r="O9" s="28"/>
      <c r="P9" s="28"/>
      <c r="Q9" s="28" t="s">
        <v>76</v>
      </c>
      <c r="R9" s="29"/>
      <c r="S9" s="28"/>
      <c r="T9" s="28"/>
      <c r="U9" s="28" t="s">
        <v>75</v>
      </c>
      <c r="V9" s="28" t="s">
        <v>75</v>
      </c>
      <c r="W9" s="28"/>
    </row>
    <row r="10" spans="1:23" s="12" customFormat="1" hidden="1">
      <c r="A10" s="46" t="s">
        <v>572</v>
      </c>
      <c r="B10" s="28" t="s">
        <v>1332</v>
      </c>
      <c r="C10" s="28" t="s">
        <v>88</v>
      </c>
      <c r="D10" s="28" t="s">
        <v>651</v>
      </c>
      <c r="E10" s="28" t="s">
        <v>163</v>
      </c>
      <c r="F10" s="28" t="s">
        <v>422</v>
      </c>
      <c r="G10" s="28" t="s">
        <v>422</v>
      </c>
      <c r="H10" s="28" t="s">
        <v>192</v>
      </c>
      <c r="I10" s="28" t="e">
        <f>VLOOKUP(F10,표준용어사전!$B:$D,3,FALSE)</f>
        <v>#N/A</v>
      </c>
      <c r="J10" s="28" t="s">
        <v>63</v>
      </c>
      <c r="K10" s="24">
        <v>10</v>
      </c>
      <c r="L10" s="29" t="s">
        <v>571</v>
      </c>
      <c r="M10" s="29">
        <v>9999999999</v>
      </c>
      <c r="N10" s="29" t="s">
        <v>711</v>
      </c>
      <c r="O10" s="28" t="s">
        <v>73</v>
      </c>
      <c r="P10" s="28"/>
      <c r="Q10" s="28" t="s">
        <v>76</v>
      </c>
      <c r="R10" s="29"/>
      <c r="S10" s="28"/>
      <c r="T10" s="28" t="s">
        <v>76</v>
      </c>
      <c r="U10" s="28" t="s">
        <v>75</v>
      </c>
      <c r="V10" s="28" t="s">
        <v>75</v>
      </c>
      <c r="W10" s="28"/>
    </row>
    <row r="11" spans="1:23" s="12" customFormat="1" hidden="1">
      <c r="A11" s="46" t="s">
        <v>572</v>
      </c>
      <c r="B11" s="28" t="s">
        <v>1332</v>
      </c>
      <c r="C11" s="28" t="s">
        <v>88</v>
      </c>
      <c r="D11" s="28" t="s">
        <v>651</v>
      </c>
      <c r="E11" s="28" t="s">
        <v>193</v>
      </c>
      <c r="F11" s="28" t="s">
        <v>443</v>
      </c>
      <c r="G11" s="28" t="s">
        <v>443</v>
      </c>
      <c r="H11" s="28" t="s">
        <v>192</v>
      </c>
      <c r="I11" s="28" t="str">
        <f>VLOOKUP(F11,표준용어사전!$B:$D,3,FALSE)</f>
        <v>코드V50</v>
      </c>
      <c r="J11" s="28" t="s">
        <v>570</v>
      </c>
      <c r="K11" s="27">
        <v>50</v>
      </c>
      <c r="L11" s="29" t="s">
        <v>571</v>
      </c>
      <c r="M11" s="29" t="s">
        <v>725</v>
      </c>
      <c r="N11" s="29" t="s">
        <v>711</v>
      </c>
      <c r="O11" s="28" t="s">
        <v>74</v>
      </c>
      <c r="P11" s="28"/>
      <c r="Q11" s="28" t="s">
        <v>76</v>
      </c>
      <c r="R11" s="29"/>
      <c r="S11" s="28"/>
      <c r="T11" s="28" t="s">
        <v>76</v>
      </c>
      <c r="U11" s="28" t="s">
        <v>75</v>
      </c>
      <c r="V11" s="28" t="s">
        <v>75</v>
      </c>
      <c r="W11" s="28"/>
    </row>
    <row r="12" spans="1:23" s="12" customFormat="1" hidden="1">
      <c r="A12" s="46" t="s">
        <v>572</v>
      </c>
      <c r="B12" s="28" t="s">
        <v>1332</v>
      </c>
      <c r="C12" s="28" t="s">
        <v>88</v>
      </c>
      <c r="D12" s="28" t="s">
        <v>651</v>
      </c>
      <c r="E12" s="28" t="s">
        <v>90</v>
      </c>
      <c r="F12" s="28" t="s">
        <v>14</v>
      </c>
      <c r="G12" s="28" t="s">
        <v>14</v>
      </c>
      <c r="H12" s="28" t="s">
        <v>192</v>
      </c>
      <c r="I12" s="28" t="str">
        <f>VLOOKUP(F12,표준용어사전!$B:$D,3,FALSE)</f>
        <v>연월일시분초TS</v>
      </c>
      <c r="J12" s="28" t="s">
        <v>16</v>
      </c>
      <c r="K12" s="27" t="s">
        <v>571</v>
      </c>
      <c r="L12" s="29" t="s">
        <v>571</v>
      </c>
      <c r="M12" s="29" t="s">
        <v>726</v>
      </c>
      <c r="N12" s="29" t="s">
        <v>711</v>
      </c>
      <c r="O12" s="28"/>
      <c r="P12" s="28"/>
      <c r="Q12" s="28" t="s">
        <v>76</v>
      </c>
      <c r="R12" s="29"/>
      <c r="S12" s="28"/>
      <c r="T12" s="28" t="s">
        <v>574</v>
      </c>
      <c r="U12" s="28" t="s">
        <v>75</v>
      </c>
      <c r="V12" s="28" t="s">
        <v>75</v>
      </c>
      <c r="W12" s="28"/>
    </row>
    <row r="13" spans="1:23" s="12" customFormat="1" hidden="1">
      <c r="A13" s="46" t="s">
        <v>572</v>
      </c>
      <c r="B13" s="28" t="s">
        <v>1332</v>
      </c>
      <c r="C13" s="28" t="s">
        <v>88</v>
      </c>
      <c r="D13" s="28" t="s">
        <v>651</v>
      </c>
      <c r="E13" s="28" t="s">
        <v>91</v>
      </c>
      <c r="F13" s="28" t="s">
        <v>369</v>
      </c>
      <c r="G13" s="28" t="s">
        <v>369</v>
      </c>
      <c r="H13" s="28" t="s">
        <v>192</v>
      </c>
      <c r="I13" s="28" t="str">
        <f>VLOOKUP(F13,표준용어사전!$B:$D,3,FALSE)</f>
        <v>명V20</v>
      </c>
      <c r="J13" s="28" t="s">
        <v>78</v>
      </c>
      <c r="K13" s="27">
        <v>20</v>
      </c>
      <c r="L13" s="29" t="s">
        <v>571</v>
      </c>
      <c r="M13" s="29" t="s">
        <v>727</v>
      </c>
      <c r="N13" s="29" t="s">
        <v>75</v>
      </c>
      <c r="O13" s="28"/>
      <c r="P13" s="28"/>
      <c r="Q13" s="28" t="s">
        <v>76</v>
      </c>
      <c r="R13" s="29"/>
      <c r="S13" s="28"/>
      <c r="T13" s="28" t="s">
        <v>76</v>
      </c>
      <c r="U13" s="28" t="s">
        <v>75</v>
      </c>
      <c r="V13" s="28" t="s">
        <v>75</v>
      </c>
      <c r="W13" s="28"/>
    </row>
    <row r="14" spans="1:23" s="12" customFormat="1" hidden="1">
      <c r="A14" s="46" t="s">
        <v>572</v>
      </c>
      <c r="B14" s="28" t="s">
        <v>1332</v>
      </c>
      <c r="C14" s="28" t="s">
        <v>88</v>
      </c>
      <c r="D14" s="28" t="s">
        <v>651</v>
      </c>
      <c r="E14" s="28" t="s">
        <v>92</v>
      </c>
      <c r="F14" s="28" t="s">
        <v>15</v>
      </c>
      <c r="G14" s="28" t="s">
        <v>15</v>
      </c>
      <c r="H14" s="28" t="s">
        <v>192</v>
      </c>
      <c r="I14" s="28" t="str">
        <f>VLOOKUP(F14,표준용어사전!$B:$D,3,FALSE)</f>
        <v>연월일시분초TS</v>
      </c>
      <c r="J14" s="28" t="s">
        <v>16</v>
      </c>
      <c r="K14" s="27" t="s">
        <v>571</v>
      </c>
      <c r="L14" s="29" t="s">
        <v>571</v>
      </c>
      <c r="M14" s="29" t="s">
        <v>726</v>
      </c>
      <c r="N14" s="29" t="s">
        <v>75</v>
      </c>
      <c r="O14" s="28"/>
      <c r="P14" s="28"/>
      <c r="Q14" s="28" t="s">
        <v>76</v>
      </c>
      <c r="R14" s="29"/>
      <c r="S14" s="28"/>
      <c r="T14" s="28" t="s">
        <v>574</v>
      </c>
      <c r="U14" s="28" t="s">
        <v>75</v>
      </c>
      <c r="V14" s="28" t="s">
        <v>75</v>
      </c>
      <c r="W14" s="28"/>
    </row>
    <row r="15" spans="1:23" s="12" customFormat="1" hidden="1">
      <c r="A15" s="46" t="s">
        <v>572</v>
      </c>
      <c r="B15" s="28" t="s">
        <v>1332</v>
      </c>
      <c r="C15" s="28" t="s">
        <v>88</v>
      </c>
      <c r="D15" s="28" t="s">
        <v>651</v>
      </c>
      <c r="E15" s="28" t="s">
        <v>93</v>
      </c>
      <c r="F15" s="28" t="s">
        <v>370</v>
      </c>
      <c r="G15" s="28" t="s">
        <v>370</v>
      </c>
      <c r="H15" s="28" t="s">
        <v>192</v>
      </c>
      <c r="I15" s="28" t="str">
        <f>VLOOKUP(F15,표준용어사전!$B:$D,3,FALSE)</f>
        <v>명V20</v>
      </c>
      <c r="J15" s="28" t="s">
        <v>78</v>
      </c>
      <c r="K15" s="27">
        <v>20</v>
      </c>
      <c r="L15" s="29" t="s">
        <v>571</v>
      </c>
      <c r="M15" s="29" t="s">
        <v>727</v>
      </c>
      <c r="N15" s="29" t="s">
        <v>75</v>
      </c>
      <c r="O15" s="28"/>
      <c r="P15" s="28"/>
      <c r="Q15" s="28" t="s">
        <v>76</v>
      </c>
      <c r="R15" s="29"/>
      <c r="S15" s="28"/>
      <c r="T15" s="28" t="s">
        <v>76</v>
      </c>
      <c r="U15" s="28" t="s">
        <v>75</v>
      </c>
      <c r="V15" s="28" t="s">
        <v>75</v>
      </c>
      <c r="W15" s="28"/>
    </row>
    <row r="16" spans="1:23" s="12" customFormat="1" hidden="1">
      <c r="A16" s="46" t="s">
        <v>572</v>
      </c>
      <c r="B16" s="28" t="s">
        <v>1332</v>
      </c>
      <c r="C16" s="28" t="s">
        <v>88</v>
      </c>
      <c r="D16" s="28" t="s">
        <v>652</v>
      </c>
      <c r="E16" s="28" t="s">
        <v>163</v>
      </c>
      <c r="F16" s="28" t="s">
        <v>422</v>
      </c>
      <c r="G16" s="28" t="s">
        <v>422</v>
      </c>
      <c r="H16" s="28" t="s">
        <v>190</v>
      </c>
      <c r="I16" s="28" t="e">
        <f>VLOOKUP(F16,표준용어사전!$B:$D,3,FALSE)</f>
        <v>#N/A</v>
      </c>
      <c r="J16" s="28" t="s">
        <v>63</v>
      </c>
      <c r="K16" s="24">
        <v>10</v>
      </c>
      <c r="L16" s="29" t="s">
        <v>571</v>
      </c>
      <c r="M16" s="29">
        <v>9999999999</v>
      </c>
      <c r="N16" s="29" t="s">
        <v>711</v>
      </c>
      <c r="O16" s="28" t="s">
        <v>73</v>
      </c>
      <c r="P16" s="28"/>
      <c r="Q16" s="28" t="s">
        <v>76</v>
      </c>
      <c r="R16" s="29"/>
      <c r="S16" s="28"/>
      <c r="T16" s="28" t="s">
        <v>76</v>
      </c>
      <c r="U16" s="28" t="s">
        <v>75</v>
      </c>
      <c r="V16" s="28" t="s">
        <v>75</v>
      </c>
      <c r="W16" s="28"/>
    </row>
    <row r="17" spans="1:23" s="12" customFormat="1" hidden="1">
      <c r="A17" s="46" t="s">
        <v>572</v>
      </c>
      <c r="B17" s="28" t="s">
        <v>1332</v>
      </c>
      <c r="C17" s="28" t="s">
        <v>88</v>
      </c>
      <c r="D17" s="28" t="s">
        <v>652</v>
      </c>
      <c r="E17" s="28" t="s">
        <v>191</v>
      </c>
      <c r="F17" s="28" t="s">
        <v>442</v>
      </c>
      <c r="G17" s="28" t="s">
        <v>442</v>
      </c>
      <c r="H17" s="28" t="s">
        <v>190</v>
      </c>
      <c r="I17" s="28" t="str">
        <f>VLOOKUP(F17,표준용어사전!$B:$D,3,FALSE)</f>
        <v>코드V50</v>
      </c>
      <c r="J17" s="28" t="s">
        <v>570</v>
      </c>
      <c r="K17" s="27">
        <v>50</v>
      </c>
      <c r="L17" s="29" t="s">
        <v>571</v>
      </c>
      <c r="M17" s="29" t="s">
        <v>725</v>
      </c>
      <c r="N17" s="29" t="s">
        <v>711</v>
      </c>
      <c r="O17" s="28" t="s">
        <v>74</v>
      </c>
      <c r="P17" s="28"/>
      <c r="Q17" s="28" t="s">
        <v>76</v>
      </c>
      <c r="R17" s="29"/>
      <c r="S17" s="28"/>
      <c r="T17" s="28" t="s">
        <v>76</v>
      </c>
      <c r="U17" s="28" t="s">
        <v>75</v>
      </c>
      <c r="V17" s="28" t="s">
        <v>75</v>
      </c>
      <c r="W17" s="28"/>
    </row>
    <row r="18" spans="1:23" s="12" customFormat="1" hidden="1">
      <c r="A18" s="46" t="s">
        <v>572</v>
      </c>
      <c r="B18" s="28" t="s">
        <v>1332</v>
      </c>
      <c r="C18" s="28" t="s">
        <v>88</v>
      </c>
      <c r="D18" s="28" t="s">
        <v>652</v>
      </c>
      <c r="E18" s="28" t="s">
        <v>90</v>
      </c>
      <c r="F18" s="28" t="s">
        <v>14</v>
      </c>
      <c r="G18" s="28" t="s">
        <v>14</v>
      </c>
      <c r="H18" s="28" t="s">
        <v>190</v>
      </c>
      <c r="I18" s="28" t="str">
        <f>VLOOKUP(F18,표준용어사전!$B:$D,3,FALSE)</f>
        <v>연월일시분초TS</v>
      </c>
      <c r="J18" s="28" t="s">
        <v>16</v>
      </c>
      <c r="K18" s="27" t="s">
        <v>571</v>
      </c>
      <c r="L18" s="29" t="s">
        <v>571</v>
      </c>
      <c r="M18" s="29" t="s">
        <v>726</v>
      </c>
      <c r="N18" s="29" t="s">
        <v>711</v>
      </c>
      <c r="O18" s="28"/>
      <c r="P18" s="28"/>
      <c r="Q18" s="28" t="s">
        <v>76</v>
      </c>
      <c r="R18" s="29"/>
      <c r="S18" s="28"/>
      <c r="T18" s="28" t="s">
        <v>574</v>
      </c>
      <c r="U18" s="28" t="s">
        <v>75</v>
      </c>
      <c r="V18" s="28" t="s">
        <v>75</v>
      </c>
      <c r="W18" s="28"/>
    </row>
    <row r="19" spans="1:23" s="12" customFormat="1" hidden="1">
      <c r="A19" s="46" t="s">
        <v>572</v>
      </c>
      <c r="B19" s="28" t="s">
        <v>1332</v>
      </c>
      <c r="C19" s="28" t="s">
        <v>88</v>
      </c>
      <c r="D19" s="28" t="s">
        <v>652</v>
      </c>
      <c r="E19" s="28" t="s">
        <v>91</v>
      </c>
      <c r="F19" s="28" t="s">
        <v>369</v>
      </c>
      <c r="G19" s="28" t="s">
        <v>369</v>
      </c>
      <c r="H19" s="28" t="s">
        <v>190</v>
      </c>
      <c r="I19" s="28" t="str">
        <f>VLOOKUP(F19,표준용어사전!$B:$D,3,FALSE)</f>
        <v>명V20</v>
      </c>
      <c r="J19" s="28" t="s">
        <v>78</v>
      </c>
      <c r="K19" s="27">
        <v>20</v>
      </c>
      <c r="L19" s="29" t="s">
        <v>571</v>
      </c>
      <c r="M19" s="29" t="s">
        <v>727</v>
      </c>
      <c r="N19" s="29" t="s">
        <v>75</v>
      </c>
      <c r="O19" s="28"/>
      <c r="P19" s="28"/>
      <c r="Q19" s="28" t="s">
        <v>76</v>
      </c>
      <c r="R19" s="29"/>
      <c r="S19" s="28"/>
      <c r="T19" s="28" t="s">
        <v>76</v>
      </c>
      <c r="U19" s="28" t="s">
        <v>75</v>
      </c>
      <c r="V19" s="28" t="s">
        <v>75</v>
      </c>
      <c r="W19" s="28"/>
    </row>
    <row r="20" spans="1:23" s="12" customFormat="1" hidden="1">
      <c r="A20" s="46" t="s">
        <v>572</v>
      </c>
      <c r="B20" s="28" t="s">
        <v>1332</v>
      </c>
      <c r="C20" s="28" t="s">
        <v>88</v>
      </c>
      <c r="D20" s="28" t="s">
        <v>652</v>
      </c>
      <c r="E20" s="28" t="s">
        <v>92</v>
      </c>
      <c r="F20" s="28" t="s">
        <v>15</v>
      </c>
      <c r="G20" s="28" t="s">
        <v>15</v>
      </c>
      <c r="H20" s="28" t="s">
        <v>190</v>
      </c>
      <c r="I20" s="28" t="str">
        <f>VLOOKUP(F20,표준용어사전!$B:$D,3,FALSE)</f>
        <v>연월일시분초TS</v>
      </c>
      <c r="J20" s="28" t="s">
        <v>16</v>
      </c>
      <c r="K20" s="27" t="s">
        <v>571</v>
      </c>
      <c r="L20" s="29" t="s">
        <v>571</v>
      </c>
      <c r="M20" s="29" t="s">
        <v>726</v>
      </c>
      <c r="N20" s="29" t="s">
        <v>75</v>
      </c>
      <c r="O20" s="28"/>
      <c r="P20" s="28"/>
      <c r="Q20" s="28" t="s">
        <v>76</v>
      </c>
      <c r="R20" s="29"/>
      <c r="S20" s="28"/>
      <c r="T20" s="28" t="s">
        <v>574</v>
      </c>
      <c r="U20" s="28" t="s">
        <v>75</v>
      </c>
      <c r="V20" s="28" t="s">
        <v>75</v>
      </c>
      <c r="W20" s="28"/>
    </row>
    <row r="21" spans="1:23" s="12" customFormat="1" hidden="1">
      <c r="A21" s="46" t="s">
        <v>572</v>
      </c>
      <c r="B21" s="28" t="s">
        <v>1332</v>
      </c>
      <c r="C21" s="28" t="s">
        <v>88</v>
      </c>
      <c r="D21" s="28" t="s">
        <v>652</v>
      </c>
      <c r="E21" s="28" t="s">
        <v>93</v>
      </c>
      <c r="F21" s="28" t="s">
        <v>370</v>
      </c>
      <c r="G21" s="28" t="s">
        <v>370</v>
      </c>
      <c r="H21" s="28" t="s">
        <v>190</v>
      </c>
      <c r="I21" s="28" t="str">
        <f>VLOOKUP(F21,표준용어사전!$B:$D,3,FALSE)</f>
        <v>명V20</v>
      </c>
      <c r="J21" s="28" t="s">
        <v>78</v>
      </c>
      <c r="K21" s="27">
        <v>20</v>
      </c>
      <c r="L21" s="29" t="s">
        <v>571</v>
      </c>
      <c r="M21" s="29" t="s">
        <v>727</v>
      </c>
      <c r="N21" s="29" t="s">
        <v>75</v>
      </c>
      <c r="O21" s="28"/>
      <c r="P21" s="28"/>
      <c r="Q21" s="28" t="s">
        <v>76</v>
      </c>
      <c r="R21" s="29"/>
      <c r="S21" s="28"/>
      <c r="T21" s="28" t="s">
        <v>76</v>
      </c>
      <c r="U21" s="28" t="s">
        <v>75</v>
      </c>
      <c r="V21" s="28" t="s">
        <v>75</v>
      </c>
      <c r="W21" s="28"/>
    </row>
    <row r="22" spans="1:23" s="12" customFormat="1" hidden="1">
      <c r="A22" s="46" t="s">
        <v>572</v>
      </c>
      <c r="B22" s="28" t="s">
        <v>1332</v>
      </c>
      <c r="C22" s="28" t="s">
        <v>88</v>
      </c>
      <c r="D22" s="28" t="s">
        <v>653</v>
      </c>
      <c r="E22" s="28" t="s">
        <v>187</v>
      </c>
      <c r="F22" s="28" t="s">
        <v>440</v>
      </c>
      <c r="G22" s="28" t="s">
        <v>440</v>
      </c>
      <c r="H22" s="28" t="s">
        <v>188</v>
      </c>
      <c r="I22" s="28" t="e">
        <f>VLOOKUP(F22,표준용어사전!$B:$D,3,FALSE)</f>
        <v>#N/A</v>
      </c>
      <c r="J22" s="28" t="s">
        <v>78</v>
      </c>
      <c r="K22" s="27">
        <v>2000</v>
      </c>
      <c r="L22" s="29" t="s">
        <v>571</v>
      </c>
      <c r="M22" s="29" t="s">
        <v>728</v>
      </c>
      <c r="N22" s="29" t="s">
        <v>711</v>
      </c>
      <c r="O22" s="28" t="s">
        <v>73</v>
      </c>
      <c r="P22" s="28"/>
      <c r="Q22" s="28" t="s">
        <v>76</v>
      </c>
      <c r="R22" s="29"/>
      <c r="S22" s="28"/>
      <c r="T22" s="28" t="s">
        <v>76</v>
      </c>
      <c r="U22" s="28" t="s">
        <v>75</v>
      </c>
      <c r="V22" s="28" t="s">
        <v>75</v>
      </c>
      <c r="W22" s="28"/>
    </row>
    <row r="23" spans="1:23" s="12" customFormat="1" hidden="1">
      <c r="A23" s="46" t="s">
        <v>572</v>
      </c>
      <c r="B23" s="28" t="s">
        <v>1332</v>
      </c>
      <c r="C23" s="28" t="s">
        <v>88</v>
      </c>
      <c r="D23" s="28" t="s">
        <v>653</v>
      </c>
      <c r="E23" s="28" t="s">
        <v>189</v>
      </c>
      <c r="F23" s="28" t="s">
        <v>441</v>
      </c>
      <c r="G23" s="28" t="s">
        <v>441</v>
      </c>
      <c r="H23" s="28" t="s">
        <v>188</v>
      </c>
      <c r="I23" s="28" t="str">
        <f>VLOOKUP(F23,표준용어사전!$B:$D,3,FALSE)</f>
        <v>코드V50</v>
      </c>
      <c r="J23" s="28" t="s">
        <v>570</v>
      </c>
      <c r="K23" s="27">
        <v>50</v>
      </c>
      <c r="L23" s="29" t="s">
        <v>571</v>
      </c>
      <c r="M23" s="29" t="s">
        <v>725</v>
      </c>
      <c r="N23" s="29" t="s">
        <v>711</v>
      </c>
      <c r="O23" s="28" t="s">
        <v>74</v>
      </c>
      <c r="P23" s="28"/>
      <c r="Q23" s="28" t="s">
        <v>76</v>
      </c>
      <c r="R23" s="29"/>
      <c r="S23" s="28"/>
      <c r="T23" s="28" t="s">
        <v>76</v>
      </c>
      <c r="U23" s="28" t="s">
        <v>75</v>
      </c>
      <c r="V23" s="28" t="s">
        <v>75</v>
      </c>
      <c r="W23" s="28"/>
    </row>
    <row r="24" spans="1:23" s="12" customFormat="1" hidden="1">
      <c r="A24" s="46" t="s">
        <v>572</v>
      </c>
      <c r="B24" s="28" t="s">
        <v>1332</v>
      </c>
      <c r="C24" s="28" t="s">
        <v>88</v>
      </c>
      <c r="D24" s="28" t="s">
        <v>653</v>
      </c>
      <c r="E24" s="28" t="s">
        <v>822</v>
      </c>
      <c r="F24" s="28" t="s">
        <v>1426</v>
      </c>
      <c r="G24" s="28" t="s">
        <v>371</v>
      </c>
      <c r="H24" s="28" t="s">
        <v>188</v>
      </c>
      <c r="I24" s="28" t="e">
        <f>VLOOKUP(F24,표준용어사전!$B:$D,3,FALSE)</f>
        <v>#N/A</v>
      </c>
      <c r="J24" s="28" t="s">
        <v>78</v>
      </c>
      <c r="K24" s="27">
        <v>2000</v>
      </c>
      <c r="L24" s="29" t="s">
        <v>571</v>
      </c>
      <c r="M24" s="29" t="s">
        <v>728</v>
      </c>
      <c r="N24" s="29" t="s">
        <v>75</v>
      </c>
      <c r="O24" s="28"/>
      <c r="P24" s="28"/>
      <c r="Q24" s="28" t="s">
        <v>76</v>
      </c>
      <c r="R24" s="29"/>
      <c r="S24" s="28"/>
      <c r="T24" s="28" t="s">
        <v>76</v>
      </c>
      <c r="U24" s="28" t="s">
        <v>75</v>
      </c>
      <c r="V24" s="28" t="s">
        <v>75</v>
      </c>
      <c r="W24" s="28"/>
    </row>
    <row r="25" spans="1:23" s="12" customFormat="1" hidden="1">
      <c r="A25" s="46" t="s">
        <v>572</v>
      </c>
      <c r="B25" s="28" t="s">
        <v>1332</v>
      </c>
      <c r="C25" s="28" t="s">
        <v>88</v>
      </c>
      <c r="D25" s="28" t="s">
        <v>653</v>
      </c>
      <c r="E25" s="28" t="s">
        <v>823</v>
      </c>
      <c r="F25" s="28" t="s">
        <v>1427</v>
      </c>
      <c r="G25" s="28" t="s">
        <v>372</v>
      </c>
      <c r="H25" s="28" t="s">
        <v>188</v>
      </c>
      <c r="I25" s="28" t="e">
        <f>VLOOKUP(F25,표준용어사전!$B:$D,3,FALSE)</f>
        <v>#N/A</v>
      </c>
      <c r="J25" s="28" t="s">
        <v>78</v>
      </c>
      <c r="K25" s="27">
        <v>2000</v>
      </c>
      <c r="L25" s="29" t="s">
        <v>571</v>
      </c>
      <c r="M25" s="29" t="s">
        <v>728</v>
      </c>
      <c r="N25" s="29" t="s">
        <v>75</v>
      </c>
      <c r="O25" s="28"/>
      <c r="P25" s="28"/>
      <c r="Q25" s="28" t="s">
        <v>76</v>
      </c>
      <c r="R25" s="29"/>
      <c r="S25" s="28"/>
      <c r="T25" s="28" t="s">
        <v>76</v>
      </c>
      <c r="U25" s="28" t="s">
        <v>75</v>
      </c>
      <c r="V25" s="28" t="s">
        <v>75</v>
      </c>
      <c r="W25" s="28"/>
    </row>
    <row r="26" spans="1:23" s="12" customFormat="1" hidden="1">
      <c r="A26" s="46" t="s">
        <v>572</v>
      </c>
      <c r="B26" s="28" t="s">
        <v>1332</v>
      </c>
      <c r="C26" s="28" t="s">
        <v>88</v>
      </c>
      <c r="D26" s="28" t="s">
        <v>653</v>
      </c>
      <c r="E26" s="28" t="s">
        <v>90</v>
      </c>
      <c r="F26" s="28" t="s">
        <v>14</v>
      </c>
      <c r="G26" s="28" t="s">
        <v>14</v>
      </c>
      <c r="H26" s="28" t="s">
        <v>188</v>
      </c>
      <c r="I26" s="28" t="str">
        <f>VLOOKUP(F26,표준용어사전!$B:$D,3,FALSE)</f>
        <v>연월일시분초TS</v>
      </c>
      <c r="J26" s="28" t="s">
        <v>16</v>
      </c>
      <c r="K26" s="27" t="s">
        <v>571</v>
      </c>
      <c r="L26" s="29" t="s">
        <v>571</v>
      </c>
      <c r="M26" s="29" t="s">
        <v>726</v>
      </c>
      <c r="N26" s="29" t="s">
        <v>711</v>
      </c>
      <c r="O26" s="28"/>
      <c r="P26" s="28"/>
      <c r="Q26" s="28" t="s">
        <v>76</v>
      </c>
      <c r="R26" s="29"/>
      <c r="S26" s="28"/>
      <c r="T26" s="28" t="s">
        <v>574</v>
      </c>
      <c r="U26" s="28" t="s">
        <v>75</v>
      </c>
      <c r="V26" s="28" t="s">
        <v>75</v>
      </c>
      <c r="W26" s="28"/>
    </row>
    <row r="27" spans="1:23" s="12" customFormat="1" hidden="1">
      <c r="A27" s="46" t="s">
        <v>572</v>
      </c>
      <c r="B27" s="28" t="s">
        <v>1332</v>
      </c>
      <c r="C27" s="28" t="s">
        <v>88</v>
      </c>
      <c r="D27" s="28" t="s">
        <v>653</v>
      </c>
      <c r="E27" s="28" t="s">
        <v>91</v>
      </c>
      <c r="F27" s="28" t="s">
        <v>369</v>
      </c>
      <c r="G27" s="28" t="s">
        <v>369</v>
      </c>
      <c r="H27" s="28" t="s">
        <v>188</v>
      </c>
      <c r="I27" s="28" t="str">
        <f>VLOOKUP(F27,표준용어사전!$B:$D,3,FALSE)</f>
        <v>명V20</v>
      </c>
      <c r="J27" s="28" t="s">
        <v>78</v>
      </c>
      <c r="K27" s="27">
        <v>20</v>
      </c>
      <c r="L27" s="29" t="s">
        <v>571</v>
      </c>
      <c r="M27" s="29" t="s">
        <v>727</v>
      </c>
      <c r="N27" s="29" t="s">
        <v>75</v>
      </c>
      <c r="O27" s="28"/>
      <c r="P27" s="28"/>
      <c r="Q27" s="28" t="s">
        <v>76</v>
      </c>
      <c r="R27" s="29"/>
      <c r="S27" s="28"/>
      <c r="T27" s="28" t="s">
        <v>76</v>
      </c>
      <c r="U27" s="28" t="s">
        <v>75</v>
      </c>
      <c r="V27" s="28" t="s">
        <v>75</v>
      </c>
      <c r="W27" s="28"/>
    </row>
    <row r="28" spans="1:23" s="12" customFormat="1" hidden="1">
      <c r="A28" s="46" t="s">
        <v>572</v>
      </c>
      <c r="B28" s="28" t="s">
        <v>1332</v>
      </c>
      <c r="C28" s="28" t="s">
        <v>88</v>
      </c>
      <c r="D28" s="28" t="s">
        <v>653</v>
      </c>
      <c r="E28" s="28" t="s">
        <v>92</v>
      </c>
      <c r="F28" s="28" t="s">
        <v>15</v>
      </c>
      <c r="G28" s="28" t="s">
        <v>15</v>
      </c>
      <c r="H28" s="28" t="s">
        <v>188</v>
      </c>
      <c r="I28" s="28" t="str">
        <f>VLOOKUP(F28,표준용어사전!$B:$D,3,FALSE)</f>
        <v>연월일시분초TS</v>
      </c>
      <c r="J28" s="28" t="s">
        <v>16</v>
      </c>
      <c r="K28" s="27" t="s">
        <v>571</v>
      </c>
      <c r="L28" s="29" t="s">
        <v>571</v>
      </c>
      <c r="M28" s="29" t="s">
        <v>726</v>
      </c>
      <c r="N28" s="29" t="s">
        <v>75</v>
      </c>
      <c r="O28" s="28"/>
      <c r="P28" s="28"/>
      <c r="Q28" s="28" t="s">
        <v>76</v>
      </c>
      <c r="R28" s="29"/>
      <c r="S28" s="28"/>
      <c r="T28" s="28" t="s">
        <v>574</v>
      </c>
      <c r="U28" s="28" t="s">
        <v>75</v>
      </c>
      <c r="V28" s="28" t="s">
        <v>75</v>
      </c>
      <c r="W28" s="28"/>
    </row>
    <row r="29" spans="1:23" s="12" customFormat="1" hidden="1">
      <c r="A29" s="46" t="s">
        <v>572</v>
      </c>
      <c r="B29" s="28" t="s">
        <v>1332</v>
      </c>
      <c r="C29" s="28" t="s">
        <v>88</v>
      </c>
      <c r="D29" s="28" t="s">
        <v>653</v>
      </c>
      <c r="E29" s="28" t="s">
        <v>93</v>
      </c>
      <c r="F29" s="28" t="s">
        <v>370</v>
      </c>
      <c r="G29" s="28" t="s">
        <v>370</v>
      </c>
      <c r="H29" s="28" t="s">
        <v>188</v>
      </c>
      <c r="I29" s="28" t="str">
        <f>VLOOKUP(F29,표준용어사전!$B:$D,3,FALSE)</f>
        <v>명V20</v>
      </c>
      <c r="J29" s="28" t="s">
        <v>78</v>
      </c>
      <c r="K29" s="27">
        <v>20</v>
      </c>
      <c r="L29" s="29" t="s">
        <v>571</v>
      </c>
      <c r="M29" s="29" t="s">
        <v>727</v>
      </c>
      <c r="N29" s="29" t="s">
        <v>75</v>
      </c>
      <c r="O29" s="28"/>
      <c r="P29" s="28"/>
      <c r="Q29" s="28" t="s">
        <v>76</v>
      </c>
      <c r="R29" s="29"/>
      <c r="S29" s="28"/>
      <c r="T29" s="28" t="s">
        <v>76</v>
      </c>
      <c r="U29" s="28" t="s">
        <v>75</v>
      </c>
      <c r="V29" s="28" t="s">
        <v>75</v>
      </c>
      <c r="W29" s="28"/>
    </row>
    <row r="30" spans="1:23" s="12" customFormat="1" hidden="1">
      <c r="A30" s="46" t="s">
        <v>572</v>
      </c>
      <c r="B30" s="28" t="s">
        <v>1332</v>
      </c>
      <c r="C30" s="28" t="s">
        <v>88</v>
      </c>
      <c r="D30" s="28" t="s">
        <v>654</v>
      </c>
      <c r="E30" s="28" t="s">
        <v>163</v>
      </c>
      <c r="F30" s="28" t="s">
        <v>422</v>
      </c>
      <c r="G30" s="28" t="s">
        <v>422</v>
      </c>
      <c r="H30" s="28" t="s">
        <v>185</v>
      </c>
      <c r="I30" s="28" t="e">
        <f>VLOOKUP(F30,표준용어사전!$B:$D,3,FALSE)</f>
        <v>#N/A</v>
      </c>
      <c r="J30" s="28" t="s">
        <v>63</v>
      </c>
      <c r="K30" s="24">
        <v>10</v>
      </c>
      <c r="L30" s="29" t="s">
        <v>571</v>
      </c>
      <c r="M30" s="29">
        <v>9999999999</v>
      </c>
      <c r="N30" s="29" t="s">
        <v>711</v>
      </c>
      <c r="O30" s="28" t="s">
        <v>73</v>
      </c>
      <c r="P30" s="28"/>
      <c r="Q30" s="28" t="s">
        <v>76</v>
      </c>
      <c r="R30" s="29"/>
      <c r="S30" s="28"/>
      <c r="T30" s="28" t="s">
        <v>76</v>
      </c>
      <c r="U30" s="28" t="s">
        <v>75</v>
      </c>
      <c r="V30" s="28" t="s">
        <v>75</v>
      </c>
      <c r="W30" s="28"/>
    </row>
    <row r="31" spans="1:23" s="12" customFormat="1" hidden="1">
      <c r="A31" s="46" t="s">
        <v>572</v>
      </c>
      <c r="B31" s="28" t="s">
        <v>1332</v>
      </c>
      <c r="C31" s="28" t="s">
        <v>88</v>
      </c>
      <c r="D31" s="28" t="s">
        <v>654</v>
      </c>
      <c r="E31" s="28" t="s">
        <v>186</v>
      </c>
      <c r="F31" s="28" t="s">
        <v>439</v>
      </c>
      <c r="G31" s="28" t="s">
        <v>439</v>
      </c>
      <c r="H31" s="28" t="s">
        <v>185</v>
      </c>
      <c r="I31" s="28" t="e">
        <f>VLOOKUP(F31,표준용어사전!$B:$D,3,FALSE)</f>
        <v>#N/A</v>
      </c>
      <c r="J31" s="28" t="s">
        <v>63</v>
      </c>
      <c r="K31" s="24">
        <v>10</v>
      </c>
      <c r="L31" s="29" t="s">
        <v>571</v>
      </c>
      <c r="M31" s="29">
        <v>9999999999</v>
      </c>
      <c r="N31" s="29" t="s">
        <v>711</v>
      </c>
      <c r="O31" s="28" t="s">
        <v>74</v>
      </c>
      <c r="P31" s="28"/>
      <c r="Q31" s="28" t="s">
        <v>76</v>
      </c>
      <c r="R31" s="29"/>
      <c r="S31" s="28"/>
      <c r="T31" s="28" t="s">
        <v>76</v>
      </c>
      <c r="U31" s="28" t="s">
        <v>75</v>
      </c>
      <c r="V31" s="28" t="s">
        <v>75</v>
      </c>
      <c r="W31" s="28"/>
    </row>
    <row r="32" spans="1:23" s="12" customFormat="1" hidden="1">
      <c r="A32" s="46" t="s">
        <v>572</v>
      </c>
      <c r="B32" s="28" t="s">
        <v>1332</v>
      </c>
      <c r="C32" s="28" t="s">
        <v>88</v>
      </c>
      <c r="D32" s="28" t="s">
        <v>654</v>
      </c>
      <c r="E32" s="28" t="s">
        <v>175</v>
      </c>
      <c r="F32" s="28" t="s">
        <v>430</v>
      </c>
      <c r="G32" s="28" t="s">
        <v>430</v>
      </c>
      <c r="H32" s="28" t="s">
        <v>185</v>
      </c>
      <c r="I32" s="28" t="e">
        <f>VLOOKUP(F32,표준용어사전!$B:$D,3,FALSE)</f>
        <v>#N/A</v>
      </c>
      <c r="J32" s="28" t="s">
        <v>78</v>
      </c>
      <c r="K32" s="27">
        <v>100</v>
      </c>
      <c r="L32" s="29" t="s">
        <v>571</v>
      </c>
      <c r="M32" s="29" t="s">
        <v>729</v>
      </c>
      <c r="N32" s="29" t="s">
        <v>75</v>
      </c>
      <c r="O32" s="28"/>
      <c r="P32" s="28"/>
      <c r="Q32" s="28" t="s">
        <v>76</v>
      </c>
      <c r="R32" s="29"/>
      <c r="S32" s="28"/>
      <c r="T32" s="28" t="s">
        <v>76</v>
      </c>
      <c r="U32" s="28" t="s">
        <v>75</v>
      </c>
      <c r="V32" s="28" t="s">
        <v>75</v>
      </c>
      <c r="W32" s="28"/>
    </row>
    <row r="33" spans="1:23" s="12" customFormat="1" hidden="1">
      <c r="A33" s="46" t="s">
        <v>572</v>
      </c>
      <c r="B33" s="28" t="s">
        <v>1332</v>
      </c>
      <c r="C33" s="28" t="s">
        <v>88</v>
      </c>
      <c r="D33" s="28" t="s">
        <v>654</v>
      </c>
      <c r="E33" s="28" t="s">
        <v>90</v>
      </c>
      <c r="F33" s="28" t="s">
        <v>14</v>
      </c>
      <c r="G33" s="28" t="s">
        <v>14</v>
      </c>
      <c r="H33" s="28" t="s">
        <v>185</v>
      </c>
      <c r="I33" s="28" t="str">
        <f>VLOOKUP(F33,표준용어사전!$B:$D,3,FALSE)</f>
        <v>연월일시분초TS</v>
      </c>
      <c r="J33" s="28" t="s">
        <v>16</v>
      </c>
      <c r="K33" s="27" t="s">
        <v>571</v>
      </c>
      <c r="L33" s="29" t="s">
        <v>571</v>
      </c>
      <c r="M33" s="29" t="s">
        <v>726</v>
      </c>
      <c r="N33" s="29" t="s">
        <v>711</v>
      </c>
      <c r="O33" s="28"/>
      <c r="P33" s="28"/>
      <c r="Q33" s="28" t="s">
        <v>76</v>
      </c>
      <c r="R33" s="29"/>
      <c r="S33" s="28"/>
      <c r="T33" s="28" t="s">
        <v>574</v>
      </c>
      <c r="U33" s="28" t="s">
        <v>75</v>
      </c>
      <c r="V33" s="28" t="s">
        <v>75</v>
      </c>
      <c r="W33" s="28"/>
    </row>
    <row r="34" spans="1:23" s="12" customFormat="1" hidden="1">
      <c r="A34" s="46" t="s">
        <v>572</v>
      </c>
      <c r="B34" s="28" t="s">
        <v>1332</v>
      </c>
      <c r="C34" s="28" t="s">
        <v>88</v>
      </c>
      <c r="D34" s="28" t="s">
        <v>654</v>
      </c>
      <c r="E34" s="28" t="s">
        <v>91</v>
      </c>
      <c r="F34" s="28" t="s">
        <v>369</v>
      </c>
      <c r="G34" s="28" t="s">
        <v>369</v>
      </c>
      <c r="H34" s="28" t="s">
        <v>185</v>
      </c>
      <c r="I34" s="28" t="str">
        <f>VLOOKUP(F34,표준용어사전!$B:$D,3,FALSE)</f>
        <v>명V20</v>
      </c>
      <c r="J34" s="28" t="s">
        <v>78</v>
      </c>
      <c r="K34" s="27">
        <v>20</v>
      </c>
      <c r="L34" s="29" t="s">
        <v>571</v>
      </c>
      <c r="M34" s="29" t="s">
        <v>727</v>
      </c>
      <c r="N34" s="29" t="s">
        <v>75</v>
      </c>
      <c r="O34" s="28"/>
      <c r="P34" s="28"/>
      <c r="Q34" s="28" t="s">
        <v>76</v>
      </c>
      <c r="R34" s="29"/>
      <c r="S34" s="28"/>
      <c r="T34" s="28" t="s">
        <v>76</v>
      </c>
      <c r="U34" s="28" t="s">
        <v>75</v>
      </c>
      <c r="V34" s="28" t="s">
        <v>75</v>
      </c>
      <c r="W34" s="28"/>
    </row>
    <row r="35" spans="1:23" s="12" customFormat="1" hidden="1">
      <c r="A35" s="46" t="s">
        <v>572</v>
      </c>
      <c r="B35" s="28" t="s">
        <v>1332</v>
      </c>
      <c r="C35" s="28" t="s">
        <v>88</v>
      </c>
      <c r="D35" s="28" t="s">
        <v>654</v>
      </c>
      <c r="E35" s="28" t="s">
        <v>92</v>
      </c>
      <c r="F35" s="28" t="s">
        <v>15</v>
      </c>
      <c r="G35" s="28" t="s">
        <v>15</v>
      </c>
      <c r="H35" s="28" t="s">
        <v>185</v>
      </c>
      <c r="I35" s="28" t="str">
        <f>VLOOKUP(F35,표준용어사전!$B:$D,3,FALSE)</f>
        <v>연월일시분초TS</v>
      </c>
      <c r="J35" s="28" t="s">
        <v>16</v>
      </c>
      <c r="K35" s="27" t="s">
        <v>571</v>
      </c>
      <c r="L35" s="29" t="s">
        <v>571</v>
      </c>
      <c r="M35" s="29" t="s">
        <v>726</v>
      </c>
      <c r="N35" s="29" t="s">
        <v>75</v>
      </c>
      <c r="O35" s="28"/>
      <c r="P35" s="28"/>
      <c r="Q35" s="28" t="s">
        <v>76</v>
      </c>
      <c r="R35" s="29"/>
      <c r="S35" s="28"/>
      <c r="T35" s="28" t="s">
        <v>574</v>
      </c>
      <c r="U35" s="28" t="s">
        <v>75</v>
      </c>
      <c r="V35" s="28" t="s">
        <v>75</v>
      </c>
      <c r="W35" s="28"/>
    </row>
    <row r="36" spans="1:23" s="12" customFormat="1" hidden="1">
      <c r="A36" s="46" t="s">
        <v>572</v>
      </c>
      <c r="B36" s="28" t="s">
        <v>1332</v>
      </c>
      <c r="C36" s="28" t="s">
        <v>88</v>
      </c>
      <c r="D36" s="28" t="s">
        <v>654</v>
      </c>
      <c r="E36" s="28" t="s">
        <v>93</v>
      </c>
      <c r="F36" s="28" t="s">
        <v>370</v>
      </c>
      <c r="G36" s="28" t="s">
        <v>370</v>
      </c>
      <c r="H36" s="28" t="s">
        <v>185</v>
      </c>
      <c r="I36" s="28" t="str">
        <f>VLOOKUP(F36,표준용어사전!$B:$D,3,FALSE)</f>
        <v>명V20</v>
      </c>
      <c r="J36" s="28" t="s">
        <v>78</v>
      </c>
      <c r="K36" s="27">
        <v>20</v>
      </c>
      <c r="L36" s="29" t="s">
        <v>571</v>
      </c>
      <c r="M36" s="29" t="s">
        <v>727</v>
      </c>
      <c r="N36" s="29" t="s">
        <v>75</v>
      </c>
      <c r="O36" s="28"/>
      <c r="P36" s="28"/>
      <c r="Q36" s="28" t="s">
        <v>76</v>
      </c>
      <c r="R36" s="29"/>
      <c r="S36" s="28"/>
      <c r="T36" s="28" t="s">
        <v>76</v>
      </c>
      <c r="U36" s="28" t="s">
        <v>75</v>
      </c>
      <c r="V36" s="28" t="s">
        <v>75</v>
      </c>
      <c r="W36" s="28"/>
    </row>
    <row r="37" spans="1:23" s="12" customFormat="1" hidden="1">
      <c r="A37" s="46" t="s">
        <v>572</v>
      </c>
      <c r="B37" s="28" t="s">
        <v>1332</v>
      </c>
      <c r="C37" s="28" t="s">
        <v>88</v>
      </c>
      <c r="D37" s="28" t="s">
        <v>655</v>
      </c>
      <c r="E37" s="28" t="s">
        <v>163</v>
      </c>
      <c r="F37" s="28" t="s">
        <v>422</v>
      </c>
      <c r="G37" s="28" t="s">
        <v>422</v>
      </c>
      <c r="H37" s="28" t="s">
        <v>174</v>
      </c>
      <c r="I37" s="28" t="e">
        <f>VLOOKUP(F37,표준용어사전!$B:$D,3,FALSE)</f>
        <v>#N/A</v>
      </c>
      <c r="J37" s="28" t="s">
        <v>63</v>
      </c>
      <c r="K37" s="24">
        <v>10</v>
      </c>
      <c r="L37" s="29" t="s">
        <v>571</v>
      </c>
      <c r="M37" s="29">
        <v>9999999999</v>
      </c>
      <c r="N37" s="29" t="s">
        <v>711</v>
      </c>
      <c r="O37" s="28" t="s">
        <v>73</v>
      </c>
      <c r="P37" s="28"/>
      <c r="Q37" s="28" t="s">
        <v>76</v>
      </c>
      <c r="R37" s="29"/>
      <c r="S37" s="28"/>
      <c r="T37" s="28" t="s">
        <v>76</v>
      </c>
      <c r="U37" s="28" t="s">
        <v>75</v>
      </c>
      <c r="V37" s="28" t="s">
        <v>75</v>
      </c>
      <c r="W37" s="28"/>
    </row>
    <row r="38" spans="1:23" s="12" customFormat="1" hidden="1">
      <c r="A38" s="46" t="s">
        <v>572</v>
      </c>
      <c r="B38" s="28" t="s">
        <v>1332</v>
      </c>
      <c r="C38" s="28" t="s">
        <v>88</v>
      </c>
      <c r="D38" s="28" t="s">
        <v>655</v>
      </c>
      <c r="E38" s="28" t="s">
        <v>175</v>
      </c>
      <c r="F38" s="28" t="s">
        <v>430</v>
      </c>
      <c r="G38" s="28" t="s">
        <v>430</v>
      </c>
      <c r="H38" s="28" t="s">
        <v>174</v>
      </c>
      <c r="I38" s="28" t="e">
        <f>VLOOKUP(F38,표준용어사전!$B:$D,3,FALSE)</f>
        <v>#N/A</v>
      </c>
      <c r="J38" s="28" t="s">
        <v>78</v>
      </c>
      <c r="K38" s="27">
        <v>100</v>
      </c>
      <c r="L38" s="29" t="s">
        <v>571</v>
      </c>
      <c r="M38" s="29" t="s">
        <v>729</v>
      </c>
      <c r="N38" s="29" t="s">
        <v>75</v>
      </c>
      <c r="O38" s="28"/>
      <c r="P38" s="28"/>
      <c r="Q38" s="28" t="s">
        <v>76</v>
      </c>
      <c r="R38" s="29"/>
      <c r="S38" s="28"/>
      <c r="T38" s="28" t="s">
        <v>76</v>
      </c>
      <c r="U38" s="28" t="s">
        <v>75</v>
      </c>
      <c r="V38" s="28" t="s">
        <v>75</v>
      </c>
      <c r="W38" s="28"/>
    </row>
    <row r="39" spans="1:23" s="12" customFormat="1" hidden="1">
      <c r="A39" s="46" t="s">
        <v>572</v>
      </c>
      <c r="B39" s="28" t="s">
        <v>1332</v>
      </c>
      <c r="C39" s="28" t="s">
        <v>88</v>
      </c>
      <c r="D39" s="28" t="s">
        <v>655</v>
      </c>
      <c r="E39" s="28" t="s">
        <v>176</v>
      </c>
      <c r="F39" s="28" t="s">
        <v>431</v>
      </c>
      <c r="G39" s="28" t="s">
        <v>431</v>
      </c>
      <c r="H39" s="28" t="s">
        <v>174</v>
      </c>
      <c r="I39" s="28" t="e">
        <f>VLOOKUP(F39,표준용어사전!$B:$D,3,FALSE)</f>
        <v>#N/A</v>
      </c>
      <c r="J39" s="28" t="s">
        <v>78</v>
      </c>
      <c r="K39" s="27">
        <v>512</v>
      </c>
      <c r="L39" s="29" t="s">
        <v>571</v>
      </c>
      <c r="M39" s="29" t="s">
        <v>721</v>
      </c>
      <c r="N39" s="29" t="s">
        <v>75</v>
      </c>
      <c r="O39" s="28"/>
      <c r="P39" s="28"/>
      <c r="Q39" s="28" t="s">
        <v>76</v>
      </c>
      <c r="R39" s="29"/>
      <c r="S39" s="28"/>
      <c r="T39" s="28" t="s">
        <v>76</v>
      </c>
      <c r="U39" s="28" t="s">
        <v>75</v>
      </c>
      <c r="V39" s="28" t="s">
        <v>75</v>
      </c>
      <c r="W39" s="28"/>
    </row>
    <row r="40" spans="1:23" s="12" customFormat="1" hidden="1">
      <c r="A40" s="46" t="s">
        <v>572</v>
      </c>
      <c r="B40" s="28" t="s">
        <v>1332</v>
      </c>
      <c r="C40" s="28" t="s">
        <v>88</v>
      </c>
      <c r="D40" s="28" t="s">
        <v>655</v>
      </c>
      <c r="E40" s="28" t="s">
        <v>177</v>
      </c>
      <c r="F40" s="28" t="s">
        <v>432</v>
      </c>
      <c r="G40" s="28" t="s">
        <v>432</v>
      </c>
      <c r="H40" s="28" t="s">
        <v>174</v>
      </c>
      <c r="I40" s="28" t="e">
        <f>VLOOKUP(F40,표준용어사전!$B:$D,3,FALSE)</f>
        <v>#N/A</v>
      </c>
      <c r="J40" s="28" t="s">
        <v>78</v>
      </c>
      <c r="K40" s="27">
        <v>256</v>
      </c>
      <c r="L40" s="29" t="s">
        <v>571</v>
      </c>
      <c r="M40" s="29" t="s">
        <v>730</v>
      </c>
      <c r="N40" s="29" t="s">
        <v>75</v>
      </c>
      <c r="O40" s="28"/>
      <c r="P40" s="28"/>
      <c r="Q40" s="28" t="s">
        <v>76</v>
      </c>
      <c r="R40" s="29"/>
      <c r="S40" s="28"/>
      <c r="T40" s="28" t="s">
        <v>76</v>
      </c>
      <c r="U40" s="28" t="s">
        <v>75</v>
      </c>
      <c r="V40" s="28" t="s">
        <v>75</v>
      </c>
      <c r="W40" s="28"/>
    </row>
    <row r="41" spans="1:23" s="12" customFormat="1" hidden="1">
      <c r="A41" s="46" t="s">
        <v>572</v>
      </c>
      <c r="B41" s="28" t="s">
        <v>1332</v>
      </c>
      <c r="C41" s="28" t="s">
        <v>88</v>
      </c>
      <c r="D41" s="28" t="s">
        <v>655</v>
      </c>
      <c r="E41" s="28" t="s">
        <v>178</v>
      </c>
      <c r="F41" s="28" t="s">
        <v>1442</v>
      </c>
      <c r="G41" s="28" t="s">
        <v>1419</v>
      </c>
      <c r="H41" s="28" t="s">
        <v>174</v>
      </c>
      <c r="I41" s="28" t="e">
        <f>VLOOKUP(F41,표준용어사전!$B:$D,3,FALSE)</f>
        <v>#N/A</v>
      </c>
      <c r="J41" s="28" t="s">
        <v>78</v>
      </c>
      <c r="K41" s="27">
        <v>2000</v>
      </c>
      <c r="L41" s="29" t="s">
        <v>571</v>
      </c>
      <c r="M41" s="29" t="s">
        <v>728</v>
      </c>
      <c r="N41" s="29" t="s">
        <v>75</v>
      </c>
      <c r="O41" s="28"/>
      <c r="P41" s="28"/>
      <c r="Q41" s="28" t="s">
        <v>76</v>
      </c>
      <c r="R41" s="29"/>
      <c r="S41" s="28"/>
      <c r="T41" s="28" t="s">
        <v>76</v>
      </c>
      <c r="U41" s="28" t="s">
        <v>75</v>
      </c>
      <c r="V41" s="28" t="s">
        <v>75</v>
      </c>
      <c r="W41" s="28"/>
    </row>
    <row r="42" spans="1:23" s="12" customFormat="1" hidden="1">
      <c r="A42" s="46" t="s">
        <v>572</v>
      </c>
      <c r="B42" s="28" t="s">
        <v>1332</v>
      </c>
      <c r="C42" s="28" t="s">
        <v>88</v>
      </c>
      <c r="D42" s="28" t="s">
        <v>655</v>
      </c>
      <c r="E42" s="28" t="s">
        <v>179</v>
      </c>
      <c r="F42" s="28" t="s">
        <v>433</v>
      </c>
      <c r="G42" s="28" t="s">
        <v>433</v>
      </c>
      <c r="H42" s="28" t="s">
        <v>174</v>
      </c>
      <c r="I42" s="28" t="e">
        <f>VLOOKUP(F42,표준용어사전!$B:$D,3,FALSE)</f>
        <v>#N/A</v>
      </c>
      <c r="J42" s="28" t="s">
        <v>78</v>
      </c>
      <c r="K42" s="27">
        <v>2000</v>
      </c>
      <c r="L42" s="29" t="s">
        <v>571</v>
      </c>
      <c r="M42" s="29" t="s">
        <v>728</v>
      </c>
      <c r="N42" s="29" t="s">
        <v>75</v>
      </c>
      <c r="O42" s="28"/>
      <c r="P42" s="28"/>
      <c r="Q42" s="28" t="s">
        <v>76</v>
      </c>
      <c r="R42" s="29"/>
      <c r="S42" s="28"/>
      <c r="T42" s="28" t="s">
        <v>76</v>
      </c>
      <c r="U42" s="28" t="s">
        <v>75</v>
      </c>
      <c r="V42" s="28" t="s">
        <v>75</v>
      </c>
      <c r="W42" s="28"/>
    </row>
    <row r="43" spans="1:23" s="12" customFormat="1" hidden="1">
      <c r="A43" s="46" t="s">
        <v>572</v>
      </c>
      <c r="B43" s="28" t="s">
        <v>1332</v>
      </c>
      <c r="C43" s="28" t="s">
        <v>88</v>
      </c>
      <c r="D43" s="28" t="s">
        <v>655</v>
      </c>
      <c r="E43" s="28" t="s">
        <v>180</v>
      </c>
      <c r="F43" s="28" t="s">
        <v>434</v>
      </c>
      <c r="G43" s="28" t="s">
        <v>434</v>
      </c>
      <c r="H43" s="28" t="s">
        <v>174</v>
      </c>
      <c r="I43" s="28" t="e">
        <f>VLOOKUP(F43,표준용어사전!$B:$D,3,FALSE)</f>
        <v>#N/A</v>
      </c>
      <c r="J43" s="28" t="s">
        <v>713</v>
      </c>
      <c r="K43" s="41" t="s">
        <v>927</v>
      </c>
      <c r="L43" s="29" t="s">
        <v>571</v>
      </c>
      <c r="M43" s="29"/>
      <c r="N43" s="29" t="s">
        <v>75</v>
      </c>
      <c r="O43" s="28"/>
      <c r="P43" s="28"/>
      <c r="Q43" s="28" t="s">
        <v>76</v>
      </c>
      <c r="R43" s="29"/>
      <c r="S43" s="28"/>
      <c r="T43" s="28" t="s">
        <v>76</v>
      </c>
      <c r="U43" s="28" t="s">
        <v>75</v>
      </c>
      <c r="V43" s="28" t="s">
        <v>75</v>
      </c>
      <c r="W43" s="28"/>
    </row>
    <row r="44" spans="1:23" s="12" customFormat="1" hidden="1">
      <c r="A44" s="46" t="s">
        <v>572</v>
      </c>
      <c r="B44" s="28" t="s">
        <v>1332</v>
      </c>
      <c r="C44" s="28" t="s">
        <v>88</v>
      </c>
      <c r="D44" s="28" t="s">
        <v>655</v>
      </c>
      <c r="E44" s="28" t="s">
        <v>181</v>
      </c>
      <c r="F44" s="28" t="s">
        <v>435</v>
      </c>
      <c r="G44" s="28" t="s">
        <v>435</v>
      </c>
      <c r="H44" s="28" t="s">
        <v>174</v>
      </c>
      <c r="I44" s="28" t="e">
        <f>VLOOKUP(F44,표준용어사전!$B:$D,3,FALSE)</f>
        <v>#N/A</v>
      </c>
      <c r="J44" s="28" t="s">
        <v>713</v>
      </c>
      <c r="K44" s="41" t="s">
        <v>927</v>
      </c>
      <c r="L44" s="29" t="s">
        <v>571</v>
      </c>
      <c r="M44" s="29"/>
      <c r="N44" s="29" t="s">
        <v>75</v>
      </c>
      <c r="O44" s="28"/>
      <c r="P44" s="28"/>
      <c r="Q44" s="28" t="s">
        <v>76</v>
      </c>
      <c r="R44" s="29"/>
      <c r="S44" s="28"/>
      <c r="T44" s="28" t="s">
        <v>76</v>
      </c>
      <c r="U44" s="28" t="s">
        <v>75</v>
      </c>
      <c r="V44" s="28" t="s">
        <v>75</v>
      </c>
      <c r="W44" s="28"/>
    </row>
    <row r="45" spans="1:23" s="12" customFormat="1" hidden="1">
      <c r="A45" s="46" t="s">
        <v>572</v>
      </c>
      <c r="B45" s="28" t="s">
        <v>1332</v>
      </c>
      <c r="C45" s="28" t="s">
        <v>88</v>
      </c>
      <c r="D45" s="28" t="s">
        <v>655</v>
      </c>
      <c r="E45" s="28" t="s">
        <v>824</v>
      </c>
      <c r="F45" s="28" t="s">
        <v>1607</v>
      </c>
      <c r="G45" s="28" t="s">
        <v>1607</v>
      </c>
      <c r="H45" s="28" t="s">
        <v>174</v>
      </c>
      <c r="I45" s="28" t="e">
        <f>VLOOKUP(F45,표준용어사전!$B:$D,3,FALSE)</f>
        <v>#N/A</v>
      </c>
      <c r="J45" s="28" t="s">
        <v>78</v>
      </c>
      <c r="K45" s="27">
        <v>2100</v>
      </c>
      <c r="L45" s="29" t="s">
        <v>571</v>
      </c>
      <c r="M45" s="29" t="s">
        <v>897</v>
      </c>
      <c r="N45" s="29" t="s">
        <v>75</v>
      </c>
      <c r="O45" s="28"/>
      <c r="P45" s="28"/>
      <c r="Q45" s="28" t="s">
        <v>76</v>
      </c>
      <c r="R45" s="29"/>
      <c r="S45" s="28"/>
      <c r="T45" s="28" t="s">
        <v>76</v>
      </c>
      <c r="U45" s="28" t="s">
        <v>75</v>
      </c>
      <c r="V45" s="28" t="s">
        <v>75</v>
      </c>
      <c r="W45" s="28"/>
    </row>
    <row r="46" spans="1:23" s="12" customFormat="1" hidden="1">
      <c r="A46" s="46" t="s">
        <v>572</v>
      </c>
      <c r="B46" s="28" t="s">
        <v>1332</v>
      </c>
      <c r="C46" s="28" t="s">
        <v>88</v>
      </c>
      <c r="D46" s="28" t="s">
        <v>655</v>
      </c>
      <c r="E46" s="28" t="s">
        <v>182</v>
      </c>
      <c r="F46" s="28" t="s">
        <v>436</v>
      </c>
      <c r="G46" s="28" t="s">
        <v>436</v>
      </c>
      <c r="H46" s="28" t="s">
        <v>174</v>
      </c>
      <c r="I46" s="28" t="str">
        <f>VLOOKUP(F46,표준용어사전!$B:$D,3,FALSE)</f>
        <v>연월일C8</v>
      </c>
      <c r="J46" s="28" t="s">
        <v>570</v>
      </c>
      <c r="K46" s="27">
        <v>8</v>
      </c>
      <c r="L46" s="29" t="s">
        <v>571</v>
      </c>
      <c r="M46" s="29" t="s">
        <v>731</v>
      </c>
      <c r="N46" s="29" t="s">
        <v>75</v>
      </c>
      <c r="O46" s="28"/>
      <c r="P46" s="28"/>
      <c r="Q46" s="28" t="s">
        <v>76</v>
      </c>
      <c r="R46" s="29"/>
      <c r="S46" s="28"/>
      <c r="T46" s="28" t="s">
        <v>575</v>
      </c>
      <c r="U46" s="28" t="s">
        <v>75</v>
      </c>
      <c r="V46" s="28" t="s">
        <v>75</v>
      </c>
      <c r="W46" s="28"/>
    </row>
    <row r="47" spans="1:23" s="12" customFormat="1" hidden="1">
      <c r="A47" s="46" t="s">
        <v>572</v>
      </c>
      <c r="B47" s="28" t="s">
        <v>1332</v>
      </c>
      <c r="C47" s="28" t="s">
        <v>88</v>
      </c>
      <c r="D47" s="28" t="s">
        <v>655</v>
      </c>
      <c r="E47" s="28" t="s">
        <v>183</v>
      </c>
      <c r="F47" s="28" t="s">
        <v>437</v>
      </c>
      <c r="G47" s="28" t="s">
        <v>437</v>
      </c>
      <c r="H47" s="28" t="s">
        <v>174</v>
      </c>
      <c r="I47" s="28" t="str">
        <f>VLOOKUP(F47,표준용어사전!$B:$D,3,FALSE)</f>
        <v>여부C1</v>
      </c>
      <c r="J47" s="28" t="s">
        <v>570</v>
      </c>
      <c r="K47" s="27">
        <v>1</v>
      </c>
      <c r="L47" s="29" t="s">
        <v>571</v>
      </c>
      <c r="M47" s="29" t="s">
        <v>722</v>
      </c>
      <c r="N47" s="29" t="s">
        <v>75</v>
      </c>
      <c r="O47" s="28"/>
      <c r="P47" s="28"/>
      <c r="Q47" s="28" t="s">
        <v>76</v>
      </c>
      <c r="R47" s="29"/>
      <c r="S47" s="28"/>
      <c r="T47" s="28" t="s">
        <v>576</v>
      </c>
      <c r="U47" s="28" t="s">
        <v>75</v>
      </c>
      <c r="V47" s="28" t="s">
        <v>75</v>
      </c>
      <c r="W47" s="28"/>
    </row>
    <row r="48" spans="1:23" s="12" customFormat="1" hidden="1">
      <c r="A48" s="46" t="s">
        <v>572</v>
      </c>
      <c r="B48" s="28" t="s">
        <v>1332</v>
      </c>
      <c r="C48" s="28" t="s">
        <v>88</v>
      </c>
      <c r="D48" s="28" t="s">
        <v>655</v>
      </c>
      <c r="E48" s="28" t="s">
        <v>153</v>
      </c>
      <c r="F48" s="28" t="s">
        <v>79</v>
      </c>
      <c r="G48" s="28" t="s">
        <v>79</v>
      </c>
      <c r="H48" s="28" t="s">
        <v>174</v>
      </c>
      <c r="I48" s="28" t="str">
        <f>VLOOKUP(F48,표준용어사전!$B:$D,3,FALSE)</f>
        <v>코드C2</v>
      </c>
      <c r="J48" s="28" t="s">
        <v>570</v>
      </c>
      <c r="K48" s="27">
        <v>50</v>
      </c>
      <c r="L48" s="29" t="s">
        <v>571</v>
      </c>
      <c r="M48" s="29" t="s">
        <v>725</v>
      </c>
      <c r="N48" s="29" t="s">
        <v>75</v>
      </c>
      <c r="O48" s="28"/>
      <c r="P48" s="28"/>
      <c r="Q48" s="28" t="s">
        <v>76</v>
      </c>
      <c r="R48" s="29"/>
      <c r="S48" s="28"/>
      <c r="T48" s="28" t="s">
        <v>76</v>
      </c>
      <c r="U48" s="28" t="s">
        <v>75</v>
      </c>
      <c r="V48" s="28" t="s">
        <v>75</v>
      </c>
      <c r="W48" s="28"/>
    </row>
    <row r="49" spans="1:23" s="12" customFormat="1" hidden="1">
      <c r="A49" s="46" t="s">
        <v>572</v>
      </c>
      <c r="B49" s="28" t="s">
        <v>1332</v>
      </c>
      <c r="C49" s="28" t="s">
        <v>88</v>
      </c>
      <c r="D49" s="28" t="s">
        <v>655</v>
      </c>
      <c r="E49" s="28" t="s">
        <v>184</v>
      </c>
      <c r="F49" s="28" t="s">
        <v>438</v>
      </c>
      <c r="G49" s="28" t="s">
        <v>438</v>
      </c>
      <c r="H49" s="28" t="s">
        <v>174</v>
      </c>
      <c r="I49" s="28" t="str">
        <f>VLOOKUP(F49,표준용어사전!$B:$D,3,FALSE)</f>
        <v>명V20</v>
      </c>
      <c r="J49" s="28" t="s">
        <v>78</v>
      </c>
      <c r="K49" s="27">
        <v>50</v>
      </c>
      <c r="L49" s="29" t="s">
        <v>571</v>
      </c>
      <c r="M49" s="29" t="s">
        <v>720</v>
      </c>
      <c r="N49" s="29" t="s">
        <v>75</v>
      </c>
      <c r="O49" s="28"/>
      <c r="P49" s="28"/>
      <c r="Q49" s="28" t="s">
        <v>76</v>
      </c>
      <c r="R49" s="29"/>
      <c r="S49" s="28"/>
      <c r="T49" s="28" t="s">
        <v>76</v>
      </c>
      <c r="U49" s="28" t="s">
        <v>75</v>
      </c>
      <c r="V49" s="28" t="s">
        <v>75</v>
      </c>
      <c r="W49" s="28"/>
    </row>
    <row r="50" spans="1:23" s="12" customFormat="1" hidden="1">
      <c r="A50" s="46" t="s">
        <v>572</v>
      </c>
      <c r="B50" s="28" t="s">
        <v>1332</v>
      </c>
      <c r="C50" s="28" t="s">
        <v>88</v>
      </c>
      <c r="D50" s="28" t="s">
        <v>655</v>
      </c>
      <c r="E50" s="28" t="s">
        <v>90</v>
      </c>
      <c r="F50" s="28" t="s">
        <v>14</v>
      </c>
      <c r="G50" s="28" t="s">
        <v>14</v>
      </c>
      <c r="H50" s="28" t="s">
        <v>174</v>
      </c>
      <c r="I50" s="28" t="str">
        <f>VLOOKUP(F50,표준용어사전!$B:$D,3,FALSE)</f>
        <v>연월일시분초TS</v>
      </c>
      <c r="J50" s="28" t="s">
        <v>16</v>
      </c>
      <c r="K50" s="27" t="s">
        <v>571</v>
      </c>
      <c r="L50" s="29" t="s">
        <v>571</v>
      </c>
      <c r="M50" s="29" t="s">
        <v>726</v>
      </c>
      <c r="N50" s="29" t="s">
        <v>711</v>
      </c>
      <c r="O50" s="28"/>
      <c r="P50" s="28"/>
      <c r="Q50" s="28" t="s">
        <v>76</v>
      </c>
      <c r="R50" s="29"/>
      <c r="S50" s="28"/>
      <c r="T50" s="28" t="s">
        <v>574</v>
      </c>
      <c r="U50" s="28" t="s">
        <v>75</v>
      </c>
      <c r="V50" s="28" t="s">
        <v>75</v>
      </c>
      <c r="W50" s="28"/>
    </row>
    <row r="51" spans="1:23" s="12" customFormat="1" hidden="1">
      <c r="A51" s="46" t="s">
        <v>572</v>
      </c>
      <c r="B51" s="28" t="s">
        <v>1332</v>
      </c>
      <c r="C51" s="28" t="s">
        <v>88</v>
      </c>
      <c r="D51" s="28" t="s">
        <v>655</v>
      </c>
      <c r="E51" s="28" t="s">
        <v>91</v>
      </c>
      <c r="F51" s="28" t="s">
        <v>369</v>
      </c>
      <c r="G51" s="28" t="s">
        <v>369</v>
      </c>
      <c r="H51" s="28" t="s">
        <v>174</v>
      </c>
      <c r="I51" s="28" t="str">
        <f>VLOOKUP(F51,표준용어사전!$B:$D,3,FALSE)</f>
        <v>명V20</v>
      </c>
      <c r="J51" s="28" t="s">
        <v>78</v>
      </c>
      <c r="K51" s="27">
        <v>20</v>
      </c>
      <c r="L51" s="29" t="s">
        <v>571</v>
      </c>
      <c r="M51" s="29" t="s">
        <v>727</v>
      </c>
      <c r="N51" s="29" t="s">
        <v>75</v>
      </c>
      <c r="O51" s="28"/>
      <c r="P51" s="28"/>
      <c r="Q51" s="28" t="s">
        <v>76</v>
      </c>
      <c r="R51" s="29"/>
      <c r="S51" s="28"/>
      <c r="T51" s="28" t="s">
        <v>76</v>
      </c>
      <c r="U51" s="28" t="s">
        <v>75</v>
      </c>
      <c r="V51" s="28" t="s">
        <v>75</v>
      </c>
      <c r="W51" s="28"/>
    </row>
    <row r="52" spans="1:23" s="12" customFormat="1" hidden="1">
      <c r="A52" s="46" t="s">
        <v>572</v>
      </c>
      <c r="B52" s="28" t="s">
        <v>1332</v>
      </c>
      <c r="C52" s="28" t="s">
        <v>88</v>
      </c>
      <c r="D52" s="28" t="s">
        <v>655</v>
      </c>
      <c r="E52" s="28" t="s">
        <v>92</v>
      </c>
      <c r="F52" s="28" t="s">
        <v>15</v>
      </c>
      <c r="G52" s="28" t="s">
        <v>15</v>
      </c>
      <c r="H52" s="28" t="s">
        <v>174</v>
      </c>
      <c r="I52" s="28" t="str">
        <f>VLOOKUP(F52,표준용어사전!$B:$D,3,FALSE)</f>
        <v>연월일시분초TS</v>
      </c>
      <c r="J52" s="28" t="s">
        <v>16</v>
      </c>
      <c r="K52" s="27" t="s">
        <v>571</v>
      </c>
      <c r="L52" s="29" t="s">
        <v>571</v>
      </c>
      <c r="M52" s="29" t="s">
        <v>726</v>
      </c>
      <c r="N52" s="29" t="s">
        <v>75</v>
      </c>
      <c r="O52" s="28"/>
      <c r="P52" s="28"/>
      <c r="Q52" s="28" t="s">
        <v>76</v>
      </c>
      <c r="R52" s="29"/>
      <c r="S52" s="28"/>
      <c r="T52" s="28" t="s">
        <v>574</v>
      </c>
      <c r="U52" s="28" t="s">
        <v>75</v>
      </c>
      <c r="V52" s="28" t="s">
        <v>75</v>
      </c>
      <c r="W52" s="28"/>
    </row>
    <row r="53" spans="1:23" s="12" customFormat="1" hidden="1">
      <c r="A53" s="46" t="s">
        <v>572</v>
      </c>
      <c r="B53" s="28" t="s">
        <v>1332</v>
      </c>
      <c r="C53" s="28" t="s">
        <v>88</v>
      </c>
      <c r="D53" s="28" t="s">
        <v>655</v>
      </c>
      <c r="E53" s="28" t="s">
        <v>93</v>
      </c>
      <c r="F53" s="28" t="s">
        <v>370</v>
      </c>
      <c r="G53" s="28" t="s">
        <v>370</v>
      </c>
      <c r="H53" s="28" t="s">
        <v>174</v>
      </c>
      <c r="I53" s="28" t="str">
        <f>VLOOKUP(F53,표준용어사전!$B:$D,3,FALSE)</f>
        <v>명V20</v>
      </c>
      <c r="J53" s="28" t="s">
        <v>78</v>
      </c>
      <c r="K53" s="27">
        <v>20</v>
      </c>
      <c r="L53" s="29" t="s">
        <v>571</v>
      </c>
      <c r="M53" s="29" t="s">
        <v>727</v>
      </c>
      <c r="N53" s="29" t="s">
        <v>75</v>
      </c>
      <c r="O53" s="28"/>
      <c r="P53" s="28"/>
      <c r="Q53" s="28" t="s">
        <v>76</v>
      </c>
      <c r="R53" s="29"/>
      <c r="S53" s="28"/>
      <c r="T53" s="28" t="s">
        <v>76</v>
      </c>
      <c r="U53" s="28" t="s">
        <v>75</v>
      </c>
      <c r="V53" s="28" t="s">
        <v>75</v>
      </c>
      <c r="W53" s="28"/>
    </row>
    <row r="54" spans="1:23" s="12" customFormat="1" hidden="1">
      <c r="A54" s="46" t="s">
        <v>572</v>
      </c>
      <c r="B54" s="28" t="s">
        <v>1332</v>
      </c>
      <c r="C54" s="28" t="s">
        <v>88</v>
      </c>
      <c r="D54" s="28" t="s">
        <v>655</v>
      </c>
      <c r="E54" s="28" t="s">
        <v>825</v>
      </c>
      <c r="F54" s="28" t="s">
        <v>712</v>
      </c>
      <c r="G54" s="28" t="s">
        <v>712</v>
      </c>
      <c r="H54" s="28" t="s">
        <v>174</v>
      </c>
      <c r="I54" s="28" t="str">
        <f>VLOOKUP(F54,표준용어사전!$B:$D,3,FALSE)</f>
        <v>여부C1</v>
      </c>
      <c r="J54" s="28" t="s">
        <v>709</v>
      </c>
      <c r="K54" s="27">
        <v>1</v>
      </c>
      <c r="L54" s="29" t="s">
        <v>571</v>
      </c>
      <c r="M54" s="29" t="s">
        <v>722</v>
      </c>
      <c r="N54" s="29" t="s">
        <v>75</v>
      </c>
      <c r="O54" s="28"/>
      <c r="P54" s="28"/>
      <c r="Q54" s="28" t="s">
        <v>76</v>
      </c>
      <c r="R54" s="29"/>
      <c r="S54" s="28"/>
      <c r="T54" s="28" t="s">
        <v>576</v>
      </c>
      <c r="U54" s="28" t="s">
        <v>75</v>
      </c>
      <c r="V54" s="28" t="s">
        <v>75</v>
      </c>
      <c r="W54" s="28"/>
    </row>
    <row r="55" spans="1:23" s="12" customFormat="1" hidden="1">
      <c r="A55" s="46" t="s">
        <v>572</v>
      </c>
      <c r="B55" s="28" t="s">
        <v>1332</v>
      </c>
      <c r="C55" s="28" t="s">
        <v>88</v>
      </c>
      <c r="D55" s="28" t="s">
        <v>656</v>
      </c>
      <c r="E55" s="28" t="s">
        <v>171</v>
      </c>
      <c r="F55" s="28" t="s">
        <v>427</v>
      </c>
      <c r="G55" s="28" t="s">
        <v>427</v>
      </c>
      <c r="H55" s="28" t="s">
        <v>172</v>
      </c>
      <c r="I55" s="28" t="e">
        <f>VLOOKUP(F55,표준용어사전!$B:$D,3,FALSE)</f>
        <v>#N/A</v>
      </c>
      <c r="J55" s="28" t="s">
        <v>717</v>
      </c>
      <c r="K55" s="27" t="s">
        <v>571</v>
      </c>
      <c r="L55" s="29" t="s">
        <v>571</v>
      </c>
      <c r="M55" s="29"/>
      <c r="N55" s="29" t="s">
        <v>711</v>
      </c>
      <c r="O55" s="28" t="s">
        <v>73</v>
      </c>
      <c r="P55" s="28"/>
      <c r="Q55" s="28" t="s">
        <v>76</v>
      </c>
      <c r="R55" s="29"/>
      <c r="S55" s="28"/>
      <c r="T55" s="28" t="s">
        <v>76</v>
      </c>
      <c r="U55" s="28" t="s">
        <v>75</v>
      </c>
      <c r="V55" s="28" t="s">
        <v>75</v>
      </c>
      <c r="W55" s="28"/>
    </row>
    <row r="56" spans="1:23" s="12" customFormat="1" hidden="1">
      <c r="A56" s="46" t="s">
        <v>572</v>
      </c>
      <c r="B56" s="28" t="s">
        <v>1332</v>
      </c>
      <c r="C56" s="28" t="s">
        <v>88</v>
      </c>
      <c r="D56" s="28" t="s">
        <v>656</v>
      </c>
      <c r="E56" s="28" t="s">
        <v>163</v>
      </c>
      <c r="F56" s="28" t="s">
        <v>422</v>
      </c>
      <c r="G56" s="28" t="s">
        <v>422</v>
      </c>
      <c r="H56" s="28" t="s">
        <v>172</v>
      </c>
      <c r="I56" s="28" t="e">
        <f>VLOOKUP(F56,표준용어사전!$B:$D,3,FALSE)</f>
        <v>#N/A</v>
      </c>
      <c r="J56" s="28" t="s">
        <v>63</v>
      </c>
      <c r="K56" s="24">
        <v>10</v>
      </c>
      <c r="L56" s="29" t="s">
        <v>571</v>
      </c>
      <c r="M56" s="29">
        <v>9999999999</v>
      </c>
      <c r="N56" s="29" t="s">
        <v>711</v>
      </c>
      <c r="O56" s="28"/>
      <c r="P56" s="28"/>
      <c r="Q56" s="28" t="s">
        <v>76</v>
      </c>
      <c r="R56" s="29"/>
      <c r="S56" s="28"/>
      <c r="T56" s="28" t="s">
        <v>76</v>
      </c>
      <c r="U56" s="28" t="s">
        <v>75</v>
      </c>
      <c r="V56" s="28" t="s">
        <v>75</v>
      </c>
      <c r="W56" s="28"/>
    </row>
    <row r="57" spans="1:23" s="12" customFormat="1" hidden="1">
      <c r="A57" s="46" t="s">
        <v>572</v>
      </c>
      <c r="B57" s="28" t="s">
        <v>1332</v>
      </c>
      <c r="C57" s="28" t="s">
        <v>88</v>
      </c>
      <c r="D57" s="28" t="s">
        <v>656</v>
      </c>
      <c r="E57" s="28" t="s">
        <v>173</v>
      </c>
      <c r="F57" s="28" t="s">
        <v>428</v>
      </c>
      <c r="G57" s="28" t="s">
        <v>428</v>
      </c>
      <c r="H57" s="28" t="s">
        <v>172</v>
      </c>
      <c r="I57" s="28" t="str">
        <f>VLOOKUP(F57,표준용어사전!$B:$D,3,FALSE)</f>
        <v>명V256</v>
      </c>
      <c r="J57" s="28" t="s">
        <v>78</v>
      </c>
      <c r="K57" s="27">
        <v>256</v>
      </c>
      <c r="L57" s="29" t="s">
        <v>571</v>
      </c>
      <c r="M57" s="29" t="s">
        <v>730</v>
      </c>
      <c r="N57" s="29" t="s">
        <v>75</v>
      </c>
      <c r="O57" s="28"/>
      <c r="P57" s="28"/>
      <c r="Q57" s="28" t="s">
        <v>76</v>
      </c>
      <c r="R57" s="29"/>
      <c r="S57" s="28"/>
      <c r="T57" s="28" t="s">
        <v>76</v>
      </c>
      <c r="U57" s="28" t="s">
        <v>75</v>
      </c>
      <c r="V57" s="28" t="s">
        <v>75</v>
      </c>
      <c r="W57" s="28"/>
    </row>
    <row r="58" spans="1:23" s="12" customFormat="1" hidden="1">
      <c r="A58" s="46" t="s">
        <v>572</v>
      </c>
      <c r="B58" s="28" t="s">
        <v>1332</v>
      </c>
      <c r="C58" s="28" t="s">
        <v>88</v>
      </c>
      <c r="D58" s="28" t="s">
        <v>656</v>
      </c>
      <c r="E58" s="28" t="s">
        <v>826</v>
      </c>
      <c r="F58" s="28" t="s">
        <v>1421</v>
      </c>
      <c r="G58" s="28" t="s">
        <v>429</v>
      </c>
      <c r="H58" s="28" t="s">
        <v>172</v>
      </c>
      <c r="I58" s="28" t="e">
        <f>VLOOKUP(F58,표준용어사전!$B:$D,3,FALSE)</f>
        <v>#N/A</v>
      </c>
      <c r="J58" s="28" t="s">
        <v>78</v>
      </c>
      <c r="K58" s="27">
        <v>256</v>
      </c>
      <c r="L58" s="29" t="s">
        <v>571</v>
      </c>
      <c r="M58" s="29" t="s">
        <v>730</v>
      </c>
      <c r="N58" s="29" t="s">
        <v>75</v>
      </c>
      <c r="O58" s="28"/>
      <c r="P58" s="28"/>
      <c r="Q58" s="28" t="s">
        <v>76</v>
      </c>
      <c r="R58" s="29"/>
      <c r="S58" s="28"/>
      <c r="T58" s="28" t="s">
        <v>76</v>
      </c>
      <c r="U58" s="28" t="s">
        <v>75</v>
      </c>
      <c r="V58" s="28" t="s">
        <v>75</v>
      </c>
      <c r="W58" s="28"/>
    </row>
    <row r="59" spans="1:23" s="12" customFormat="1" hidden="1">
      <c r="A59" s="46" t="s">
        <v>572</v>
      </c>
      <c r="B59" s="28" t="s">
        <v>1332</v>
      </c>
      <c r="C59" s="28" t="s">
        <v>88</v>
      </c>
      <c r="D59" s="28" t="s">
        <v>656</v>
      </c>
      <c r="E59" s="28" t="s">
        <v>90</v>
      </c>
      <c r="F59" s="28" t="s">
        <v>14</v>
      </c>
      <c r="G59" s="28" t="s">
        <v>14</v>
      </c>
      <c r="H59" s="28" t="s">
        <v>172</v>
      </c>
      <c r="I59" s="28" t="str">
        <f>VLOOKUP(F59,표준용어사전!$B:$D,3,FALSE)</f>
        <v>연월일시분초TS</v>
      </c>
      <c r="J59" s="28" t="s">
        <v>16</v>
      </c>
      <c r="K59" s="27" t="s">
        <v>571</v>
      </c>
      <c r="L59" s="29" t="s">
        <v>571</v>
      </c>
      <c r="M59" s="29" t="s">
        <v>726</v>
      </c>
      <c r="N59" s="29" t="s">
        <v>711</v>
      </c>
      <c r="O59" s="28"/>
      <c r="P59" s="28"/>
      <c r="Q59" s="28" t="s">
        <v>76</v>
      </c>
      <c r="R59" s="29"/>
      <c r="S59" s="28"/>
      <c r="T59" s="28" t="s">
        <v>574</v>
      </c>
      <c r="U59" s="28" t="s">
        <v>75</v>
      </c>
      <c r="V59" s="28" t="s">
        <v>75</v>
      </c>
      <c r="W59" s="28"/>
    </row>
    <row r="60" spans="1:23" s="12" customFormat="1" hidden="1">
      <c r="A60" s="46" t="s">
        <v>572</v>
      </c>
      <c r="B60" s="28" t="s">
        <v>1332</v>
      </c>
      <c r="C60" s="28" t="s">
        <v>88</v>
      </c>
      <c r="D60" s="28" t="s">
        <v>656</v>
      </c>
      <c r="E60" s="28" t="s">
        <v>91</v>
      </c>
      <c r="F60" s="28" t="s">
        <v>369</v>
      </c>
      <c r="G60" s="28" t="s">
        <v>369</v>
      </c>
      <c r="H60" s="28" t="s">
        <v>172</v>
      </c>
      <c r="I60" s="28" t="str">
        <f>VLOOKUP(F60,표준용어사전!$B:$D,3,FALSE)</f>
        <v>명V20</v>
      </c>
      <c r="J60" s="28" t="s">
        <v>78</v>
      </c>
      <c r="K60" s="27">
        <v>20</v>
      </c>
      <c r="L60" s="29" t="s">
        <v>571</v>
      </c>
      <c r="M60" s="29" t="s">
        <v>727</v>
      </c>
      <c r="N60" s="29" t="s">
        <v>75</v>
      </c>
      <c r="O60" s="28"/>
      <c r="P60" s="28"/>
      <c r="Q60" s="28" t="s">
        <v>76</v>
      </c>
      <c r="R60" s="29"/>
      <c r="S60" s="28"/>
      <c r="T60" s="28" t="s">
        <v>76</v>
      </c>
      <c r="U60" s="28" t="s">
        <v>75</v>
      </c>
      <c r="V60" s="28" t="s">
        <v>75</v>
      </c>
      <c r="W60" s="28"/>
    </row>
    <row r="61" spans="1:23" s="12" customFormat="1" hidden="1">
      <c r="A61" s="46" t="s">
        <v>572</v>
      </c>
      <c r="B61" s="28" t="s">
        <v>1332</v>
      </c>
      <c r="C61" s="28" t="s">
        <v>88</v>
      </c>
      <c r="D61" s="28" t="s">
        <v>656</v>
      </c>
      <c r="E61" s="28" t="s">
        <v>92</v>
      </c>
      <c r="F61" s="28" t="s">
        <v>15</v>
      </c>
      <c r="G61" s="28" t="s">
        <v>15</v>
      </c>
      <c r="H61" s="28" t="s">
        <v>172</v>
      </c>
      <c r="I61" s="28" t="str">
        <f>VLOOKUP(F61,표준용어사전!$B:$D,3,FALSE)</f>
        <v>연월일시분초TS</v>
      </c>
      <c r="J61" s="28" t="s">
        <v>16</v>
      </c>
      <c r="K61" s="27" t="s">
        <v>571</v>
      </c>
      <c r="L61" s="29" t="s">
        <v>571</v>
      </c>
      <c r="M61" s="29" t="s">
        <v>726</v>
      </c>
      <c r="N61" s="29" t="s">
        <v>75</v>
      </c>
      <c r="O61" s="28"/>
      <c r="P61" s="28"/>
      <c r="Q61" s="28" t="s">
        <v>76</v>
      </c>
      <c r="R61" s="29"/>
      <c r="S61" s="28"/>
      <c r="T61" s="28" t="s">
        <v>574</v>
      </c>
      <c r="U61" s="28" t="s">
        <v>75</v>
      </c>
      <c r="V61" s="28" t="s">
        <v>75</v>
      </c>
      <c r="W61" s="28"/>
    </row>
    <row r="62" spans="1:23" s="12" customFormat="1" hidden="1">
      <c r="A62" s="46" t="s">
        <v>572</v>
      </c>
      <c r="B62" s="28" t="s">
        <v>1332</v>
      </c>
      <c r="C62" s="28" t="s">
        <v>88</v>
      </c>
      <c r="D62" s="28" t="s">
        <v>656</v>
      </c>
      <c r="E62" s="28" t="s">
        <v>93</v>
      </c>
      <c r="F62" s="28" t="s">
        <v>370</v>
      </c>
      <c r="G62" s="28" t="s">
        <v>370</v>
      </c>
      <c r="H62" s="28" t="s">
        <v>172</v>
      </c>
      <c r="I62" s="28" t="str">
        <f>VLOOKUP(F62,표준용어사전!$B:$D,3,FALSE)</f>
        <v>명V20</v>
      </c>
      <c r="J62" s="28" t="s">
        <v>78</v>
      </c>
      <c r="K62" s="27">
        <v>20</v>
      </c>
      <c r="L62" s="29" t="s">
        <v>571</v>
      </c>
      <c r="M62" s="29" t="s">
        <v>727</v>
      </c>
      <c r="N62" s="29" t="s">
        <v>75</v>
      </c>
      <c r="O62" s="28"/>
      <c r="P62" s="28"/>
      <c r="Q62" s="28" t="s">
        <v>76</v>
      </c>
      <c r="R62" s="29"/>
      <c r="S62" s="28"/>
      <c r="T62" s="28" t="s">
        <v>76</v>
      </c>
      <c r="U62" s="28" t="s">
        <v>75</v>
      </c>
      <c r="V62" s="28" t="s">
        <v>75</v>
      </c>
      <c r="W62" s="28"/>
    </row>
    <row r="63" spans="1:23" s="12" customFormat="1" hidden="1">
      <c r="A63" s="46" t="s">
        <v>572</v>
      </c>
      <c r="B63" s="28" t="s">
        <v>1332</v>
      </c>
      <c r="C63" s="28" t="s">
        <v>88</v>
      </c>
      <c r="D63" s="28" t="s">
        <v>657</v>
      </c>
      <c r="E63" s="28" t="s">
        <v>168</v>
      </c>
      <c r="F63" s="28" t="s">
        <v>425</v>
      </c>
      <c r="G63" s="28" t="s">
        <v>425</v>
      </c>
      <c r="H63" s="28" t="s">
        <v>169</v>
      </c>
      <c r="I63" s="28" t="e">
        <f>VLOOKUP(F63,표준용어사전!$B:$D,3,FALSE)</f>
        <v>#N/A</v>
      </c>
      <c r="J63" s="28" t="s">
        <v>717</v>
      </c>
      <c r="K63" s="27" t="s">
        <v>571</v>
      </c>
      <c r="L63" s="29" t="s">
        <v>571</v>
      </c>
      <c r="M63" s="29"/>
      <c r="N63" s="29" t="s">
        <v>711</v>
      </c>
      <c r="O63" s="28" t="s">
        <v>73</v>
      </c>
      <c r="P63" s="28"/>
      <c r="Q63" s="28" t="s">
        <v>76</v>
      </c>
      <c r="R63" s="29"/>
      <c r="S63" s="28"/>
      <c r="T63" s="28" t="s">
        <v>76</v>
      </c>
      <c r="U63" s="28" t="s">
        <v>75</v>
      </c>
      <c r="V63" s="28" t="s">
        <v>75</v>
      </c>
      <c r="W63" s="28"/>
    </row>
    <row r="64" spans="1:23" s="12" customFormat="1" hidden="1">
      <c r="A64" s="46" t="s">
        <v>572</v>
      </c>
      <c r="B64" s="28" t="s">
        <v>1332</v>
      </c>
      <c r="C64" s="28" t="s">
        <v>88</v>
      </c>
      <c r="D64" s="28" t="s">
        <v>657</v>
      </c>
      <c r="E64" s="28" t="s">
        <v>163</v>
      </c>
      <c r="F64" s="28" t="s">
        <v>422</v>
      </c>
      <c r="G64" s="28" t="s">
        <v>422</v>
      </c>
      <c r="H64" s="28" t="s">
        <v>169</v>
      </c>
      <c r="I64" s="28" t="e">
        <f>VLOOKUP(F64,표준용어사전!$B:$D,3,FALSE)</f>
        <v>#N/A</v>
      </c>
      <c r="J64" s="28" t="s">
        <v>63</v>
      </c>
      <c r="K64" s="24">
        <v>10</v>
      </c>
      <c r="L64" s="29" t="s">
        <v>571</v>
      </c>
      <c r="M64" s="29">
        <v>9999999999</v>
      </c>
      <c r="N64" s="29" t="s">
        <v>711</v>
      </c>
      <c r="O64" s="28"/>
      <c r="P64" s="28"/>
      <c r="Q64" s="28" t="s">
        <v>76</v>
      </c>
      <c r="R64" s="29"/>
      <c r="S64" s="28"/>
      <c r="T64" s="28" t="s">
        <v>76</v>
      </c>
      <c r="U64" s="28" t="s">
        <v>75</v>
      </c>
      <c r="V64" s="28" t="s">
        <v>75</v>
      </c>
      <c r="W64" s="28"/>
    </row>
    <row r="65" spans="1:23" s="12" customFormat="1" hidden="1">
      <c r="A65" s="46" t="s">
        <v>572</v>
      </c>
      <c r="B65" s="28" t="s">
        <v>1332</v>
      </c>
      <c r="C65" s="28" t="s">
        <v>88</v>
      </c>
      <c r="D65" s="28" t="s">
        <v>657</v>
      </c>
      <c r="E65" s="28" t="s">
        <v>170</v>
      </c>
      <c r="F65" s="28" t="s">
        <v>426</v>
      </c>
      <c r="G65" s="28" t="s">
        <v>426</v>
      </c>
      <c r="H65" s="28" t="s">
        <v>169</v>
      </c>
      <c r="I65" s="28" t="str">
        <f>VLOOKUP(F65,표준용어사전!$B:$D,3,FALSE)</f>
        <v>코드V50</v>
      </c>
      <c r="J65" s="28" t="s">
        <v>570</v>
      </c>
      <c r="K65" s="27">
        <v>50</v>
      </c>
      <c r="L65" s="29" t="s">
        <v>571</v>
      </c>
      <c r="M65" s="29" t="s">
        <v>725</v>
      </c>
      <c r="N65" s="29" t="s">
        <v>75</v>
      </c>
      <c r="O65" s="28"/>
      <c r="P65" s="28"/>
      <c r="Q65" s="28" t="s">
        <v>76</v>
      </c>
      <c r="R65" s="29"/>
      <c r="S65" s="28"/>
      <c r="T65" s="28" t="s">
        <v>76</v>
      </c>
      <c r="U65" s="28" t="s">
        <v>75</v>
      </c>
      <c r="V65" s="28" t="s">
        <v>75</v>
      </c>
      <c r="W65" s="28"/>
    </row>
    <row r="66" spans="1:23" s="12" customFormat="1" hidden="1">
      <c r="A66" s="46" t="s">
        <v>572</v>
      </c>
      <c r="B66" s="28" t="s">
        <v>1332</v>
      </c>
      <c r="C66" s="28" t="s">
        <v>88</v>
      </c>
      <c r="D66" s="28" t="s">
        <v>657</v>
      </c>
      <c r="E66" s="28" t="s">
        <v>82</v>
      </c>
      <c r="F66" s="28" t="s">
        <v>84</v>
      </c>
      <c r="G66" s="28" t="s">
        <v>84</v>
      </c>
      <c r="H66" s="28" t="s">
        <v>169</v>
      </c>
      <c r="I66" s="28" t="str">
        <f>VLOOKUP(F66,표준용어사전!$B:$D,3,FALSE)</f>
        <v>명V256</v>
      </c>
      <c r="J66" s="28" t="s">
        <v>78</v>
      </c>
      <c r="K66" s="24">
        <v>255</v>
      </c>
      <c r="L66" s="29" t="s">
        <v>571</v>
      </c>
      <c r="M66" s="29" t="s">
        <v>732</v>
      </c>
      <c r="N66" s="29" t="s">
        <v>75</v>
      </c>
      <c r="O66" s="28"/>
      <c r="P66" s="28"/>
      <c r="Q66" s="28" t="s">
        <v>76</v>
      </c>
      <c r="R66" s="29"/>
      <c r="S66" s="28"/>
      <c r="T66" s="28" t="s">
        <v>76</v>
      </c>
      <c r="U66" s="28" t="s">
        <v>75</v>
      </c>
      <c r="V66" s="28" t="s">
        <v>75</v>
      </c>
      <c r="W66" s="28"/>
    </row>
    <row r="67" spans="1:23" s="12" customFormat="1" hidden="1">
      <c r="A67" s="46" t="s">
        <v>572</v>
      </c>
      <c r="B67" s="28" t="s">
        <v>1332</v>
      </c>
      <c r="C67" s="28" t="s">
        <v>88</v>
      </c>
      <c r="D67" s="28" t="s">
        <v>657</v>
      </c>
      <c r="E67" s="28" t="s">
        <v>90</v>
      </c>
      <c r="F67" s="28" t="s">
        <v>14</v>
      </c>
      <c r="G67" s="28" t="s">
        <v>14</v>
      </c>
      <c r="H67" s="28" t="s">
        <v>169</v>
      </c>
      <c r="I67" s="28" t="str">
        <f>VLOOKUP(F67,표준용어사전!$B:$D,3,FALSE)</f>
        <v>연월일시분초TS</v>
      </c>
      <c r="J67" s="28" t="s">
        <v>16</v>
      </c>
      <c r="K67" s="27" t="s">
        <v>571</v>
      </c>
      <c r="L67" s="29" t="s">
        <v>571</v>
      </c>
      <c r="M67" s="29" t="s">
        <v>726</v>
      </c>
      <c r="N67" s="29" t="s">
        <v>711</v>
      </c>
      <c r="O67" s="28"/>
      <c r="P67" s="28"/>
      <c r="Q67" s="28" t="s">
        <v>76</v>
      </c>
      <c r="R67" s="29"/>
      <c r="S67" s="28"/>
      <c r="T67" s="28" t="s">
        <v>574</v>
      </c>
      <c r="U67" s="28" t="s">
        <v>75</v>
      </c>
      <c r="V67" s="28" t="s">
        <v>75</v>
      </c>
      <c r="W67" s="28"/>
    </row>
    <row r="68" spans="1:23" s="12" customFormat="1" hidden="1">
      <c r="A68" s="46" t="s">
        <v>572</v>
      </c>
      <c r="B68" s="28" t="s">
        <v>1332</v>
      </c>
      <c r="C68" s="28" t="s">
        <v>88</v>
      </c>
      <c r="D68" s="28" t="s">
        <v>657</v>
      </c>
      <c r="E68" s="28" t="s">
        <v>91</v>
      </c>
      <c r="F68" s="28" t="s">
        <v>369</v>
      </c>
      <c r="G68" s="28" t="s">
        <v>369</v>
      </c>
      <c r="H68" s="28" t="s">
        <v>169</v>
      </c>
      <c r="I68" s="28" t="str">
        <f>VLOOKUP(F68,표준용어사전!$B:$D,3,FALSE)</f>
        <v>명V20</v>
      </c>
      <c r="J68" s="28" t="s">
        <v>78</v>
      </c>
      <c r="K68" s="27">
        <v>20</v>
      </c>
      <c r="L68" s="29" t="s">
        <v>571</v>
      </c>
      <c r="M68" s="29" t="s">
        <v>727</v>
      </c>
      <c r="N68" s="29" t="s">
        <v>75</v>
      </c>
      <c r="O68" s="28"/>
      <c r="P68" s="28"/>
      <c r="Q68" s="28" t="s">
        <v>76</v>
      </c>
      <c r="R68" s="29"/>
      <c r="S68" s="28"/>
      <c r="T68" s="28" t="s">
        <v>76</v>
      </c>
      <c r="U68" s="28" t="s">
        <v>75</v>
      </c>
      <c r="V68" s="28" t="s">
        <v>75</v>
      </c>
      <c r="W68" s="28"/>
    </row>
    <row r="69" spans="1:23" s="12" customFormat="1" hidden="1">
      <c r="A69" s="46" t="s">
        <v>572</v>
      </c>
      <c r="B69" s="28" t="s">
        <v>1332</v>
      </c>
      <c r="C69" s="28" t="s">
        <v>88</v>
      </c>
      <c r="D69" s="28" t="s">
        <v>657</v>
      </c>
      <c r="E69" s="28" t="s">
        <v>92</v>
      </c>
      <c r="F69" s="28" t="s">
        <v>15</v>
      </c>
      <c r="G69" s="28" t="s">
        <v>15</v>
      </c>
      <c r="H69" s="28" t="s">
        <v>169</v>
      </c>
      <c r="I69" s="28" t="str">
        <f>VLOOKUP(F69,표준용어사전!$B:$D,3,FALSE)</f>
        <v>연월일시분초TS</v>
      </c>
      <c r="J69" s="28" t="s">
        <v>16</v>
      </c>
      <c r="K69" s="27" t="s">
        <v>571</v>
      </c>
      <c r="L69" s="29" t="s">
        <v>571</v>
      </c>
      <c r="M69" s="29" t="s">
        <v>726</v>
      </c>
      <c r="N69" s="29" t="s">
        <v>75</v>
      </c>
      <c r="O69" s="28"/>
      <c r="P69" s="28"/>
      <c r="Q69" s="28" t="s">
        <v>76</v>
      </c>
      <c r="R69" s="29"/>
      <c r="S69" s="28"/>
      <c r="T69" s="28" t="s">
        <v>574</v>
      </c>
      <c r="U69" s="28" t="s">
        <v>75</v>
      </c>
      <c r="V69" s="28" t="s">
        <v>75</v>
      </c>
      <c r="W69" s="28"/>
    </row>
    <row r="70" spans="1:23" s="12" customFormat="1" hidden="1">
      <c r="A70" s="46" t="s">
        <v>572</v>
      </c>
      <c r="B70" s="28" t="s">
        <v>1332</v>
      </c>
      <c r="C70" s="28" t="s">
        <v>88</v>
      </c>
      <c r="D70" s="28" t="s">
        <v>657</v>
      </c>
      <c r="E70" s="28" t="s">
        <v>93</v>
      </c>
      <c r="F70" s="28" t="s">
        <v>370</v>
      </c>
      <c r="G70" s="28" t="s">
        <v>370</v>
      </c>
      <c r="H70" s="28" t="s">
        <v>169</v>
      </c>
      <c r="I70" s="28" t="str">
        <f>VLOOKUP(F70,표준용어사전!$B:$D,3,FALSE)</f>
        <v>명V20</v>
      </c>
      <c r="J70" s="28" t="s">
        <v>78</v>
      </c>
      <c r="K70" s="27">
        <v>20</v>
      </c>
      <c r="L70" s="29" t="s">
        <v>571</v>
      </c>
      <c r="M70" s="29" t="s">
        <v>727</v>
      </c>
      <c r="N70" s="29" t="s">
        <v>75</v>
      </c>
      <c r="O70" s="28"/>
      <c r="P70" s="28"/>
      <c r="Q70" s="28" t="s">
        <v>76</v>
      </c>
      <c r="R70" s="29"/>
      <c r="S70" s="28"/>
      <c r="T70" s="28" t="s">
        <v>76</v>
      </c>
      <c r="U70" s="28" t="s">
        <v>75</v>
      </c>
      <c r="V70" s="28" t="s">
        <v>75</v>
      </c>
      <c r="W70" s="28"/>
    </row>
    <row r="71" spans="1:23" s="12" customFormat="1" hidden="1">
      <c r="A71" s="46" t="s">
        <v>572</v>
      </c>
      <c r="B71" s="28" t="s">
        <v>1332</v>
      </c>
      <c r="C71" s="28" t="s">
        <v>88</v>
      </c>
      <c r="D71" s="28" t="s">
        <v>658</v>
      </c>
      <c r="E71" s="28" t="s">
        <v>163</v>
      </c>
      <c r="F71" s="28" t="s">
        <v>422</v>
      </c>
      <c r="G71" s="28" t="s">
        <v>422</v>
      </c>
      <c r="H71" s="28" t="s">
        <v>166</v>
      </c>
      <c r="I71" s="28" t="e">
        <f>VLOOKUP(F71,표준용어사전!$B:$D,3,FALSE)</f>
        <v>#N/A</v>
      </c>
      <c r="J71" s="28" t="s">
        <v>63</v>
      </c>
      <c r="K71" s="24">
        <v>10</v>
      </c>
      <c r="L71" s="29" t="s">
        <v>571</v>
      </c>
      <c r="M71" s="29">
        <v>9999999999</v>
      </c>
      <c r="N71" s="29" t="s">
        <v>711</v>
      </c>
      <c r="O71" s="28" t="s">
        <v>73</v>
      </c>
      <c r="P71" s="28"/>
      <c r="Q71" s="28" t="s">
        <v>76</v>
      </c>
      <c r="R71" s="29"/>
      <c r="S71" s="28"/>
      <c r="T71" s="28" t="s">
        <v>76</v>
      </c>
      <c r="U71" s="28" t="s">
        <v>75</v>
      </c>
      <c r="V71" s="28" t="s">
        <v>75</v>
      </c>
      <c r="W71" s="28"/>
    </row>
    <row r="72" spans="1:23" s="12" customFormat="1" hidden="1">
      <c r="A72" s="46" t="s">
        <v>572</v>
      </c>
      <c r="B72" s="28" t="s">
        <v>1332</v>
      </c>
      <c r="C72" s="28" t="s">
        <v>88</v>
      </c>
      <c r="D72" s="28" t="s">
        <v>658</v>
      </c>
      <c r="E72" s="28" t="s">
        <v>167</v>
      </c>
      <c r="F72" s="28" t="s">
        <v>424</v>
      </c>
      <c r="G72" s="28" t="s">
        <v>424</v>
      </c>
      <c r="H72" s="28" t="s">
        <v>166</v>
      </c>
      <c r="I72" s="28" t="str">
        <f>VLOOKUP(F72,표준용어사전!$B:$D,3,FALSE)</f>
        <v>코드V50</v>
      </c>
      <c r="J72" s="28" t="s">
        <v>570</v>
      </c>
      <c r="K72" s="27">
        <v>50</v>
      </c>
      <c r="L72" s="29" t="s">
        <v>571</v>
      </c>
      <c r="M72" s="29" t="s">
        <v>725</v>
      </c>
      <c r="N72" s="29" t="s">
        <v>711</v>
      </c>
      <c r="O72" s="28" t="s">
        <v>74</v>
      </c>
      <c r="P72" s="28"/>
      <c r="Q72" s="28" t="s">
        <v>76</v>
      </c>
      <c r="R72" s="29"/>
      <c r="S72" s="28"/>
      <c r="T72" s="28" t="s">
        <v>76</v>
      </c>
      <c r="U72" s="28" t="s">
        <v>75</v>
      </c>
      <c r="V72" s="28" t="s">
        <v>75</v>
      </c>
      <c r="W72" s="28"/>
    </row>
    <row r="73" spans="1:23" s="12" customFormat="1" hidden="1">
      <c r="A73" s="46" t="s">
        <v>572</v>
      </c>
      <c r="B73" s="28" t="s">
        <v>1332</v>
      </c>
      <c r="C73" s="28" t="s">
        <v>88</v>
      </c>
      <c r="D73" s="28" t="s">
        <v>658</v>
      </c>
      <c r="E73" s="28" t="s">
        <v>90</v>
      </c>
      <c r="F73" s="28" t="s">
        <v>14</v>
      </c>
      <c r="G73" s="28" t="s">
        <v>14</v>
      </c>
      <c r="H73" s="28" t="s">
        <v>166</v>
      </c>
      <c r="I73" s="28" t="str">
        <f>VLOOKUP(F73,표준용어사전!$B:$D,3,FALSE)</f>
        <v>연월일시분초TS</v>
      </c>
      <c r="J73" s="28" t="s">
        <v>16</v>
      </c>
      <c r="K73" s="27" t="s">
        <v>571</v>
      </c>
      <c r="L73" s="29" t="s">
        <v>571</v>
      </c>
      <c r="M73" s="29" t="s">
        <v>726</v>
      </c>
      <c r="N73" s="29" t="s">
        <v>711</v>
      </c>
      <c r="O73" s="28"/>
      <c r="P73" s="28"/>
      <c r="Q73" s="28" t="s">
        <v>76</v>
      </c>
      <c r="R73" s="29"/>
      <c r="S73" s="28"/>
      <c r="T73" s="28" t="s">
        <v>574</v>
      </c>
      <c r="U73" s="28" t="s">
        <v>75</v>
      </c>
      <c r="V73" s="28" t="s">
        <v>75</v>
      </c>
      <c r="W73" s="28"/>
    </row>
    <row r="74" spans="1:23" s="12" customFormat="1" hidden="1">
      <c r="A74" s="46" t="s">
        <v>572</v>
      </c>
      <c r="B74" s="28" t="s">
        <v>1332</v>
      </c>
      <c r="C74" s="28" t="s">
        <v>88</v>
      </c>
      <c r="D74" s="28" t="s">
        <v>658</v>
      </c>
      <c r="E74" s="28" t="s">
        <v>91</v>
      </c>
      <c r="F74" s="28" t="s">
        <v>369</v>
      </c>
      <c r="G74" s="28" t="s">
        <v>369</v>
      </c>
      <c r="H74" s="28" t="s">
        <v>166</v>
      </c>
      <c r="I74" s="28" t="str">
        <f>VLOOKUP(F74,표준용어사전!$B:$D,3,FALSE)</f>
        <v>명V20</v>
      </c>
      <c r="J74" s="28" t="s">
        <v>78</v>
      </c>
      <c r="K74" s="27">
        <v>20</v>
      </c>
      <c r="L74" s="29" t="s">
        <v>571</v>
      </c>
      <c r="M74" s="29" t="s">
        <v>727</v>
      </c>
      <c r="N74" s="29" t="s">
        <v>75</v>
      </c>
      <c r="O74" s="28"/>
      <c r="P74" s="28"/>
      <c r="Q74" s="28" t="s">
        <v>76</v>
      </c>
      <c r="R74" s="29"/>
      <c r="S74" s="28"/>
      <c r="T74" s="28" t="s">
        <v>76</v>
      </c>
      <c r="U74" s="28" t="s">
        <v>75</v>
      </c>
      <c r="V74" s="28" t="s">
        <v>75</v>
      </c>
      <c r="W74" s="28"/>
    </row>
    <row r="75" spans="1:23" s="12" customFormat="1" hidden="1">
      <c r="A75" s="46" t="s">
        <v>572</v>
      </c>
      <c r="B75" s="28" t="s">
        <v>1332</v>
      </c>
      <c r="C75" s="28" t="s">
        <v>88</v>
      </c>
      <c r="D75" s="28" t="s">
        <v>658</v>
      </c>
      <c r="E75" s="28" t="s">
        <v>92</v>
      </c>
      <c r="F75" s="28" t="s">
        <v>15</v>
      </c>
      <c r="G75" s="28" t="s">
        <v>15</v>
      </c>
      <c r="H75" s="28" t="s">
        <v>166</v>
      </c>
      <c r="I75" s="28" t="str">
        <f>VLOOKUP(F75,표준용어사전!$B:$D,3,FALSE)</f>
        <v>연월일시분초TS</v>
      </c>
      <c r="J75" s="28" t="s">
        <v>16</v>
      </c>
      <c r="K75" s="27" t="s">
        <v>571</v>
      </c>
      <c r="L75" s="29" t="s">
        <v>571</v>
      </c>
      <c r="M75" s="29" t="s">
        <v>726</v>
      </c>
      <c r="N75" s="29" t="s">
        <v>75</v>
      </c>
      <c r="O75" s="28"/>
      <c r="P75" s="28"/>
      <c r="Q75" s="28" t="s">
        <v>76</v>
      </c>
      <c r="R75" s="29"/>
      <c r="S75" s="28"/>
      <c r="T75" s="28" t="s">
        <v>574</v>
      </c>
      <c r="U75" s="28" t="s">
        <v>75</v>
      </c>
      <c r="V75" s="28" t="s">
        <v>75</v>
      </c>
      <c r="W75" s="28"/>
    </row>
    <row r="76" spans="1:23" s="12" customFormat="1" hidden="1">
      <c r="A76" s="46" t="s">
        <v>572</v>
      </c>
      <c r="B76" s="28" t="s">
        <v>1332</v>
      </c>
      <c r="C76" s="28" t="s">
        <v>88</v>
      </c>
      <c r="D76" s="28" t="s">
        <v>658</v>
      </c>
      <c r="E76" s="28" t="s">
        <v>93</v>
      </c>
      <c r="F76" s="28" t="s">
        <v>370</v>
      </c>
      <c r="G76" s="28" t="s">
        <v>370</v>
      </c>
      <c r="H76" s="28" t="s">
        <v>166</v>
      </c>
      <c r="I76" s="28" t="str">
        <f>VLOOKUP(F76,표준용어사전!$B:$D,3,FALSE)</f>
        <v>명V20</v>
      </c>
      <c r="J76" s="28" t="s">
        <v>78</v>
      </c>
      <c r="K76" s="27">
        <v>20</v>
      </c>
      <c r="L76" s="29" t="s">
        <v>571</v>
      </c>
      <c r="M76" s="29" t="s">
        <v>727</v>
      </c>
      <c r="N76" s="29" t="s">
        <v>75</v>
      </c>
      <c r="O76" s="28"/>
      <c r="P76" s="28"/>
      <c r="Q76" s="28" t="s">
        <v>76</v>
      </c>
      <c r="R76" s="29"/>
      <c r="S76" s="28"/>
      <c r="T76" s="28" t="s">
        <v>76</v>
      </c>
      <c r="U76" s="28" t="s">
        <v>75</v>
      </c>
      <c r="V76" s="28" t="s">
        <v>75</v>
      </c>
      <c r="W76" s="28"/>
    </row>
    <row r="77" spans="1:23" s="12" customFormat="1" hidden="1">
      <c r="A77" s="46" t="s">
        <v>572</v>
      </c>
      <c r="B77" s="28" t="s">
        <v>1332</v>
      </c>
      <c r="C77" s="28" t="s">
        <v>88</v>
      </c>
      <c r="D77" s="28" t="s">
        <v>659</v>
      </c>
      <c r="E77" s="28" t="s">
        <v>163</v>
      </c>
      <c r="F77" s="28" t="s">
        <v>422</v>
      </c>
      <c r="G77" s="28" t="s">
        <v>422</v>
      </c>
      <c r="H77" s="28" t="s">
        <v>164</v>
      </c>
      <c r="I77" s="28" t="e">
        <f>VLOOKUP(F77,표준용어사전!$B:$D,3,FALSE)</f>
        <v>#N/A</v>
      </c>
      <c r="J77" s="28" t="s">
        <v>63</v>
      </c>
      <c r="K77" s="24">
        <v>10</v>
      </c>
      <c r="L77" s="29" t="s">
        <v>571</v>
      </c>
      <c r="M77" s="29">
        <v>9999999999</v>
      </c>
      <c r="N77" s="29" t="s">
        <v>711</v>
      </c>
      <c r="O77" s="28" t="s">
        <v>73</v>
      </c>
      <c r="P77" s="28"/>
      <c r="Q77" s="28" t="s">
        <v>76</v>
      </c>
      <c r="R77" s="29"/>
      <c r="S77" s="28"/>
      <c r="T77" s="28" t="s">
        <v>76</v>
      </c>
      <c r="U77" s="28" t="s">
        <v>75</v>
      </c>
      <c r="V77" s="28" t="s">
        <v>75</v>
      </c>
      <c r="W77" s="28"/>
    </row>
    <row r="78" spans="1:23" s="12" customFormat="1" hidden="1">
      <c r="A78" s="46" t="s">
        <v>572</v>
      </c>
      <c r="B78" s="28" t="s">
        <v>1332</v>
      </c>
      <c r="C78" s="28" t="s">
        <v>88</v>
      </c>
      <c r="D78" s="28" t="s">
        <v>659</v>
      </c>
      <c r="E78" s="28" t="s">
        <v>165</v>
      </c>
      <c r="F78" s="28" t="s">
        <v>423</v>
      </c>
      <c r="G78" s="28" t="s">
        <v>423</v>
      </c>
      <c r="H78" s="28" t="s">
        <v>164</v>
      </c>
      <c r="I78" s="28" t="str">
        <f>VLOOKUP(F78,표준용어사전!$B:$D,3,FALSE)</f>
        <v>코드V50</v>
      </c>
      <c r="J78" s="28" t="s">
        <v>570</v>
      </c>
      <c r="K78" s="27">
        <v>50</v>
      </c>
      <c r="L78" s="29" t="s">
        <v>571</v>
      </c>
      <c r="M78" s="29" t="s">
        <v>725</v>
      </c>
      <c r="N78" s="29" t="s">
        <v>711</v>
      </c>
      <c r="O78" s="28" t="s">
        <v>74</v>
      </c>
      <c r="P78" s="28"/>
      <c r="Q78" s="28" t="s">
        <v>76</v>
      </c>
      <c r="R78" s="29"/>
      <c r="S78" s="28"/>
      <c r="T78" s="28" t="s">
        <v>76</v>
      </c>
      <c r="U78" s="28" t="s">
        <v>75</v>
      </c>
      <c r="V78" s="28" t="s">
        <v>75</v>
      </c>
      <c r="W78" s="28"/>
    </row>
    <row r="79" spans="1:23" s="12" customFormat="1" hidden="1">
      <c r="A79" s="46" t="s">
        <v>572</v>
      </c>
      <c r="B79" s="28" t="s">
        <v>1332</v>
      </c>
      <c r="C79" s="28" t="s">
        <v>88</v>
      </c>
      <c r="D79" s="28" t="s">
        <v>659</v>
      </c>
      <c r="E79" s="28" t="s">
        <v>90</v>
      </c>
      <c r="F79" s="28" t="s">
        <v>14</v>
      </c>
      <c r="G79" s="28" t="s">
        <v>14</v>
      </c>
      <c r="H79" s="28" t="s">
        <v>164</v>
      </c>
      <c r="I79" s="28" t="str">
        <f>VLOOKUP(F79,표준용어사전!$B:$D,3,FALSE)</f>
        <v>연월일시분초TS</v>
      </c>
      <c r="J79" s="28" t="s">
        <v>16</v>
      </c>
      <c r="K79" s="27" t="s">
        <v>571</v>
      </c>
      <c r="L79" s="29" t="s">
        <v>571</v>
      </c>
      <c r="M79" s="29" t="s">
        <v>726</v>
      </c>
      <c r="N79" s="29" t="s">
        <v>711</v>
      </c>
      <c r="O79" s="28"/>
      <c r="P79" s="28"/>
      <c r="Q79" s="28" t="s">
        <v>76</v>
      </c>
      <c r="R79" s="29"/>
      <c r="S79" s="28"/>
      <c r="T79" s="28" t="s">
        <v>574</v>
      </c>
      <c r="U79" s="28" t="s">
        <v>75</v>
      </c>
      <c r="V79" s="28" t="s">
        <v>75</v>
      </c>
      <c r="W79" s="28"/>
    </row>
    <row r="80" spans="1:23" s="12" customFormat="1" hidden="1">
      <c r="A80" s="46" t="s">
        <v>572</v>
      </c>
      <c r="B80" s="28" t="s">
        <v>1332</v>
      </c>
      <c r="C80" s="28" t="s">
        <v>88</v>
      </c>
      <c r="D80" s="28" t="s">
        <v>659</v>
      </c>
      <c r="E80" s="28" t="s">
        <v>91</v>
      </c>
      <c r="F80" s="28" t="s">
        <v>369</v>
      </c>
      <c r="G80" s="28" t="s">
        <v>369</v>
      </c>
      <c r="H80" s="28" t="s">
        <v>164</v>
      </c>
      <c r="I80" s="28" t="str">
        <f>VLOOKUP(F80,표준용어사전!$B:$D,3,FALSE)</f>
        <v>명V20</v>
      </c>
      <c r="J80" s="28" t="s">
        <v>78</v>
      </c>
      <c r="K80" s="27">
        <v>20</v>
      </c>
      <c r="L80" s="29" t="s">
        <v>571</v>
      </c>
      <c r="M80" s="29" t="s">
        <v>727</v>
      </c>
      <c r="N80" s="29" t="s">
        <v>75</v>
      </c>
      <c r="O80" s="28"/>
      <c r="P80" s="28"/>
      <c r="Q80" s="28" t="s">
        <v>76</v>
      </c>
      <c r="R80" s="29"/>
      <c r="S80" s="28"/>
      <c r="T80" s="28" t="s">
        <v>76</v>
      </c>
      <c r="U80" s="28" t="s">
        <v>75</v>
      </c>
      <c r="V80" s="28" t="s">
        <v>75</v>
      </c>
      <c r="W80" s="28"/>
    </row>
    <row r="81" spans="1:23" s="12" customFormat="1" hidden="1">
      <c r="A81" s="46" t="s">
        <v>572</v>
      </c>
      <c r="B81" s="28" t="s">
        <v>1332</v>
      </c>
      <c r="C81" s="28" t="s">
        <v>88</v>
      </c>
      <c r="D81" s="28" t="s">
        <v>659</v>
      </c>
      <c r="E81" s="28" t="s">
        <v>92</v>
      </c>
      <c r="F81" s="28" t="s">
        <v>15</v>
      </c>
      <c r="G81" s="28" t="s">
        <v>15</v>
      </c>
      <c r="H81" s="28" t="s">
        <v>164</v>
      </c>
      <c r="I81" s="28" t="str">
        <f>VLOOKUP(F81,표준용어사전!$B:$D,3,FALSE)</f>
        <v>연월일시분초TS</v>
      </c>
      <c r="J81" s="28" t="s">
        <v>16</v>
      </c>
      <c r="K81" s="27" t="s">
        <v>571</v>
      </c>
      <c r="L81" s="29" t="s">
        <v>571</v>
      </c>
      <c r="M81" s="29" t="s">
        <v>726</v>
      </c>
      <c r="N81" s="29" t="s">
        <v>75</v>
      </c>
      <c r="O81" s="28"/>
      <c r="P81" s="28"/>
      <c r="Q81" s="28" t="s">
        <v>76</v>
      </c>
      <c r="R81" s="29"/>
      <c r="S81" s="28"/>
      <c r="T81" s="28" t="s">
        <v>574</v>
      </c>
      <c r="U81" s="28" t="s">
        <v>75</v>
      </c>
      <c r="V81" s="28" t="s">
        <v>75</v>
      </c>
      <c r="W81" s="28"/>
    </row>
    <row r="82" spans="1:23" s="12" customFormat="1" hidden="1">
      <c r="A82" s="46" t="s">
        <v>572</v>
      </c>
      <c r="B82" s="28" t="s">
        <v>1332</v>
      </c>
      <c r="C82" s="28" t="s">
        <v>88</v>
      </c>
      <c r="D82" s="28" t="s">
        <v>659</v>
      </c>
      <c r="E82" s="28" t="s">
        <v>93</v>
      </c>
      <c r="F82" s="28" t="s">
        <v>370</v>
      </c>
      <c r="G82" s="28" t="s">
        <v>370</v>
      </c>
      <c r="H82" s="28" t="s">
        <v>164</v>
      </c>
      <c r="I82" s="28" t="str">
        <f>VLOOKUP(F82,표준용어사전!$B:$D,3,FALSE)</f>
        <v>명V20</v>
      </c>
      <c r="J82" s="28" t="s">
        <v>78</v>
      </c>
      <c r="K82" s="27">
        <v>20</v>
      </c>
      <c r="L82" s="29" t="s">
        <v>571</v>
      </c>
      <c r="M82" s="29" t="s">
        <v>727</v>
      </c>
      <c r="N82" s="29" t="s">
        <v>75</v>
      </c>
      <c r="O82" s="28"/>
      <c r="P82" s="28"/>
      <c r="Q82" s="28" t="s">
        <v>76</v>
      </c>
      <c r="R82" s="29"/>
      <c r="S82" s="28"/>
      <c r="T82" s="28" t="s">
        <v>76</v>
      </c>
      <c r="U82" s="28" t="s">
        <v>75</v>
      </c>
      <c r="V82" s="28" t="s">
        <v>75</v>
      </c>
      <c r="W82" s="28"/>
    </row>
    <row r="83" spans="1:23" s="12" customFormat="1" hidden="1">
      <c r="A83" s="46" t="s">
        <v>572</v>
      </c>
      <c r="B83" s="28" t="s">
        <v>1333</v>
      </c>
      <c r="C83" s="28" t="s">
        <v>88</v>
      </c>
      <c r="D83" s="28" t="s">
        <v>276</v>
      </c>
      <c r="E83" s="28" t="s">
        <v>578</v>
      </c>
      <c r="F83" s="28" t="s">
        <v>580</v>
      </c>
      <c r="G83" s="28" t="s">
        <v>580</v>
      </c>
      <c r="H83" s="28" t="s">
        <v>278</v>
      </c>
      <c r="I83" s="28" t="str">
        <f>VLOOKUP(F83,표준용어사전!$B:$D,3,FALSE)</f>
        <v>명V20</v>
      </c>
      <c r="J83" s="28" t="s">
        <v>78</v>
      </c>
      <c r="K83" s="27">
        <v>20</v>
      </c>
      <c r="L83" s="29" t="s">
        <v>571</v>
      </c>
      <c r="M83" s="29" t="s">
        <v>727</v>
      </c>
      <c r="N83" s="29" t="s">
        <v>711</v>
      </c>
      <c r="O83" s="28" t="s">
        <v>73</v>
      </c>
      <c r="P83" s="28"/>
      <c r="Q83" s="28" t="s">
        <v>76</v>
      </c>
      <c r="R83" s="29"/>
      <c r="S83" s="28"/>
      <c r="T83" s="28" t="s">
        <v>571</v>
      </c>
      <c r="U83" s="28" t="s">
        <v>75</v>
      </c>
      <c r="V83" s="28" t="s">
        <v>75</v>
      </c>
      <c r="W83" s="28"/>
    </row>
    <row r="84" spans="1:23" s="12" customFormat="1" hidden="1">
      <c r="A84" s="46" t="s">
        <v>572</v>
      </c>
      <c r="B84" s="28" t="s">
        <v>1333</v>
      </c>
      <c r="C84" s="28" t="s">
        <v>88</v>
      </c>
      <c r="D84" s="28" t="s">
        <v>276</v>
      </c>
      <c r="E84" s="28" t="s">
        <v>277</v>
      </c>
      <c r="F84" s="28" t="s">
        <v>507</v>
      </c>
      <c r="G84" s="28" t="s">
        <v>507</v>
      </c>
      <c r="H84" s="28" t="s">
        <v>278</v>
      </c>
      <c r="I84" s="28" t="str">
        <f>VLOOKUP(F84,표준용어사전!$B:$D,3,FALSE)</f>
        <v>코드V50</v>
      </c>
      <c r="J84" s="28" t="s">
        <v>570</v>
      </c>
      <c r="K84" s="27">
        <v>50</v>
      </c>
      <c r="L84" s="29" t="s">
        <v>571</v>
      </c>
      <c r="M84" s="29" t="s">
        <v>725</v>
      </c>
      <c r="N84" s="29" t="s">
        <v>711</v>
      </c>
      <c r="O84" s="28"/>
      <c r="P84" s="28"/>
      <c r="Q84" s="28" t="s">
        <v>1371</v>
      </c>
      <c r="R84" s="29">
        <v>1</v>
      </c>
      <c r="S84" s="28"/>
      <c r="T84" s="28" t="s">
        <v>626</v>
      </c>
      <c r="U84" s="28" t="s">
        <v>75</v>
      </c>
      <c r="V84" s="28" t="s">
        <v>75</v>
      </c>
      <c r="W84" s="28"/>
    </row>
    <row r="85" spans="1:23" s="12" customFormat="1" hidden="1">
      <c r="A85" s="46" t="s">
        <v>572</v>
      </c>
      <c r="B85" s="28" t="s">
        <v>1333</v>
      </c>
      <c r="C85" s="28" t="s">
        <v>88</v>
      </c>
      <c r="D85" s="28" t="s">
        <v>276</v>
      </c>
      <c r="E85" s="28" t="s">
        <v>619</v>
      </c>
      <c r="F85" s="28" t="s">
        <v>581</v>
      </c>
      <c r="G85" s="28" t="s">
        <v>581</v>
      </c>
      <c r="H85" s="28" t="s">
        <v>278</v>
      </c>
      <c r="I85" s="28" t="str">
        <f>VLOOKUP(F85,표준용어사전!$B:$D,3,FALSE)</f>
        <v>코드V50</v>
      </c>
      <c r="J85" s="28" t="s">
        <v>570</v>
      </c>
      <c r="K85" s="27">
        <v>50</v>
      </c>
      <c r="L85" s="29" t="s">
        <v>571</v>
      </c>
      <c r="M85" s="29" t="s">
        <v>725</v>
      </c>
      <c r="N85" s="29" t="s">
        <v>75</v>
      </c>
      <c r="O85" s="28"/>
      <c r="P85" s="28"/>
      <c r="Q85" s="28" t="s">
        <v>76</v>
      </c>
      <c r="R85" s="29"/>
      <c r="S85" s="28"/>
      <c r="T85" s="28" t="s">
        <v>571</v>
      </c>
      <c r="U85" s="28" t="s">
        <v>75</v>
      </c>
      <c r="V85" s="28" t="s">
        <v>75</v>
      </c>
      <c r="W85" s="28"/>
    </row>
    <row r="86" spans="1:23" s="12" customFormat="1" hidden="1">
      <c r="A86" s="46" t="s">
        <v>572</v>
      </c>
      <c r="B86" s="28" t="s">
        <v>1333</v>
      </c>
      <c r="C86" s="28" t="s">
        <v>88</v>
      </c>
      <c r="D86" s="28" t="s">
        <v>276</v>
      </c>
      <c r="E86" s="28" t="s">
        <v>579</v>
      </c>
      <c r="F86" s="28" t="s">
        <v>582</v>
      </c>
      <c r="G86" s="28" t="s">
        <v>582</v>
      </c>
      <c r="H86" s="28" t="s">
        <v>278</v>
      </c>
      <c r="I86" s="28" t="str">
        <f>VLOOKUP(F86,표준용어사전!$B:$D,3,FALSE)</f>
        <v>명V100</v>
      </c>
      <c r="J86" s="28" t="s">
        <v>78</v>
      </c>
      <c r="K86" s="27">
        <v>100</v>
      </c>
      <c r="L86" s="29" t="s">
        <v>571</v>
      </c>
      <c r="M86" s="29" t="s">
        <v>729</v>
      </c>
      <c r="N86" s="29" t="s">
        <v>75</v>
      </c>
      <c r="O86" s="28"/>
      <c r="P86" s="28"/>
      <c r="Q86" s="28" t="s">
        <v>76</v>
      </c>
      <c r="R86" s="29"/>
      <c r="S86" s="28"/>
      <c r="T86" s="28" t="s">
        <v>571</v>
      </c>
      <c r="U86" s="28" t="s">
        <v>75</v>
      </c>
      <c r="V86" s="28" t="s">
        <v>75</v>
      </c>
      <c r="W86" s="28"/>
    </row>
    <row r="87" spans="1:23" s="12" customFormat="1" hidden="1">
      <c r="A87" s="46" t="s">
        <v>572</v>
      </c>
      <c r="B87" s="28" t="s">
        <v>1333</v>
      </c>
      <c r="C87" s="28" t="s">
        <v>88</v>
      </c>
      <c r="D87" s="28" t="s">
        <v>276</v>
      </c>
      <c r="E87" s="28" t="s">
        <v>827</v>
      </c>
      <c r="F87" s="28" t="s">
        <v>714</v>
      </c>
      <c r="G87" s="28" t="s">
        <v>714</v>
      </c>
      <c r="H87" s="28" t="s">
        <v>278</v>
      </c>
      <c r="I87" s="28" t="str">
        <f>VLOOKUP(F87,표준용어사전!$B:$D,3,FALSE)</f>
        <v>명V100</v>
      </c>
      <c r="J87" s="28" t="s">
        <v>78</v>
      </c>
      <c r="K87" s="27">
        <v>100</v>
      </c>
      <c r="L87" s="29" t="s">
        <v>571</v>
      </c>
      <c r="M87" s="29" t="s">
        <v>729</v>
      </c>
      <c r="N87" s="29" t="s">
        <v>75</v>
      </c>
      <c r="O87" s="28"/>
      <c r="P87" s="28"/>
      <c r="Q87" s="28" t="s">
        <v>76</v>
      </c>
      <c r="R87" s="29"/>
      <c r="S87" s="28"/>
      <c r="T87" s="28" t="s">
        <v>571</v>
      </c>
      <c r="U87" s="28" t="s">
        <v>75</v>
      </c>
      <c r="V87" s="28" t="s">
        <v>75</v>
      </c>
      <c r="W87" s="28"/>
    </row>
    <row r="88" spans="1:23" s="12" customFormat="1" hidden="1">
      <c r="A88" s="46" t="s">
        <v>572</v>
      </c>
      <c r="B88" s="28" t="s">
        <v>1333</v>
      </c>
      <c r="C88" s="28" t="s">
        <v>88</v>
      </c>
      <c r="D88" s="28" t="s">
        <v>276</v>
      </c>
      <c r="E88" s="28" t="s">
        <v>279</v>
      </c>
      <c r="F88" s="28" t="s">
        <v>508</v>
      </c>
      <c r="G88" s="28" t="s">
        <v>508</v>
      </c>
      <c r="H88" s="28" t="s">
        <v>278</v>
      </c>
      <c r="I88" s="28" t="str">
        <f>VLOOKUP(F88,표준용어사전!$B:$D,3,FALSE)</f>
        <v>명V100</v>
      </c>
      <c r="J88" s="28" t="s">
        <v>78</v>
      </c>
      <c r="K88" s="27">
        <v>100</v>
      </c>
      <c r="L88" s="29" t="s">
        <v>571</v>
      </c>
      <c r="M88" s="29" t="s">
        <v>729</v>
      </c>
      <c r="N88" s="29" t="s">
        <v>75</v>
      </c>
      <c r="O88" s="28"/>
      <c r="P88" s="28"/>
      <c r="Q88" s="28" t="s">
        <v>76</v>
      </c>
      <c r="R88" s="29"/>
      <c r="S88" s="28"/>
      <c r="T88" s="28" t="s">
        <v>571</v>
      </c>
      <c r="U88" s="28" t="s">
        <v>75</v>
      </c>
      <c r="V88" s="28" t="s">
        <v>75</v>
      </c>
      <c r="W88" s="28"/>
    </row>
    <row r="89" spans="1:23" s="12" customFormat="1" hidden="1">
      <c r="A89" s="46" t="s">
        <v>572</v>
      </c>
      <c r="B89" s="28" t="s">
        <v>1333</v>
      </c>
      <c r="C89" s="28" t="s">
        <v>88</v>
      </c>
      <c r="D89" s="28" t="s">
        <v>276</v>
      </c>
      <c r="E89" s="28" t="s">
        <v>280</v>
      </c>
      <c r="F89" s="28" t="s">
        <v>509</v>
      </c>
      <c r="G89" s="28" t="s">
        <v>509</v>
      </c>
      <c r="H89" s="28" t="s">
        <v>278</v>
      </c>
      <c r="I89" s="28" t="str">
        <f>VLOOKUP(F89,표준용어사전!$B:$D,3,FALSE)</f>
        <v>명V100</v>
      </c>
      <c r="J89" s="28" t="s">
        <v>78</v>
      </c>
      <c r="K89" s="27">
        <v>100</v>
      </c>
      <c r="L89" s="29" t="s">
        <v>571</v>
      </c>
      <c r="M89" s="29" t="s">
        <v>729</v>
      </c>
      <c r="N89" s="29" t="s">
        <v>75</v>
      </c>
      <c r="O89" s="28"/>
      <c r="P89" s="28"/>
      <c r="Q89" s="28" t="s">
        <v>76</v>
      </c>
      <c r="R89" s="29"/>
      <c r="S89" s="28"/>
      <c r="T89" s="28" t="s">
        <v>571</v>
      </c>
      <c r="U89" s="28" t="s">
        <v>75</v>
      </c>
      <c r="V89" s="28" t="s">
        <v>75</v>
      </c>
      <c r="W89" s="28"/>
    </row>
    <row r="90" spans="1:23" s="12" customFormat="1" hidden="1">
      <c r="A90" s="46" t="s">
        <v>572</v>
      </c>
      <c r="B90" s="28" t="s">
        <v>1333</v>
      </c>
      <c r="C90" s="28" t="s">
        <v>88</v>
      </c>
      <c r="D90" s="28" t="s">
        <v>276</v>
      </c>
      <c r="E90" s="28" t="s">
        <v>94</v>
      </c>
      <c r="F90" s="28" t="s">
        <v>373</v>
      </c>
      <c r="G90" s="28" t="s">
        <v>373</v>
      </c>
      <c r="H90" s="28" t="s">
        <v>278</v>
      </c>
      <c r="I90" s="28" t="str">
        <f>VLOOKUP(F90,표준용어사전!$B:$D,3,FALSE)</f>
        <v>번호N10</v>
      </c>
      <c r="J90" s="28" t="s">
        <v>63</v>
      </c>
      <c r="K90" s="27">
        <v>10</v>
      </c>
      <c r="L90" s="29" t="s">
        <v>571</v>
      </c>
      <c r="M90" s="29">
        <v>9999999999</v>
      </c>
      <c r="N90" s="29" t="s">
        <v>75</v>
      </c>
      <c r="O90" s="28"/>
      <c r="P90" s="28"/>
      <c r="Q90" s="28" t="s">
        <v>76</v>
      </c>
      <c r="R90" s="29"/>
      <c r="S90" s="28"/>
      <c r="T90" s="28" t="s">
        <v>571</v>
      </c>
      <c r="U90" s="28" t="s">
        <v>75</v>
      </c>
      <c r="V90" s="28" t="s">
        <v>75</v>
      </c>
      <c r="W90" s="28"/>
    </row>
    <row r="91" spans="1:23" s="12" customFormat="1" hidden="1">
      <c r="A91" s="46" t="s">
        <v>572</v>
      </c>
      <c r="B91" s="28" t="s">
        <v>1333</v>
      </c>
      <c r="C91" s="28" t="s">
        <v>88</v>
      </c>
      <c r="D91" s="28" t="s">
        <v>276</v>
      </c>
      <c r="E91" s="28" t="s">
        <v>90</v>
      </c>
      <c r="F91" s="28" t="s">
        <v>14</v>
      </c>
      <c r="G91" s="28" t="s">
        <v>14</v>
      </c>
      <c r="H91" s="28" t="s">
        <v>278</v>
      </c>
      <c r="I91" s="28" t="str">
        <f>VLOOKUP(F91,표준용어사전!$B:$D,3,FALSE)</f>
        <v>연월일시분초TS</v>
      </c>
      <c r="J91" s="28" t="s">
        <v>16</v>
      </c>
      <c r="K91" s="27" t="s">
        <v>571</v>
      </c>
      <c r="L91" s="29" t="s">
        <v>571</v>
      </c>
      <c r="M91" s="29" t="s">
        <v>726</v>
      </c>
      <c r="N91" s="29" t="s">
        <v>711</v>
      </c>
      <c r="O91" s="28"/>
      <c r="P91" s="28"/>
      <c r="Q91" s="28" t="s">
        <v>76</v>
      </c>
      <c r="R91" s="29"/>
      <c r="S91" s="28"/>
      <c r="T91" s="28" t="s">
        <v>574</v>
      </c>
      <c r="U91" s="28" t="s">
        <v>75</v>
      </c>
      <c r="V91" s="28" t="s">
        <v>75</v>
      </c>
      <c r="W91" s="28"/>
    </row>
    <row r="92" spans="1:23" s="12" customFormat="1" hidden="1">
      <c r="A92" s="46" t="s">
        <v>572</v>
      </c>
      <c r="B92" s="28" t="s">
        <v>1333</v>
      </c>
      <c r="C92" s="28" t="s">
        <v>88</v>
      </c>
      <c r="D92" s="28" t="s">
        <v>276</v>
      </c>
      <c r="E92" s="28" t="s">
        <v>91</v>
      </c>
      <c r="F92" s="28" t="s">
        <v>369</v>
      </c>
      <c r="G92" s="28" t="s">
        <v>369</v>
      </c>
      <c r="H92" s="28" t="s">
        <v>278</v>
      </c>
      <c r="I92" s="28" t="str">
        <f>VLOOKUP(F92,표준용어사전!$B:$D,3,FALSE)</f>
        <v>명V20</v>
      </c>
      <c r="J92" s="28" t="s">
        <v>78</v>
      </c>
      <c r="K92" s="27">
        <v>20</v>
      </c>
      <c r="L92" s="29" t="s">
        <v>571</v>
      </c>
      <c r="M92" s="29" t="s">
        <v>727</v>
      </c>
      <c r="N92" s="29" t="s">
        <v>75</v>
      </c>
      <c r="O92" s="28"/>
      <c r="P92" s="28"/>
      <c r="Q92" s="28" t="s">
        <v>76</v>
      </c>
      <c r="R92" s="29"/>
      <c r="S92" s="28"/>
      <c r="T92" s="28" t="s">
        <v>571</v>
      </c>
      <c r="U92" s="28" t="s">
        <v>75</v>
      </c>
      <c r="V92" s="28" t="s">
        <v>75</v>
      </c>
      <c r="W92" s="28"/>
    </row>
    <row r="93" spans="1:23" s="12" customFormat="1" hidden="1">
      <c r="A93" s="46" t="s">
        <v>572</v>
      </c>
      <c r="B93" s="28" t="s">
        <v>1333</v>
      </c>
      <c r="C93" s="28" t="s">
        <v>88</v>
      </c>
      <c r="D93" s="28" t="s">
        <v>276</v>
      </c>
      <c r="E93" s="28" t="s">
        <v>92</v>
      </c>
      <c r="F93" s="28" t="s">
        <v>15</v>
      </c>
      <c r="G93" s="28" t="s">
        <v>15</v>
      </c>
      <c r="H93" s="28" t="s">
        <v>278</v>
      </c>
      <c r="I93" s="28" t="str">
        <f>VLOOKUP(F93,표준용어사전!$B:$D,3,FALSE)</f>
        <v>연월일시분초TS</v>
      </c>
      <c r="J93" s="28" t="s">
        <v>16</v>
      </c>
      <c r="K93" s="27" t="s">
        <v>571</v>
      </c>
      <c r="L93" s="29" t="s">
        <v>571</v>
      </c>
      <c r="M93" s="29" t="s">
        <v>726</v>
      </c>
      <c r="N93" s="29" t="s">
        <v>75</v>
      </c>
      <c r="O93" s="28"/>
      <c r="P93" s="28"/>
      <c r="Q93" s="28" t="s">
        <v>76</v>
      </c>
      <c r="R93" s="29"/>
      <c r="S93" s="28"/>
      <c r="T93" s="28" t="s">
        <v>574</v>
      </c>
      <c r="U93" s="28" t="s">
        <v>75</v>
      </c>
      <c r="V93" s="28" t="s">
        <v>75</v>
      </c>
      <c r="W93" s="28"/>
    </row>
    <row r="94" spans="1:23" s="12" customFormat="1" hidden="1">
      <c r="A94" s="46" t="s">
        <v>572</v>
      </c>
      <c r="B94" s="28" t="s">
        <v>1333</v>
      </c>
      <c r="C94" s="28" t="s">
        <v>88</v>
      </c>
      <c r="D94" s="28" t="s">
        <v>276</v>
      </c>
      <c r="E94" s="28" t="s">
        <v>93</v>
      </c>
      <c r="F94" s="28" t="s">
        <v>370</v>
      </c>
      <c r="G94" s="28" t="s">
        <v>370</v>
      </c>
      <c r="H94" s="28" t="s">
        <v>278</v>
      </c>
      <c r="I94" s="28" t="str">
        <f>VLOOKUP(F94,표준용어사전!$B:$D,3,FALSE)</f>
        <v>명V20</v>
      </c>
      <c r="J94" s="28" t="s">
        <v>78</v>
      </c>
      <c r="K94" s="27">
        <v>20</v>
      </c>
      <c r="L94" s="29" t="s">
        <v>571</v>
      </c>
      <c r="M94" s="29" t="s">
        <v>727</v>
      </c>
      <c r="N94" s="29" t="s">
        <v>75</v>
      </c>
      <c r="O94" s="28"/>
      <c r="P94" s="28"/>
      <c r="Q94" s="28" t="s">
        <v>76</v>
      </c>
      <c r="R94" s="29"/>
      <c r="S94" s="28"/>
      <c r="T94" s="28" t="s">
        <v>571</v>
      </c>
      <c r="U94" s="28" t="s">
        <v>75</v>
      </c>
      <c r="V94" s="28" t="s">
        <v>75</v>
      </c>
      <c r="W94" s="28"/>
    </row>
    <row r="95" spans="1:23" s="12" customFormat="1" hidden="1">
      <c r="A95" s="46" t="s">
        <v>572</v>
      </c>
      <c r="B95" s="28" t="s">
        <v>1333</v>
      </c>
      <c r="C95" s="28" t="s">
        <v>88</v>
      </c>
      <c r="D95" s="28" t="s">
        <v>276</v>
      </c>
      <c r="E95" s="28" t="s">
        <v>900</v>
      </c>
      <c r="F95" s="28" t="s">
        <v>907</v>
      </c>
      <c r="G95" s="28" t="s">
        <v>907</v>
      </c>
      <c r="H95" s="28" t="s">
        <v>278</v>
      </c>
      <c r="I95" s="28" t="e">
        <f>VLOOKUP(F95,표준용어사전!$B:$D,3,FALSE)</f>
        <v>#N/A</v>
      </c>
      <c r="J95" s="28" t="s">
        <v>748</v>
      </c>
      <c r="K95" s="27">
        <v>14</v>
      </c>
      <c r="L95" s="29" t="s">
        <v>571</v>
      </c>
      <c r="M95" s="29" t="s">
        <v>776</v>
      </c>
      <c r="N95" s="29" t="s">
        <v>711</v>
      </c>
      <c r="O95" s="28"/>
      <c r="P95" s="28"/>
      <c r="Q95" s="28" t="s">
        <v>76</v>
      </c>
      <c r="R95" s="29"/>
      <c r="S95" s="28"/>
      <c r="T95" s="28"/>
      <c r="U95" s="28" t="s">
        <v>75</v>
      </c>
      <c r="V95" s="28" t="s">
        <v>75</v>
      </c>
      <c r="W95" s="28"/>
    </row>
    <row r="96" spans="1:23" s="12" customFormat="1" hidden="1">
      <c r="A96" s="46" t="s">
        <v>572</v>
      </c>
      <c r="B96" s="28" t="s">
        <v>1333</v>
      </c>
      <c r="C96" s="28" t="s">
        <v>88</v>
      </c>
      <c r="D96" s="28" t="s">
        <v>276</v>
      </c>
      <c r="E96" s="28" t="s">
        <v>901</v>
      </c>
      <c r="F96" s="28" t="s">
        <v>906</v>
      </c>
      <c r="G96" s="28" t="s">
        <v>906</v>
      </c>
      <c r="H96" s="28" t="s">
        <v>278</v>
      </c>
      <c r="I96" s="28" t="e">
        <f>VLOOKUP(F96,표준용어사전!$B:$D,3,FALSE)</f>
        <v>#N/A</v>
      </c>
      <c r="J96" s="28" t="s">
        <v>748</v>
      </c>
      <c r="K96" s="27">
        <v>14</v>
      </c>
      <c r="L96" s="29" t="s">
        <v>571</v>
      </c>
      <c r="M96" s="29" t="s">
        <v>776</v>
      </c>
      <c r="N96" s="29" t="s">
        <v>711</v>
      </c>
      <c r="O96" s="28"/>
      <c r="P96" s="28"/>
      <c r="Q96" s="28" t="s">
        <v>76</v>
      </c>
      <c r="R96" s="29"/>
      <c r="S96" s="28"/>
      <c r="T96" s="28"/>
      <c r="U96" s="28" t="s">
        <v>75</v>
      </c>
      <c r="V96" s="28" t="s">
        <v>75</v>
      </c>
      <c r="W96" s="28"/>
    </row>
    <row r="97" spans="1:23" s="12" customFormat="1" hidden="1">
      <c r="A97" s="46" t="s">
        <v>572</v>
      </c>
      <c r="B97" s="28" t="s">
        <v>1333</v>
      </c>
      <c r="C97" s="28" t="s">
        <v>88</v>
      </c>
      <c r="D97" s="28" t="s">
        <v>276</v>
      </c>
      <c r="E97" s="28" t="s">
        <v>902</v>
      </c>
      <c r="F97" s="28" t="s">
        <v>908</v>
      </c>
      <c r="G97" s="28" t="s">
        <v>908</v>
      </c>
      <c r="H97" s="28" t="s">
        <v>278</v>
      </c>
      <c r="I97" s="28" t="e">
        <f>VLOOKUP(F97,표준용어사전!$B:$D,3,FALSE)</f>
        <v>#N/A</v>
      </c>
      <c r="J97" s="28" t="s">
        <v>748</v>
      </c>
      <c r="K97" s="27">
        <v>14</v>
      </c>
      <c r="L97" s="29" t="s">
        <v>571</v>
      </c>
      <c r="M97" s="29" t="s">
        <v>776</v>
      </c>
      <c r="N97" s="29" t="s">
        <v>711</v>
      </c>
      <c r="O97" s="28"/>
      <c r="P97" s="28"/>
      <c r="Q97" s="28" t="s">
        <v>76</v>
      </c>
      <c r="R97" s="29"/>
      <c r="S97" s="28"/>
      <c r="T97" s="28"/>
      <c r="U97" s="28" t="s">
        <v>75</v>
      </c>
      <c r="V97" s="28" t="s">
        <v>75</v>
      </c>
      <c r="W97" s="28"/>
    </row>
    <row r="98" spans="1:23" s="12" customFormat="1" hidden="1">
      <c r="A98" s="46" t="s">
        <v>572</v>
      </c>
      <c r="B98" s="28" t="s">
        <v>1333</v>
      </c>
      <c r="C98" s="28" t="s">
        <v>88</v>
      </c>
      <c r="D98" s="28" t="s">
        <v>276</v>
      </c>
      <c r="E98" s="28" t="s">
        <v>903</v>
      </c>
      <c r="F98" s="28" t="s">
        <v>909</v>
      </c>
      <c r="G98" s="28" t="s">
        <v>909</v>
      </c>
      <c r="H98" s="28" t="s">
        <v>278</v>
      </c>
      <c r="I98" s="28" t="e">
        <f>VLOOKUP(F98,표준용어사전!$B:$D,3,FALSE)</f>
        <v>#N/A</v>
      </c>
      <c r="J98" s="28" t="s">
        <v>748</v>
      </c>
      <c r="K98" s="27">
        <v>14</v>
      </c>
      <c r="L98" s="29" t="s">
        <v>571</v>
      </c>
      <c r="M98" s="29" t="s">
        <v>776</v>
      </c>
      <c r="N98" s="29" t="s">
        <v>711</v>
      </c>
      <c r="O98" s="28"/>
      <c r="P98" s="28"/>
      <c r="Q98" s="28" t="s">
        <v>76</v>
      </c>
      <c r="R98" s="29"/>
      <c r="S98" s="28"/>
      <c r="T98" s="28"/>
      <c r="U98" s="28" t="s">
        <v>75</v>
      </c>
      <c r="V98" s="28" t="s">
        <v>75</v>
      </c>
      <c r="W98" s="28"/>
    </row>
    <row r="99" spans="1:23" s="12" customFormat="1" hidden="1">
      <c r="A99" s="46" t="s">
        <v>572</v>
      </c>
      <c r="B99" s="28" t="s">
        <v>1333</v>
      </c>
      <c r="C99" s="28" t="s">
        <v>88</v>
      </c>
      <c r="D99" s="28" t="s">
        <v>276</v>
      </c>
      <c r="E99" s="28" t="s">
        <v>904</v>
      </c>
      <c r="F99" s="28" t="s">
        <v>910</v>
      </c>
      <c r="G99" s="28" t="s">
        <v>910</v>
      </c>
      <c r="H99" s="28" t="s">
        <v>278</v>
      </c>
      <c r="I99" s="28" t="e">
        <f>VLOOKUP(F99,표준용어사전!$B:$D,3,FALSE)</f>
        <v>#N/A</v>
      </c>
      <c r="J99" s="28" t="s">
        <v>748</v>
      </c>
      <c r="K99" s="27">
        <v>14</v>
      </c>
      <c r="L99" s="29" t="s">
        <v>571</v>
      </c>
      <c r="M99" s="29" t="s">
        <v>776</v>
      </c>
      <c r="N99" s="29" t="s">
        <v>711</v>
      </c>
      <c r="O99" s="28"/>
      <c r="P99" s="28"/>
      <c r="Q99" s="28" t="s">
        <v>76</v>
      </c>
      <c r="R99" s="29"/>
      <c r="S99" s="28"/>
      <c r="T99" s="28"/>
      <c r="U99" s="28" t="s">
        <v>75</v>
      </c>
      <c r="V99" s="28" t="s">
        <v>75</v>
      </c>
      <c r="W99" s="28"/>
    </row>
    <row r="100" spans="1:23" s="12" customFormat="1" hidden="1">
      <c r="A100" s="46" t="s">
        <v>572</v>
      </c>
      <c r="B100" s="28" t="s">
        <v>1333</v>
      </c>
      <c r="C100" s="28" t="s">
        <v>88</v>
      </c>
      <c r="D100" s="28" t="s">
        <v>276</v>
      </c>
      <c r="E100" s="28" t="s">
        <v>905</v>
      </c>
      <c r="F100" s="28" t="s">
        <v>898</v>
      </c>
      <c r="G100" s="28" t="s">
        <v>898</v>
      </c>
      <c r="H100" s="28" t="s">
        <v>278</v>
      </c>
      <c r="I100" s="28" t="e">
        <f>VLOOKUP(F100,표준용어사전!$B:$D,3,FALSE)</f>
        <v>#N/A</v>
      </c>
      <c r="J100" s="28" t="s">
        <v>748</v>
      </c>
      <c r="K100" s="27">
        <v>14</v>
      </c>
      <c r="L100" s="29" t="s">
        <v>571</v>
      </c>
      <c r="M100" s="29" t="s">
        <v>776</v>
      </c>
      <c r="N100" s="29" t="s">
        <v>711</v>
      </c>
      <c r="O100" s="28"/>
      <c r="P100" s="28"/>
      <c r="Q100" s="28" t="s">
        <v>76</v>
      </c>
      <c r="R100" s="29"/>
      <c r="S100" s="28"/>
      <c r="T100" s="28"/>
      <c r="U100" s="28" t="s">
        <v>75</v>
      </c>
      <c r="V100" s="28" t="s">
        <v>75</v>
      </c>
      <c r="W100" s="28"/>
    </row>
    <row r="101" spans="1:23" s="12" customFormat="1" hidden="1">
      <c r="A101" s="46" t="s">
        <v>572</v>
      </c>
      <c r="B101" s="28" t="s">
        <v>1331</v>
      </c>
      <c r="C101" s="28" t="s">
        <v>88</v>
      </c>
      <c r="D101" s="28" t="s">
        <v>348</v>
      </c>
      <c r="E101" s="28" t="s">
        <v>349</v>
      </c>
      <c r="F101" s="28" t="s">
        <v>558</v>
      </c>
      <c r="G101" s="28" t="s">
        <v>558</v>
      </c>
      <c r="H101" s="28" t="s">
        <v>350</v>
      </c>
      <c r="I101" s="28" t="str">
        <f>VLOOKUP(F101,표준용어사전!$B:$D,3,FALSE)</f>
        <v>연월C6</v>
      </c>
      <c r="J101" s="28" t="s">
        <v>570</v>
      </c>
      <c r="K101" s="27">
        <v>6</v>
      </c>
      <c r="L101" s="29" t="s">
        <v>571</v>
      </c>
      <c r="M101" s="29" t="s">
        <v>733</v>
      </c>
      <c r="N101" s="29" t="s">
        <v>711</v>
      </c>
      <c r="O101" s="28" t="s">
        <v>641</v>
      </c>
      <c r="P101" s="28"/>
      <c r="Q101" s="28" t="s">
        <v>76</v>
      </c>
      <c r="R101" s="29"/>
      <c r="S101" s="28"/>
      <c r="T101" s="28" t="s">
        <v>577</v>
      </c>
      <c r="U101" s="28" t="s">
        <v>75</v>
      </c>
      <c r="V101" s="28" t="s">
        <v>75</v>
      </c>
      <c r="W101" s="28"/>
    </row>
    <row r="102" spans="1:23" s="12" customFormat="1" hidden="1">
      <c r="A102" s="46" t="s">
        <v>572</v>
      </c>
      <c r="B102" s="28" t="s">
        <v>1331</v>
      </c>
      <c r="C102" s="28" t="s">
        <v>88</v>
      </c>
      <c r="D102" s="28" t="s">
        <v>348</v>
      </c>
      <c r="E102" s="28" t="s">
        <v>277</v>
      </c>
      <c r="F102" s="28" t="s">
        <v>507</v>
      </c>
      <c r="G102" s="28" t="s">
        <v>507</v>
      </c>
      <c r="H102" s="28" t="s">
        <v>350</v>
      </c>
      <c r="I102" s="28" t="str">
        <f>VLOOKUP(F102,표준용어사전!$B:$D,3,FALSE)</f>
        <v>코드V50</v>
      </c>
      <c r="J102" s="28" t="s">
        <v>570</v>
      </c>
      <c r="K102" s="27">
        <v>50</v>
      </c>
      <c r="L102" s="29" t="s">
        <v>571</v>
      </c>
      <c r="M102" s="29" t="s">
        <v>725</v>
      </c>
      <c r="N102" s="29" t="s">
        <v>711</v>
      </c>
      <c r="O102" s="28" t="s">
        <v>573</v>
      </c>
      <c r="P102" s="28"/>
      <c r="Q102" s="28" t="s">
        <v>76</v>
      </c>
      <c r="R102" s="29"/>
      <c r="S102" s="28"/>
      <c r="T102" s="28" t="s">
        <v>76</v>
      </c>
      <c r="U102" s="28" t="s">
        <v>75</v>
      </c>
      <c r="V102" s="28" t="s">
        <v>75</v>
      </c>
      <c r="W102" s="28"/>
    </row>
    <row r="103" spans="1:23" s="12" customFormat="1" hidden="1">
      <c r="A103" s="46" t="s">
        <v>572</v>
      </c>
      <c r="B103" s="28" t="s">
        <v>1331</v>
      </c>
      <c r="C103" s="28" t="s">
        <v>88</v>
      </c>
      <c r="D103" s="28" t="s">
        <v>348</v>
      </c>
      <c r="E103" s="28" t="s">
        <v>1835</v>
      </c>
      <c r="F103" s="28" t="s">
        <v>559</v>
      </c>
      <c r="G103" s="28" t="s">
        <v>559</v>
      </c>
      <c r="H103" s="28" t="s">
        <v>350</v>
      </c>
      <c r="I103" s="28" t="str">
        <f>VLOOKUP(F103,표준용어사전!$B:$D,3,FALSE)</f>
        <v>수N10</v>
      </c>
      <c r="J103" s="28" t="s">
        <v>63</v>
      </c>
      <c r="K103" s="27">
        <v>10</v>
      </c>
      <c r="L103" s="29" t="s">
        <v>571</v>
      </c>
      <c r="M103" s="29">
        <v>9999999999</v>
      </c>
      <c r="N103" s="29" t="s">
        <v>75</v>
      </c>
      <c r="O103" s="28"/>
      <c r="P103" s="28"/>
      <c r="Q103" s="28" t="s">
        <v>76</v>
      </c>
      <c r="R103" s="29"/>
      <c r="S103" s="28"/>
      <c r="T103" s="28" t="s">
        <v>76</v>
      </c>
      <c r="U103" s="28" t="s">
        <v>75</v>
      </c>
      <c r="V103" s="28" t="s">
        <v>75</v>
      </c>
      <c r="W103" s="28"/>
    </row>
    <row r="104" spans="1:23" s="12" customFormat="1" hidden="1">
      <c r="A104" s="46" t="s">
        <v>572</v>
      </c>
      <c r="B104" s="28" t="s">
        <v>1331</v>
      </c>
      <c r="C104" s="28" t="s">
        <v>88</v>
      </c>
      <c r="D104" s="28" t="s">
        <v>348</v>
      </c>
      <c r="E104" s="48" t="s">
        <v>1836</v>
      </c>
      <c r="F104" s="48" t="s">
        <v>1838</v>
      </c>
      <c r="G104" s="48" t="s">
        <v>1838</v>
      </c>
      <c r="H104" s="28" t="s">
        <v>350</v>
      </c>
      <c r="I104" s="48" t="str">
        <f>VLOOKUP(F104,표준용어사전!$B:$D,3,FALSE)</f>
        <v>시분초N10</v>
      </c>
      <c r="J104" s="48" t="s">
        <v>63</v>
      </c>
      <c r="K104" s="49">
        <v>10</v>
      </c>
      <c r="L104" s="50" t="s">
        <v>571</v>
      </c>
      <c r="M104" s="50">
        <v>9999999999</v>
      </c>
      <c r="N104" s="29" t="s">
        <v>75</v>
      </c>
      <c r="O104" s="48"/>
      <c r="P104" s="28"/>
      <c r="Q104" s="28" t="s">
        <v>76</v>
      </c>
      <c r="R104" s="29"/>
      <c r="S104" s="28"/>
      <c r="T104" s="28" t="s">
        <v>76</v>
      </c>
      <c r="U104" s="28" t="s">
        <v>75</v>
      </c>
      <c r="V104" s="28" t="s">
        <v>75</v>
      </c>
      <c r="W104" s="28"/>
    </row>
    <row r="105" spans="1:23" s="12" customFormat="1" hidden="1">
      <c r="A105" s="46" t="s">
        <v>572</v>
      </c>
      <c r="B105" s="28" t="s">
        <v>1331</v>
      </c>
      <c r="C105" s="28" t="s">
        <v>88</v>
      </c>
      <c r="D105" s="28" t="s">
        <v>348</v>
      </c>
      <c r="E105" s="48" t="s">
        <v>1824</v>
      </c>
      <c r="F105" s="48" t="s">
        <v>1510</v>
      </c>
      <c r="G105" s="48" t="s">
        <v>1487</v>
      </c>
      <c r="H105" s="28" t="s">
        <v>350</v>
      </c>
      <c r="I105" s="48" t="e">
        <f>VLOOKUP(F105,표준용어사전!$B:$D,3,FALSE)</f>
        <v>#N/A</v>
      </c>
      <c r="J105" s="28" t="s">
        <v>570</v>
      </c>
      <c r="K105" s="52" t="s">
        <v>1002</v>
      </c>
      <c r="L105" s="50" t="s">
        <v>571</v>
      </c>
      <c r="M105" s="29" t="s">
        <v>725</v>
      </c>
      <c r="N105" s="50" t="s">
        <v>973</v>
      </c>
      <c r="O105" s="48" t="s">
        <v>754</v>
      </c>
      <c r="P105" s="28"/>
      <c r="Q105" s="28" t="s">
        <v>76</v>
      </c>
      <c r="R105" s="29"/>
      <c r="S105" s="28"/>
      <c r="T105" s="28" t="s">
        <v>76</v>
      </c>
      <c r="U105" s="28" t="s">
        <v>75</v>
      </c>
      <c r="V105" s="28" t="s">
        <v>75</v>
      </c>
      <c r="W105" s="28"/>
    </row>
    <row r="106" spans="1:23" s="12" customFormat="1" hidden="1">
      <c r="A106" s="46" t="s">
        <v>572</v>
      </c>
      <c r="B106" s="28" t="s">
        <v>1333</v>
      </c>
      <c r="C106" s="28" t="s">
        <v>88</v>
      </c>
      <c r="D106" s="28" t="s">
        <v>284</v>
      </c>
      <c r="E106" s="28" t="s">
        <v>578</v>
      </c>
      <c r="F106" s="28" t="s">
        <v>580</v>
      </c>
      <c r="G106" s="28" t="s">
        <v>580</v>
      </c>
      <c r="H106" s="28" t="s">
        <v>286</v>
      </c>
      <c r="I106" s="28" t="str">
        <f>VLOOKUP(F106,표준용어사전!$B:$D,3,FALSE)</f>
        <v>명V20</v>
      </c>
      <c r="J106" s="28" t="s">
        <v>78</v>
      </c>
      <c r="K106" s="27">
        <v>20</v>
      </c>
      <c r="L106" s="29" t="s">
        <v>571</v>
      </c>
      <c r="M106" s="29" t="s">
        <v>727</v>
      </c>
      <c r="N106" s="29" t="s">
        <v>711</v>
      </c>
      <c r="O106" s="28" t="s">
        <v>73</v>
      </c>
      <c r="P106" s="28"/>
      <c r="Q106" s="28" t="s">
        <v>76</v>
      </c>
      <c r="R106" s="29"/>
      <c r="S106" s="28"/>
      <c r="T106" s="28" t="s">
        <v>571</v>
      </c>
      <c r="U106" s="28" t="s">
        <v>75</v>
      </c>
      <c r="V106" s="28" t="s">
        <v>75</v>
      </c>
      <c r="W106" s="28"/>
    </row>
    <row r="107" spans="1:23" s="12" customFormat="1" hidden="1">
      <c r="A107" s="46" t="s">
        <v>572</v>
      </c>
      <c r="B107" s="28" t="s">
        <v>1333</v>
      </c>
      <c r="C107" s="28" t="s">
        <v>88</v>
      </c>
      <c r="D107" s="28" t="s">
        <v>284</v>
      </c>
      <c r="E107" s="28" t="s">
        <v>285</v>
      </c>
      <c r="F107" s="28" t="s">
        <v>511</v>
      </c>
      <c r="G107" s="28" t="s">
        <v>511</v>
      </c>
      <c r="H107" s="28" t="s">
        <v>286</v>
      </c>
      <c r="I107" s="28" t="str">
        <f>VLOOKUP(F107,표준용어사전!$B:$D,3,FALSE)</f>
        <v>코드V50</v>
      </c>
      <c r="J107" s="28" t="s">
        <v>570</v>
      </c>
      <c r="K107" s="27">
        <v>50</v>
      </c>
      <c r="L107" s="29" t="s">
        <v>571</v>
      </c>
      <c r="M107" s="29" t="s">
        <v>725</v>
      </c>
      <c r="N107" s="29" t="s">
        <v>711</v>
      </c>
      <c r="O107" s="28"/>
      <c r="P107" s="28"/>
      <c r="Q107" s="28" t="s">
        <v>1372</v>
      </c>
      <c r="R107" s="29">
        <v>1</v>
      </c>
      <c r="S107" s="28"/>
      <c r="T107" s="28" t="s">
        <v>626</v>
      </c>
      <c r="U107" s="28" t="s">
        <v>75</v>
      </c>
      <c r="V107" s="28" t="s">
        <v>75</v>
      </c>
      <c r="W107" s="28"/>
    </row>
    <row r="108" spans="1:23" s="12" customFormat="1" hidden="1">
      <c r="A108" s="46" t="s">
        <v>572</v>
      </c>
      <c r="B108" s="28" t="s">
        <v>1333</v>
      </c>
      <c r="C108" s="28" t="s">
        <v>88</v>
      </c>
      <c r="D108" s="28" t="s">
        <v>284</v>
      </c>
      <c r="E108" s="28" t="s">
        <v>622</v>
      </c>
      <c r="F108" s="28" t="s">
        <v>596</v>
      </c>
      <c r="G108" s="28" t="s">
        <v>596</v>
      </c>
      <c r="H108" s="28" t="s">
        <v>286</v>
      </c>
      <c r="I108" s="28" t="str">
        <f>VLOOKUP(F108,표준용어사전!$B:$D,3,FALSE)</f>
        <v>코드V50</v>
      </c>
      <c r="J108" s="28" t="s">
        <v>570</v>
      </c>
      <c r="K108" s="27">
        <v>50</v>
      </c>
      <c r="L108" s="29" t="s">
        <v>571</v>
      </c>
      <c r="M108" s="29" t="s">
        <v>725</v>
      </c>
      <c r="N108" s="29" t="s">
        <v>75</v>
      </c>
      <c r="O108" s="28"/>
      <c r="P108" s="28"/>
      <c r="Q108" s="28" t="s">
        <v>76</v>
      </c>
      <c r="R108" s="29"/>
      <c r="S108" s="28"/>
      <c r="T108" s="28" t="s">
        <v>571</v>
      </c>
      <c r="U108" s="28" t="s">
        <v>75</v>
      </c>
      <c r="V108" s="28" t="s">
        <v>75</v>
      </c>
      <c r="W108" s="28"/>
    </row>
    <row r="109" spans="1:23" s="12" customFormat="1" hidden="1">
      <c r="A109" s="46" t="s">
        <v>572</v>
      </c>
      <c r="B109" s="28" t="s">
        <v>1333</v>
      </c>
      <c r="C109" s="28" t="s">
        <v>88</v>
      </c>
      <c r="D109" s="28" t="s">
        <v>284</v>
      </c>
      <c r="E109" s="28" t="s">
        <v>287</v>
      </c>
      <c r="F109" s="28" t="s">
        <v>512</v>
      </c>
      <c r="G109" s="28" t="s">
        <v>512</v>
      </c>
      <c r="H109" s="28" t="s">
        <v>286</v>
      </c>
      <c r="I109" s="28" t="str">
        <f>VLOOKUP(F109,표준용어사전!$B:$D,3,FALSE)</f>
        <v>명V200</v>
      </c>
      <c r="J109" s="28" t="s">
        <v>78</v>
      </c>
      <c r="K109" s="27">
        <v>200</v>
      </c>
      <c r="L109" s="29" t="s">
        <v>571</v>
      </c>
      <c r="M109" s="29" t="s">
        <v>715</v>
      </c>
      <c r="N109" s="29" t="s">
        <v>75</v>
      </c>
      <c r="O109" s="28"/>
      <c r="P109" s="28"/>
      <c r="Q109" s="28" t="s">
        <v>76</v>
      </c>
      <c r="R109" s="29"/>
      <c r="S109" s="28"/>
      <c r="T109" s="28" t="s">
        <v>571</v>
      </c>
      <c r="U109" s="28" t="s">
        <v>75</v>
      </c>
      <c r="V109" s="28" t="s">
        <v>75</v>
      </c>
      <c r="W109" s="28"/>
    </row>
    <row r="110" spans="1:23" s="12" customFormat="1" hidden="1">
      <c r="A110" s="46" t="s">
        <v>572</v>
      </c>
      <c r="B110" s="28" t="s">
        <v>1333</v>
      </c>
      <c r="C110" s="28" t="s">
        <v>88</v>
      </c>
      <c r="D110" s="28" t="s">
        <v>284</v>
      </c>
      <c r="E110" s="28" t="s">
        <v>288</v>
      </c>
      <c r="F110" s="28" t="s">
        <v>513</v>
      </c>
      <c r="G110" s="28" t="s">
        <v>513</v>
      </c>
      <c r="H110" s="28" t="s">
        <v>286</v>
      </c>
      <c r="I110" s="28" t="str">
        <f>VLOOKUP(F110,표준용어사전!$B:$D,3,FALSE)</f>
        <v>명V200</v>
      </c>
      <c r="J110" s="28" t="s">
        <v>78</v>
      </c>
      <c r="K110" s="27">
        <v>200</v>
      </c>
      <c r="L110" s="29" t="s">
        <v>571</v>
      </c>
      <c r="M110" s="29" t="s">
        <v>715</v>
      </c>
      <c r="N110" s="29" t="s">
        <v>75</v>
      </c>
      <c r="O110" s="28"/>
      <c r="P110" s="28"/>
      <c r="Q110" s="28" t="s">
        <v>76</v>
      </c>
      <c r="R110" s="29"/>
      <c r="S110" s="28"/>
      <c r="T110" s="28" t="s">
        <v>571</v>
      </c>
      <c r="U110" s="28" t="s">
        <v>75</v>
      </c>
      <c r="V110" s="28" t="s">
        <v>75</v>
      </c>
      <c r="W110" s="28"/>
    </row>
    <row r="111" spans="1:23" s="12" customFormat="1" hidden="1">
      <c r="A111" s="46" t="s">
        <v>572</v>
      </c>
      <c r="B111" s="28" t="s">
        <v>1333</v>
      </c>
      <c r="C111" s="28" t="s">
        <v>88</v>
      </c>
      <c r="D111" s="28" t="s">
        <v>284</v>
      </c>
      <c r="E111" s="28" t="s">
        <v>90</v>
      </c>
      <c r="F111" s="28" t="s">
        <v>14</v>
      </c>
      <c r="G111" s="28" t="s">
        <v>14</v>
      </c>
      <c r="H111" s="28" t="s">
        <v>286</v>
      </c>
      <c r="I111" s="28" t="str">
        <f>VLOOKUP(F111,표준용어사전!$B:$D,3,FALSE)</f>
        <v>연월일시분초TS</v>
      </c>
      <c r="J111" s="28" t="s">
        <v>16</v>
      </c>
      <c r="K111" s="27" t="s">
        <v>571</v>
      </c>
      <c r="L111" s="29" t="s">
        <v>571</v>
      </c>
      <c r="M111" s="29" t="s">
        <v>726</v>
      </c>
      <c r="N111" s="29" t="s">
        <v>711</v>
      </c>
      <c r="O111" s="28"/>
      <c r="P111" s="28"/>
      <c r="Q111" s="28" t="s">
        <v>76</v>
      </c>
      <c r="R111" s="29"/>
      <c r="S111" s="28"/>
      <c r="T111" s="28" t="s">
        <v>574</v>
      </c>
      <c r="U111" s="28" t="s">
        <v>75</v>
      </c>
      <c r="V111" s="28" t="s">
        <v>75</v>
      </c>
      <c r="W111" s="28"/>
    </row>
    <row r="112" spans="1:23" s="12" customFormat="1" hidden="1">
      <c r="A112" s="46" t="s">
        <v>572</v>
      </c>
      <c r="B112" s="28" t="s">
        <v>1333</v>
      </c>
      <c r="C112" s="28" t="s">
        <v>88</v>
      </c>
      <c r="D112" s="28" t="s">
        <v>284</v>
      </c>
      <c r="E112" s="28" t="s">
        <v>91</v>
      </c>
      <c r="F112" s="28" t="s">
        <v>369</v>
      </c>
      <c r="G112" s="28" t="s">
        <v>369</v>
      </c>
      <c r="H112" s="28" t="s">
        <v>286</v>
      </c>
      <c r="I112" s="28" t="str">
        <f>VLOOKUP(F112,표준용어사전!$B:$D,3,FALSE)</f>
        <v>명V20</v>
      </c>
      <c r="J112" s="28" t="s">
        <v>78</v>
      </c>
      <c r="K112" s="27">
        <v>20</v>
      </c>
      <c r="L112" s="29" t="s">
        <v>571</v>
      </c>
      <c r="M112" s="29" t="s">
        <v>727</v>
      </c>
      <c r="N112" s="29" t="s">
        <v>75</v>
      </c>
      <c r="O112" s="28"/>
      <c r="P112" s="28"/>
      <c r="Q112" s="28" t="s">
        <v>76</v>
      </c>
      <c r="R112" s="29"/>
      <c r="S112" s="28"/>
      <c r="T112" s="28" t="s">
        <v>571</v>
      </c>
      <c r="U112" s="28" t="s">
        <v>75</v>
      </c>
      <c r="V112" s="28" t="s">
        <v>75</v>
      </c>
      <c r="W112" s="28"/>
    </row>
    <row r="113" spans="1:23" s="12" customFormat="1" hidden="1">
      <c r="A113" s="46" t="s">
        <v>572</v>
      </c>
      <c r="B113" s="28" t="s">
        <v>1333</v>
      </c>
      <c r="C113" s="28" t="s">
        <v>88</v>
      </c>
      <c r="D113" s="28" t="s">
        <v>284</v>
      </c>
      <c r="E113" s="28" t="s">
        <v>92</v>
      </c>
      <c r="F113" s="28" t="s">
        <v>15</v>
      </c>
      <c r="G113" s="28" t="s">
        <v>15</v>
      </c>
      <c r="H113" s="28" t="s">
        <v>286</v>
      </c>
      <c r="I113" s="28" t="str">
        <f>VLOOKUP(F113,표준용어사전!$B:$D,3,FALSE)</f>
        <v>연월일시분초TS</v>
      </c>
      <c r="J113" s="28" t="s">
        <v>16</v>
      </c>
      <c r="K113" s="27" t="s">
        <v>571</v>
      </c>
      <c r="L113" s="29" t="s">
        <v>571</v>
      </c>
      <c r="M113" s="29" t="s">
        <v>726</v>
      </c>
      <c r="N113" s="29" t="s">
        <v>75</v>
      </c>
      <c r="O113" s="28"/>
      <c r="P113" s="28"/>
      <c r="Q113" s="28" t="s">
        <v>76</v>
      </c>
      <c r="R113" s="29"/>
      <c r="S113" s="28"/>
      <c r="T113" s="28" t="s">
        <v>574</v>
      </c>
      <c r="U113" s="28" t="s">
        <v>75</v>
      </c>
      <c r="V113" s="28" t="s">
        <v>75</v>
      </c>
      <c r="W113" s="28"/>
    </row>
    <row r="114" spans="1:23" s="12" customFormat="1" hidden="1">
      <c r="A114" s="46" t="s">
        <v>572</v>
      </c>
      <c r="B114" s="28" t="s">
        <v>1333</v>
      </c>
      <c r="C114" s="28" t="s">
        <v>88</v>
      </c>
      <c r="D114" s="28" t="s">
        <v>284</v>
      </c>
      <c r="E114" s="28" t="s">
        <v>93</v>
      </c>
      <c r="F114" s="28" t="s">
        <v>370</v>
      </c>
      <c r="G114" s="28" t="s">
        <v>370</v>
      </c>
      <c r="H114" s="28" t="s">
        <v>286</v>
      </c>
      <c r="I114" s="28" t="str">
        <f>VLOOKUP(F114,표준용어사전!$B:$D,3,FALSE)</f>
        <v>명V20</v>
      </c>
      <c r="J114" s="28" t="s">
        <v>78</v>
      </c>
      <c r="K114" s="27">
        <v>20</v>
      </c>
      <c r="L114" s="29" t="s">
        <v>571</v>
      </c>
      <c r="M114" s="29" t="s">
        <v>727</v>
      </c>
      <c r="N114" s="29" t="s">
        <v>75</v>
      </c>
      <c r="O114" s="28"/>
      <c r="P114" s="28"/>
      <c r="Q114" s="28" t="s">
        <v>76</v>
      </c>
      <c r="R114" s="29"/>
      <c r="S114" s="28"/>
      <c r="T114" s="28" t="s">
        <v>571</v>
      </c>
      <c r="U114" s="28" t="s">
        <v>75</v>
      </c>
      <c r="V114" s="28" t="s">
        <v>75</v>
      </c>
      <c r="W114" s="28"/>
    </row>
    <row r="115" spans="1:23" s="12" customFormat="1" hidden="1">
      <c r="A115" s="46" t="s">
        <v>572</v>
      </c>
      <c r="B115" s="28" t="s">
        <v>1333</v>
      </c>
      <c r="C115" s="28" t="s">
        <v>88</v>
      </c>
      <c r="D115" s="28" t="s">
        <v>284</v>
      </c>
      <c r="E115" s="28" t="s">
        <v>900</v>
      </c>
      <c r="F115" s="28" t="s">
        <v>907</v>
      </c>
      <c r="G115" s="28" t="s">
        <v>907</v>
      </c>
      <c r="H115" s="28" t="s">
        <v>286</v>
      </c>
      <c r="I115" s="28" t="e">
        <f>VLOOKUP(F115,표준용어사전!$B:$D,3,FALSE)</f>
        <v>#N/A</v>
      </c>
      <c r="J115" s="28" t="s">
        <v>748</v>
      </c>
      <c r="K115" s="27">
        <v>14</v>
      </c>
      <c r="L115" s="29" t="s">
        <v>571</v>
      </c>
      <c r="M115" s="29" t="s">
        <v>776</v>
      </c>
      <c r="N115" s="29" t="s">
        <v>711</v>
      </c>
      <c r="O115" s="28"/>
      <c r="P115" s="28"/>
      <c r="Q115" s="28" t="s">
        <v>76</v>
      </c>
      <c r="R115" s="29"/>
      <c r="S115" s="28"/>
      <c r="T115" s="28"/>
      <c r="U115" s="28" t="s">
        <v>75</v>
      </c>
      <c r="V115" s="28" t="s">
        <v>75</v>
      </c>
      <c r="W115" s="28"/>
    </row>
    <row r="116" spans="1:23" s="12" customFormat="1" hidden="1">
      <c r="A116" s="46" t="s">
        <v>572</v>
      </c>
      <c r="B116" s="28" t="s">
        <v>1333</v>
      </c>
      <c r="C116" s="28" t="s">
        <v>88</v>
      </c>
      <c r="D116" s="28" t="s">
        <v>284</v>
      </c>
      <c r="E116" s="28" t="s">
        <v>901</v>
      </c>
      <c r="F116" s="28" t="s">
        <v>906</v>
      </c>
      <c r="G116" s="28" t="s">
        <v>906</v>
      </c>
      <c r="H116" s="28" t="s">
        <v>286</v>
      </c>
      <c r="I116" s="28" t="e">
        <f>VLOOKUP(F116,표준용어사전!$B:$D,3,FALSE)</f>
        <v>#N/A</v>
      </c>
      <c r="J116" s="28" t="s">
        <v>748</v>
      </c>
      <c r="K116" s="27">
        <v>14</v>
      </c>
      <c r="L116" s="29" t="s">
        <v>571</v>
      </c>
      <c r="M116" s="29" t="s">
        <v>776</v>
      </c>
      <c r="N116" s="29" t="s">
        <v>711</v>
      </c>
      <c r="O116" s="28"/>
      <c r="P116" s="28"/>
      <c r="Q116" s="28" t="s">
        <v>76</v>
      </c>
      <c r="R116" s="29"/>
      <c r="S116" s="28"/>
      <c r="T116" s="28"/>
      <c r="U116" s="28" t="s">
        <v>75</v>
      </c>
      <c r="V116" s="28" t="s">
        <v>75</v>
      </c>
      <c r="W116" s="28"/>
    </row>
    <row r="117" spans="1:23" s="12" customFormat="1" hidden="1">
      <c r="A117" s="46" t="s">
        <v>572</v>
      </c>
      <c r="B117" s="28" t="s">
        <v>1333</v>
      </c>
      <c r="C117" s="28" t="s">
        <v>88</v>
      </c>
      <c r="D117" s="28" t="s">
        <v>284</v>
      </c>
      <c r="E117" s="28" t="s">
        <v>902</v>
      </c>
      <c r="F117" s="28" t="s">
        <v>908</v>
      </c>
      <c r="G117" s="28" t="s">
        <v>908</v>
      </c>
      <c r="H117" s="28" t="s">
        <v>286</v>
      </c>
      <c r="I117" s="28" t="e">
        <f>VLOOKUP(F117,표준용어사전!$B:$D,3,FALSE)</f>
        <v>#N/A</v>
      </c>
      <c r="J117" s="28" t="s">
        <v>748</v>
      </c>
      <c r="K117" s="27">
        <v>14</v>
      </c>
      <c r="L117" s="29" t="s">
        <v>571</v>
      </c>
      <c r="M117" s="29" t="s">
        <v>776</v>
      </c>
      <c r="N117" s="29" t="s">
        <v>711</v>
      </c>
      <c r="O117" s="28"/>
      <c r="P117" s="28"/>
      <c r="Q117" s="28" t="s">
        <v>76</v>
      </c>
      <c r="R117" s="29"/>
      <c r="S117" s="28"/>
      <c r="T117" s="28"/>
      <c r="U117" s="28" t="s">
        <v>75</v>
      </c>
      <c r="V117" s="28" t="s">
        <v>75</v>
      </c>
      <c r="W117" s="28"/>
    </row>
    <row r="118" spans="1:23" s="12" customFormat="1" hidden="1">
      <c r="A118" s="46" t="s">
        <v>572</v>
      </c>
      <c r="B118" s="28" t="s">
        <v>1333</v>
      </c>
      <c r="C118" s="28" t="s">
        <v>88</v>
      </c>
      <c r="D118" s="28" t="s">
        <v>284</v>
      </c>
      <c r="E118" s="28" t="s">
        <v>903</v>
      </c>
      <c r="F118" s="28" t="s">
        <v>909</v>
      </c>
      <c r="G118" s="28" t="s">
        <v>909</v>
      </c>
      <c r="H118" s="28" t="s">
        <v>286</v>
      </c>
      <c r="I118" s="28" t="e">
        <f>VLOOKUP(F118,표준용어사전!$B:$D,3,FALSE)</f>
        <v>#N/A</v>
      </c>
      <c r="J118" s="28" t="s">
        <v>748</v>
      </c>
      <c r="K118" s="27">
        <v>14</v>
      </c>
      <c r="L118" s="29" t="s">
        <v>571</v>
      </c>
      <c r="M118" s="29" t="s">
        <v>776</v>
      </c>
      <c r="N118" s="29" t="s">
        <v>711</v>
      </c>
      <c r="O118" s="28"/>
      <c r="P118" s="28"/>
      <c r="Q118" s="28" t="s">
        <v>76</v>
      </c>
      <c r="R118" s="29"/>
      <c r="S118" s="28"/>
      <c r="T118" s="28"/>
      <c r="U118" s="28" t="s">
        <v>75</v>
      </c>
      <c r="V118" s="28" t="s">
        <v>75</v>
      </c>
      <c r="W118" s="28"/>
    </row>
    <row r="119" spans="1:23" s="12" customFormat="1" hidden="1">
      <c r="A119" s="46" t="s">
        <v>572</v>
      </c>
      <c r="B119" s="28" t="s">
        <v>1333</v>
      </c>
      <c r="C119" s="28" t="s">
        <v>88</v>
      </c>
      <c r="D119" s="28" t="s">
        <v>284</v>
      </c>
      <c r="E119" s="28" t="s">
        <v>904</v>
      </c>
      <c r="F119" s="28" t="s">
        <v>910</v>
      </c>
      <c r="G119" s="28" t="s">
        <v>910</v>
      </c>
      <c r="H119" s="28" t="s">
        <v>286</v>
      </c>
      <c r="I119" s="28" t="e">
        <f>VLOOKUP(F119,표준용어사전!$B:$D,3,FALSE)</f>
        <v>#N/A</v>
      </c>
      <c r="J119" s="28" t="s">
        <v>748</v>
      </c>
      <c r="K119" s="27">
        <v>14</v>
      </c>
      <c r="L119" s="29" t="s">
        <v>571</v>
      </c>
      <c r="M119" s="29" t="s">
        <v>776</v>
      </c>
      <c r="N119" s="29" t="s">
        <v>711</v>
      </c>
      <c r="O119" s="28"/>
      <c r="P119" s="28"/>
      <c r="Q119" s="28" t="s">
        <v>76</v>
      </c>
      <c r="R119" s="29"/>
      <c r="S119" s="28"/>
      <c r="T119" s="28"/>
      <c r="U119" s="28" t="s">
        <v>75</v>
      </c>
      <c r="V119" s="28" t="s">
        <v>75</v>
      </c>
      <c r="W119" s="28"/>
    </row>
    <row r="120" spans="1:23" s="12" customFormat="1" hidden="1">
      <c r="A120" s="46" t="s">
        <v>572</v>
      </c>
      <c r="B120" s="28" t="s">
        <v>1333</v>
      </c>
      <c r="C120" s="28" t="s">
        <v>88</v>
      </c>
      <c r="D120" s="28" t="s">
        <v>284</v>
      </c>
      <c r="E120" s="28" t="s">
        <v>905</v>
      </c>
      <c r="F120" s="28" t="s">
        <v>898</v>
      </c>
      <c r="G120" s="28" t="s">
        <v>898</v>
      </c>
      <c r="H120" s="28" t="s">
        <v>286</v>
      </c>
      <c r="I120" s="28" t="e">
        <f>VLOOKUP(F120,표준용어사전!$B:$D,3,FALSE)</f>
        <v>#N/A</v>
      </c>
      <c r="J120" s="28" t="s">
        <v>748</v>
      </c>
      <c r="K120" s="27">
        <v>14</v>
      </c>
      <c r="L120" s="29" t="s">
        <v>571</v>
      </c>
      <c r="M120" s="29" t="s">
        <v>776</v>
      </c>
      <c r="N120" s="29" t="s">
        <v>711</v>
      </c>
      <c r="O120" s="28"/>
      <c r="P120" s="28"/>
      <c r="Q120" s="28" t="s">
        <v>76</v>
      </c>
      <c r="R120" s="29"/>
      <c r="S120" s="28"/>
      <c r="T120" s="28"/>
      <c r="U120" s="28" t="s">
        <v>75</v>
      </c>
      <c r="V120" s="28" t="s">
        <v>75</v>
      </c>
      <c r="W120" s="28"/>
    </row>
    <row r="121" spans="1:23" s="12" customFormat="1" hidden="1">
      <c r="A121" s="46" t="s">
        <v>572</v>
      </c>
      <c r="B121" s="28" t="s">
        <v>1331</v>
      </c>
      <c r="C121" s="28" t="s">
        <v>88</v>
      </c>
      <c r="D121" s="28" t="s">
        <v>355</v>
      </c>
      <c r="E121" s="28" t="s">
        <v>356</v>
      </c>
      <c r="F121" s="28" t="s">
        <v>562</v>
      </c>
      <c r="G121" s="28" t="s">
        <v>562</v>
      </c>
      <c r="H121" s="28" t="s">
        <v>357</v>
      </c>
      <c r="I121" s="28" t="str">
        <f>VLOOKUP(F121,표준용어사전!$B:$D,3,FALSE)</f>
        <v>연월C6</v>
      </c>
      <c r="J121" s="28" t="s">
        <v>570</v>
      </c>
      <c r="K121" s="27">
        <v>6</v>
      </c>
      <c r="L121" s="29" t="s">
        <v>571</v>
      </c>
      <c r="M121" s="29" t="s">
        <v>733</v>
      </c>
      <c r="N121" s="29" t="s">
        <v>711</v>
      </c>
      <c r="O121" s="28" t="s">
        <v>641</v>
      </c>
      <c r="P121" s="28"/>
      <c r="Q121" s="28" t="s">
        <v>76</v>
      </c>
      <c r="R121" s="29"/>
      <c r="S121" s="28"/>
      <c r="T121" s="28" t="s">
        <v>577</v>
      </c>
      <c r="U121" s="28" t="s">
        <v>75</v>
      </c>
      <c r="V121" s="28" t="s">
        <v>75</v>
      </c>
      <c r="W121" s="28"/>
    </row>
    <row r="122" spans="1:23" s="12" customFormat="1" hidden="1">
      <c r="A122" s="46" t="s">
        <v>572</v>
      </c>
      <c r="B122" s="28" t="s">
        <v>1331</v>
      </c>
      <c r="C122" s="28" t="s">
        <v>88</v>
      </c>
      <c r="D122" s="28" t="s">
        <v>355</v>
      </c>
      <c r="E122" s="28" t="s">
        <v>1538</v>
      </c>
      <c r="F122" s="28" t="s">
        <v>511</v>
      </c>
      <c r="G122" s="28" t="s">
        <v>511</v>
      </c>
      <c r="H122" s="28" t="s">
        <v>357</v>
      </c>
      <c r="I122" s="28" t="str">
        <f>VLOOKUP(F122,표준용어사전!$B:$D,3,FALSE)</f>
        <v>코드V50</v>
      </c>
      <c r="J122" s="28" t="s">
        <v>570</v>
      </c>
      <c r="K122" s="27">
        <v>50</v>
      </c>
      <c r="L122" s="29" t="s">
        <v>571</v>
      </c>
      <c r="M122" s="29" t="s">
        <v>725</v>
      </c>
      <c r="N122" s="29" t="s">
        <v>711</v>
      </c>
      <c r="O122" s="28" t="s">
        <v>573</v>
      </c>
      <c r="P122" s="28"/>
      <c r="Q122" s="28" t="s">
        <v>76</v>
      </c>
      <c r="R122" s="29"/>
      <c r="S122" s="28"/>
      <c r="T122" s="28" t="s">
        <v>76</v>
      </c>
      <c r="U122" s="28" t="s">
        <v>75</v>
      </c>
      <c r="V122" s="28" t="s">
        <v>75</v>
      </c>
      <c r="W122" s="28"/>
    </row>
    <row r="123" spans="1:23" s="12" customFormat="1" hidden="1">
      <c r="A123" s="46" t="s">
        <v>572</v>
      </c>
      <c r="B123" s="28" t="s">
        <v>1331</v>
      </c>
      <c r="C123" s="28" t="s">
        <v>88</v>
      </c>
      <c r="D123" s="28" t="s">
        <v>355</v>
      </c>
      <c r="E123" s="28" t="s">
        <v>358</v>
      </c>
      <c r="F123" s="28" t="s">
        <v>563</v>
      </c>
      <c r="G123" s="28" t="s">
        <v>563</v>
      </c>
      <c r="H123" s="28" t="s">
        <v>357</v>
      </c>
      <c r="I123" s="28" t="str">
        <f>VLOOKUP(F123,표준용어사전!$B:$D,3,FALSE)</f>
        <v>수N10</v>
      </c>
      <c r="J123" s="28" t="s">
        <v>63</v>
      </c>
      <c r="K123" s="27">
        <v>10</v>
      </c>
      <c r="L123" s="29" t="s">
        <v>571</v>
      </c>
      <c r="M123" s="29">
        <v>9999999999</v>
      </c>
      <c r="N123" s="29" t="s">
        <v>75</v>
      </c>
      <c r="O123" s="28"/>
      <c r="P123" s="28"/>
      <c r="Q123" s="28" t="s">
        <v>76</v>
      </c>
      <c r="R123" s="29"/>
      <c r="S123" s="28"/>
      <c r="T123" s="28" t="s">
        <v>76</v>
      </c>
      <c r="U123" s="28" t="s">
        <v>75</v>
      </c>
      <c r="V123" s="28" t="s">
        <v>75</v>
      </c>
      <c r="W123" s="28"/>
    </row>
    <row r="124" spans="1:23" s="12" customFormat="1" hidden="1">
      <c r="A124" s="46" t="s">
        <v>572</v>
      </c>
      <c r="B124" s="28" t="s">
        <v>1331</v>
      </c>
      <c r="C124" s="28" t="s">
        <v>88</v>
      </c>
      <c r="D124" s="28" t="s">
        <v>355</v>
      </c>
      <c r="E124" s="28" t="s">
        <v>1834</v>
      </c>
      <c r="F124" s="28" t="s">
        <v>1833</v>
      </c>
      <c r="G124" s="28" t="s">
        <v>1833</v>
      </c>
      <c r="H124" s="28" t="s">
        <v>357</v>
      </c>
      <c r="I124" s="48" t="str">
        <f>VLOOKUP(F124,표준용어사전!$B:$D,3,FALSE)</f>
        <v>시분초N10</v>
      </c>
      <c r="J124" s="48" t="s">
        <v>63</v>
      </c>
      <c r="K124" s="49">
        <v>10</v>
      </c>
      <c r="L124" s="50" t="s">
        <v>571</v>
      </c>
      <c r="M124" s="50">
        <v>9999999999</v>
      </c>
      <c r="N124" s="29" t="s">
        <v>75</v>
      </c>
      <c r="O124" s="48"/>
      <c r="P124" s="28"/>
      <c r="Q124" s="28" t="s">
        <v>76</v>
      </c>
      <c r="R124" s="29"/>
      <c r="S124" s="28"/>
      <c r="T124" s="28" t="s">
        <v>76</v>
      </c>
      <c r="U124" s="28" t="s">
        <v>75</v>
      </c>
      <c r="V124" s="28" t="s">
        <v>75</v>
      </c>
      <c r="W124" s="28"/>
    </row>
    <row r="125" spans="1:23" s="12" customFormat="1" hidden="1">
      <c r="A125" s="46" t="s">
        <v>572</v>
      </c>
      <c r="B125" s="28" t="s">
        <v>1331</v>
      </c>
      <c r="C125" s="28" t="s">
        <v>88</v>
      </c>
      <c r="D125" s="28" t="s">
        <v>355</v>
      </c>
      <c r="E125" s="28" t="s">
        <v>1233</v>
      </c>
      <c r="F125" s="28" t="s">
        <v>1826</v>
      </c>
      <c r="G125" s="28" t="s">
        <v>1826</v>
      </c>
      <c r="H125" s="28" t="s">
        <v>357</v>
      </c>
      <c r="I125" s="48" t="e">
        <f>VLOOKUP(F125,표준용어사전!$B:$D,3,FALSE)</f>
        <v>#N/A</v>
      </c>
      <c r="J125" s="28" t="s">
        <v>570</v>
      </c>
      <c r="K125" s="52" t="s">
        <v>1002</v>
      </c>
      <c r="L125" s="50" t="s">
        <v>571</v>
      </c>
      <c r="M125" s="29" t="s">
        <v>725</v>
      </c>
      <c r="N125" s="50" t="s">
        <v>973</v>
      </c>
      <c r="O125" s="48" t="s">
        <v>754</v>
      </c>
      <c r="P125" s="28"/>
      <c r="Q125" s="28" t="s">
        <v>76</v>
      </c>
      <c r="R125" s="29"/>
      <c r="S125" s="28"/>
      <c r="T125" s="28" t="s">
        <v>76</v>
      </c>
      <c r="U125" s="28" t="s">
        <v>75</v>
      </c>
      <c r="V125" s="28" t="s">
        <v>75</v>
      </c>
      <c r="W125" s="28"/>
    </row>
    <row r="126" spans="1:23" s="12" customFormat="1" hidden="1">
      <c r="A126" s="46" t="s">
        <v>572</v>
      </c>
      <c r="B126" s="28" t="s">
        <v>1333</v>
      </c>
      <c r="C126" s="28" t="s">
        <v>88</v>
      </c>
      <c r="D126" s="28" t="s">
        <v>660</v>
      </c>
      <c r="E126" s="28" t="s">
        <v>828</v>
      </c>
      <c r="F126" s="28" t="s">
        <v>716</v>
      </c>
      <c r="G126" s="28" t="s">
        <v>716</v>
      </c>
      <c r="H126" s="28" t="s">
        <v>693</v>
      </c>
      <c r="I126" s="28" t="str">
        <f>VLOOKUP(F126,표준용어사전!$B:$D,3,FALSE)</f>
        <v>번호I</v>
      </c>
      <c r="J126" s="28" t="s">
        <v>717</v>
      </c>
      <c r="K126" s="27" t="s">
        <v>571</v>
      </c>
      <c r="L126" s="29" t="s">
        <v>571</v>
      </c>
      <c r="M126" s="29"/>
      <c r="N126" s="29" t="s">
        <v>711</v>
      </c>
      <c r="O126" s="28" t="s">
        <v>641</v>
      </c>
      <c r="P126" s="28"/>
      <c r="Q126" s="28" t="s">
        <v>76</v>
      </c>
      <c r="R126" s="29"/>
      <c r="S126" s="28"/>
      <c r="T126" s="28"/>
      <c r="U126" s="28" t="s">
        <v>75</v>
      </c>
      <c r="V126" s="28" t="s">
        <v>75</v>
      </c>
      <c r="W126" s="28"/>
    </row>
    <row r="127" spans="1:23" s="12" customFormat="1" hidden="1">
      <c r="A127" s="46" t="s">
        <v>572</v>
      </c>
      <c r="B127" s="28" t="s">
        <v>1333</v>
      </c>
      <c r="C127" s="28" t="s">
        <v>88</v>
      </c>
      <c r="D127" s="28" t="s">
        <v>660</v>
      </c>
      <c r="E127" s="28" t="s">
        <v>246</v>
      </c>
      <c r="F127" s="28" t="s">
        <v>17</v>
      </c>
      <c r="G127" s="28" t="s">
        <v>17</v>
      </c>
      <c r="H127" s="28" t="s">
        <v>693</v>
      </c>
      <c r="I127" s="28" t="str">
        <f>VLOOKUP(F127,표준용어사전!$B:$D,3,FALSE)</f>
        <v>명V20</v>
      </c>
      <c r="J127" s="28" t="s">
        <v>718</v>
      </c>
      <c r="K127" s="27">
        <v>20</v>
      </c>
      <c r="L127" s="29" t="s">
        <v>571</v>
      </c>
      <c r="M127" s="29" t="s">
        <v>727</v>
      </c>
      <c r="N127" s="29" t="s">
        <v>711</v>
      </c>
      <c r="O127" s="28"/>
      <c r="P127" s="28"/>
      <c r="Q127" s="28" t="s">
        <v>76</v>
      </c>
      <c r="R127" s="29"/>
      <c r="S127" s="28"/>
      <c r="T127" s="28"/>
      <c r="U127" s="28" t="s">
        <v>75</v>
      </c>
      <c r="V127" s="28" t="s">
        <v>75</v>
      </c>
      <c r="W127" s="28"/>
    </row>
    <row r="128" spans="1:23" s="12" customFormat="1" hidden="1">
      <c r="A128" s="46" t="s">
        <v>572</v>
      </c>
      <c r="B128" s="28" t="s">
        <v>1333</v>
      </c>
      <c r="C128" s="28" t="s">
        <v>88</v>
      </c>
      <c r="D128" s="28" t="s">
        <v>660</v>
      </c>
      <c r="E128" s="28" t="s">
        <v>89</v>
      </c>
      <c r="F128" s="28" t="s">
        <v>501</v>
      </c>
      <c r="G128" s="28" t="s">
        <v>501</v>
      </c>
      <c r="H128" s="28" t="s">
        <v>693</v>
      </c>
      <c r="I128" s="28" t="str">
        <f>VLOOKUP(F128,표준용어사전!$B:$D,3,FALSE)</f>
        <v>명V20</v>
      </c>
      <c r="J128" s="28" t="s">
        <v>718</v>
      </c>
      <c r="K128" s="27">
        <v>50</v>
      </c>
      <c r="L128" s="29" t="s">
        <v>571</v>
      </c>
      <c r="M128" s="29" t="s">
        <v>720</v>
      </c>
      <c r="N128" s="29" t="s">
        <v>711</v>
      </c>
      <c r="O128" s="28"/>
      <c r="P128" s="28"/>
      <c r="Q128" s="28" t="s">
        <v>1844</v>
      </c>
      <c r="R128" s="29">
        <v>2</v>
      </c>
      <c r="S128" s="28"/>
      <c r="T128" s="28"/>
      <c r="U128" s="28" t="s">
        <v>75</v>
      </c>
      <c r="V128" s="28" t="s">
        <v>75</v>
      </c>
      <c r="W128" s="28"/>
    </row>
    <row r="129" spans="1:23" s="12" customFormat="1" hidden="1">
      <c r="A129" s="46" t="s">
        <v>572</v>
      </c>
      <c r="B129" s="28" t="s">
        <v>1333</v>
      </c>
      <c r="C129" s="28" t="s">
        <v>88</v>
      </c>
      <c r="D129" s="28" t="s">
        <v>660</v>
      </c>
      <c r="E129" s="28" t="s">
        <v>240</v>
      </c>
      <c r="F129" s="28" t="s">
        <v>477</v>
      </c>
      <c r="G129" s="28" t="s">
        <v>477</v>
      </c>
      <c r="H129" s="28" t="s">
        <v>693</v>
      </c>
      <c r="I129" s="28" t="str">
        <f>VLOOKUP(F129,표준용어사전!$B:$D,3,FALSE)</f>
        <v>명V512</v>
      </c>
      <c r="J129" s="28" t="s">
        <v>718</v>
      </c>
      <c r="K129" s="27">
        <v>512</v>
      </c>
      <c r="L129" s="29" t="s">
        <v>571</v>
      </c>
      <c r="M129" s="29" t="s">
        <v>721</v>
      </c>
      <c r="N129" s="29" t="s">
        <v>75</v>
      </c>
      <c r="O129" s="28"/>
      <c r="P129" s="28"/>
      <c r="Q129" s="28" t="s">
        <v>76</v>
      </c>
      <c r="R129" s="29"/>
      <c r="S129" s="28"/>
      <c r="T129" s="28"/>
      <c r="U129" s="28" t="s">
        <v>75</v>
      </c>
      <c r="V129" s="28" t="s">
        <v>75</v>
      </c>
      <c r="W129" s="28"/>
    </row>
    <row r="130" spans="1:23" s="12" customFormat="1" hidden="1">
      <c r="A130" s="46" t="s">
        <v>572</v>
      </c>
      <c r="B130" s="28" t="s">
        <v>1333</v>
      </c>
      <c r="C130" s="28" t="s">
        <v>88</v>
      </c>
      <c r="D130" s="28" t="s">
        <v>660</v>
      </c>
      <c r="E130" s="28" t="s">
        <v>268</v>
      </c>
      <c r="F130" s="28" t="s">
        <v>500</v>
      </c>
      <c r="G130" s="28" t="s">
        <v>763</v>
      </c>
      <c r="H130" s="28" t="s">
        <v>693</v>
      </c>
      <c r="I130" s="28" t="str">
        <f>VLOOKUP(F130,표준용어사전!$B:$D,3,FALSE)</f>
        <v>코드C1</v>
      </c>
      <c r="J130" s="28" t="s">
        <v>709</v>
      </c>
      <c r="K130" s="27">
        <v>1</v>
      </c>
      <c r="L130" s="29" t="s">
        <v>571</v>
      </c>
      <c r="M130" s="29" t="s">
        <v>722</v>
      </c>
      <c r="N130" s="29" t="s">
        <v>75</v>
      </c>
      <c r="O130" s="28"/>
      <c r="P130" s="28"/>
      <c r="Q130" s="28" t="s">
        <v>723</v>
      </c>
      <c r="R130" s="29">
        <v>1</v>
      </c>
      <c r="S130" s="28"/>
      <c r="T130" s="28"/>
      <c r="U130" s="28" t="s">
        <v>75</v>
      </c>
      <c r="V130" s="28" t="s">
        <v>75</v>
      </c>
      <c r="W130" s="28"/>
    </row>
    <row r="131" spans="1:23" s="12" customFormat="1" hidden="1">
      <c r="A131" s="46" t="s">
        <v>572</v>
      </c>
      <c r="B131" s="28" t="s">
        <v>1333</v>
      </c>
      <c r="C131" s="28" t="s">
        <v>88</v>
      </c>
      <c r="D131" s="28" t="s">
        <v>660</v>
      </c>
      <c r="E131" s="28" t="s">
        <v>252</v>
      </c>
      <c r="F131" s="28" t="s">
        <v>77</v>
      </c>
      <c r="G131" s="28" t="s">
        <v>77</v>
      </c>
      <c r="H131" s="28" t="s">
        <v>693</v>
      </c>
      <c r="I131" s="28" t="str">
        <f>VLOOKUP(F131,표준용어사전!$B:$D,3,FALSE)</f>
        <v>내용TXT</v>
      </c>
      <c r="J131" s="28" t="s">
        <v>713</v>
      </c>
      <c r="K131" s="41" t="s">
        <v>927</v>
      </c>
      <c r="L131" s="29" t="s">
        <v>571</v>
      </c>
      <c r="M131" s="29"/>
      <c r="N131" s="29" t="s">
        <v>75</v>
      </c>
      <c r="O131" s="28"/>
      <c r="P131" s="28"/>
      <c r="Q131" s="28" t="s">
        <v>76</v>
      </c>
      <c r="R131" s="29"/>
      <c r="S131" s="28"/>
      <c r="T131" s="28"/>
      <c r="U131" s="28" t="s">
        <v>75</v>
      </c>
      <c r="V131" s="28" t="s">
        <v>75</v>
      </c>
      <c r="W131" s="28"/>
    </row>
    <row r="132" spans="1:23" s="12" customFormat="1" hidden="1">
      <c r="A132" s="46" t="s">
        <v>572</v>
      </c>
      <c r="B132" s="28" t="s">
        <v>1333</v>
      </c>
      <c r="C132" s="28" t="s">
        <v>88</v>
      </c>
      <c r="D132" s="28" t="s">
        <v>660</v>
      </c>
      <c r="E132" s="28" t="s">
        <v>90</v>
      </c>
      <c r="F132" s="28" t="s">
        <v>14</v>
      </c>
      <c r="G132" s="28" t="s">
        <v>14</v>
      </c>
      <c r="H132" s="28" t="s">
        <v>693</v>
      </c>
      <c r="I132" s="28" t="str">
        <f>VLOOKUP(F132,표준용어사전!$B:$D,3,FALSE)</f>
        <v>연월일시분초TS</v>
      </c>
      <c r="J132" s="28" t="s">
        <v>16</v>
      </c>
      <c r="K132" s="27" t="s">
        <v>571</v>
      </c>
      <c r="L132" s="29" t="s">
        <v>571</v>
      </c>
      <c r="M132" s="29" t="s">
        <v>726</v>
      </c>
      <c r="N132" s="29" t="s">
        <v>711</v>
      </c>
      <c r="O132" s="28"/>
      <c r="P132" s="28"/>
      <c r="Q132" s="28" t="s">
        <v>76</v>
      </c>
      <c r="R132" s="29"/>
      <c r="S132" s="28"/>
      <c r="T132" s="28" t="s">
        <v>574</v>
      </c>
      <c r="U132" s="28" t="s">
        <v>75</v>
      </c>
      <c r="V132" s="28" t="s">
        <v>75</v>
      </c>
      <c r="W132" s="28"/>
    </row>
    <row r="133" spans="1:23" s="12" customFormat="1" hidden="1">
      <c r="A133" s="46" t="s">
        <v>572</v>
      </c>
      <c r="B133" s="28" t="s">
        <v>1333</v>
      </c>
      <c r="C133" s="28" t="s">
        <v>88</v>
      </c>
      <c r="D133" s="28" t="s">
        <v>660</v>
      </c>
      <c r="E133" s="28" t="s">
        <v>91</v>
      </c>
      <c r="F133" s="28" t="s">
        <v>369</v>
      </c>
      <c r="G133" s="28" t="s">
        <v>369</v>
      </c>
      <c r="H133" s="28" t="s">
        <v>693</v>
      </c>
      <c r="I133" s="28" t="str">
        <f>VLOOKUP(F133,표준용어사전!$B:$D,3,FALSE)</f>
        <v>명V20</v>
      </c>
      <c r="J133" s="28" t="s">
        <v>78</v>
      </c>
      <c r="K133" s="27">
        <v>20</v>
      </c>
      <c r="L133" s="29" t="s">
        <v>571</v>
      </c>
      <c r="M133" s="29" t="s">
        <v>727</v>
      </c>
      <c r="N133" s="29" t="s">
        <v>75</v>
      </c>
      <c r="O133" s="28"/>
      <c r="P133" s="28"/>
      <c r="Q133" s="28" t="s">
        <v>76</v>
      </c>
      <c r="R133" s="29"/>
      <c r="S133" s="28"/>
      <c r="T133" s="28" t="s">
        <v>571</v>
      </c>
      <c r="U133" s="28" t="s">
        <v>75</v>
      </c>
      <c r="V133" s="28" t="s">
        <v>75</v>
      </c>
      <c r="W133" s="28"/>
    </row>
    <row r="134" spans="1:23" s="12" customFormat="1" hidden="1">
      <c r="A134" s="46" t="s">
        <v>572</v>
      </c>
      <c r="B134" s="28" t="s">
        <v>1333</v>
      </c>
      <c r="C134" s="28" t="s">
        <v>88</v>
      </c>
      <c r="D134" s="28" t="s">
        <v>660</v>
      </c>
      <c r="E134" s="28" t="s">
        <v>92</v>
      </c>
      <c r="F134" s="28" t="s">
        <v>15</v>
      </c>
      <c r="G134" s="28" t="s">
        <v>15</v>
      </c>
      <c r="H134" s="28" t="s">
        <v>693</v>
      </c>
      <c r="I134" s="28" t="str">
        <f>VLOOKUP(F134,표준용어사전!$B:$D,3,FALSE)</f>
        <v>연월일시분초TS</v>
      </c>
      <c r="J134" s="28" t="s">
        <v>16</v>
      </c>
      <c r="K134" s="27" t="s">
        <v>571</v>
      </c>
      <c r="L134" s="29" t="s">
        <v>571</v>
      </c>
      <c r="M134" s="29" t="s">
        <v>726</v>
      </c>
      <c r="N134" s="29" t="s">
        <v>75</v>
      </c>
      <c r="O134" s="28"/>
      <c r="P134" s="28"/>
      <c r="Q134" s="28" t="s">
        <v>76</v>
      </c>
      <c r="R134" s="29"/>
      <c r="S134" s="28"/>
      <c r="T134" s="28" t="s">
        <v>574</v>
      </c>
      <c r="U134" s="28" t="s">
        <v>75</v>
      </c>
      <c r="V134" s="28" t="s">
        <v>75</v>
      </c>
      <c r="W134" s="28"/>
    </row>
    <row r="135" spans="1:23" s="12" customFormat="1" hidden="1">
      <c r="A135" s="46" t="s">
        <v>572</v>
      </c>
      <c r="B135" s="28" t="s">
        <v>1333</v>
      </c>
      <c r="C135" s="28" t="s">
        <v>88</v>
      </c>
      <c r="D135" s="28" t="s">
        <v>660</v>
      </c>
      <c r="E135" s="28" t="s">
        <v>93</v>
      </c>
      <c r="F135" s="28" t="s">
        <v>370</v>
      </c>
      <c r="G135" s="28" t="s">
        <v>370</v>
      </c>
      <c r="H135" s="28" t="s">
        <v>693</v>
      </c>
      <c r="I135" s="28" t="str">
        <f>VLOOKUP(F135,표준용어사전!$B:$D,3,FALSE)</f>
        <v>명V20</v>
      </c>
      <c r="J135" s="28" t="s">
        <v>78</v>
      </c>
      <c r="K135" s="27">
        <v>20</v>
      </c>
      <c r="L135" s="29" t="s">
        <v>571</v>
      </c>
      <c r="M135" s="29" t="s">
        <v>727</v>
      </c>
      <c r="N135" s="29" t="s">
        <v>75</v>
      </c>
      <c r="O135" s="28"/>
      <c r="P135" s="28"/>
      <c r="Q135" s="28" t="s">
        <v>76</v>
      </c>
      <c r="R135" s="29"/>
      <c r="S135" s="28"/>
      <c r="T135" s="28" t="s">
        <v>571</v>
      </c>
      <c r="U135" s="28" t="s">
        <v>75</v>
      </c>
      <c r="V135" s="28" t="s">
        <v>75</v>
      </c>
      <c r="W135" s="28"/>
    </row>
    <row r="136" spans="1:23" s="12" customFormat="1" hidden="1">
      <c r="A136" s="46" t="s">
        <v>572</v>
      </c>
      <c r="B136" s="28" t="s">
        <v>1333</v>
      </c>
      <c r="C136" s="28" t="s">
        <v>88</v>
      </c>
      <c r="D136" s="28" t="s">
        <v>661</v>
      </c>
      <c r="E136" s="28" t="s">
        <v>217</v>
      </c>
      <c r="F136" s="28" t="s">
        <v>459</v>
      </c>
      <c r="G136" s="28" t="s">
        <v>459</v>
      </c>
      <c r="H136" s="28" t="s">
        <v>227</v>
      </c>
      <c r="I136" s="28" t="str">
        <f>VLOOKUP(F136,표준용어사전!$B:$D,3,FALSE)</f>
        <v>명V20</v>
      </c>
      <c r="J136" s="28" t="s">
        <v>78</v>
      </c>
      <c r="K136" s="27">
        <v>50</v>
      </c>
      <c r="L136" s="29" t="s">
        <v>571</v>
      </c>
      <c r="M136" s="29" t="s">
        <v>720</v>
      </c>
      <c r="N136" s="29" t="s">
        <v>711</v>
      </c>
      <c r="O136" s="28" t="s">
        <v>73</v>
      </c>
      <c r="P136" s="28"/>
      <c r="Q136" s="28" t="s">
        <v>76</v>
      </c>
      <c r="R136" s="29"/>
      <c r="S136" s="28"/>
      <c r="T136" s="28" t="s">
        <v>76</v>
      </c>
      <c r="U136" s="28" t="s">
        <v>75</v>
      </c>
      <c r="V136" s="28" t="s">
        <v>75</v>
      </c>
      <c r="W136" s="28"/>
    </row>
    <row r="137" spans="1:23" s="12" customFormat="1" hidden="1">
      <c r="A137" s="46" t="s">
        <v>572</v>
      </c>
      <c r="B137" s="28" t="s">
        <v>1333</v>
      </c>
      <c r="C137" s="28" t="s">
        <v>88</v>
      </c>
      <c r="D137" s="28" t="s">
        <v>661</v>
      </c>
      <c r="E137" s="28" t="s">
        <v>228</v>
      </c>
      <c r="F137" s="28" t="s">
        <v>466</v>
      </c>
      <c r="G137" s="28" t="s">
        <v>466</v>
      </c>
      <c r="H137" s="28" t="s">
        <v>227</v>
      </c>
      <c r="I137" s="28" t="str">
        <f>VLOOKUP(F137,표준용어사전!$B:$D,3,FALSE)</f>
        <v>명V20</v>
      </c>
      <c r="J137" s="28" t="s">
        <v>78</v>
      </c>
      <c r="K137" s="27">
        <v>20</v>
      </c>
      <c r="L137" s="29" t="s">
        <v>571</v>
      </c>
      <c r="M137" s="29" t="s">
        <v>727</v>
      </c>
      <c r="N137" s="29" t="s">
        <v>75</v>
      </c>
      <c r="O137" s="28"/>
      <c r="P137" s="28"/>
      <c r="Q137" s="28" t="s">
        <v>76</v>
      </c>
      <c r="R137" s="29"/>
      <c r="S137" s="28"/>
      <c r="T137" s="28" t="s">
        <v>76</v>
      </c>
      <c r="U137" s="28" t="s">
        <v>75</v>
      </c>
      <c r="V137" s="28" t="s">
        <v>75</v>
      </c>
      <c r="W137" s="28"/>
    </row>
    <row r="138" spans="1:23" s="12" customFormat="1" hidden="1">
      <c r="A138" s="46" t="s">
        <v>572</v>
      </c>
      <c r="B138" s="28" t="s">
        <v>1333</v>
      </c>
      <c r="C138" s="28" t="s">
        <v>88</v>
      </c>
      <c r="D138" s="28" t="s">
        <v>661</v>
      </c>
      <c r="E138" s="28" t="s">
        <v>229</v>
      </c>
      <c r="F138" s="28" t="s">
        <v>467</v>
      </c>
      <c r="G138" s="28" t="s">
        <v>467</v>
      </c>
      <c r="H138" s="28" t="s">
        <v>227</v>
      </c>
      <c r="I138" s="28" t="str">
        <f>VLOOKUP(F138,표준용어사전!$B:$D,3,FALSE)</f>
        <v>명TXT</v>
      </c>
      <c r="J138" s="28" t="s">
        <v>713</v>
      </c>
      <c r="K138" s="27" t="s">
        <v>571</v>
      </c>
      <c r="L138" s="29" t="s">
        <v>571</v>
      </c>
      <c r="M138" s="29"/>
      <c r="N138" s="29" t="s">
        <v>75</v>
      </c>
      <c r="O138" s="28"/>
      <c r="P138" s="28"/>
      <c r="Q138" s="28" t="s">
        <v>76</v>
      </c>
      <c r="R138" s="29"/>
      <c r="S138" s="28"/>
      <c r="T138" s="28" t="s">
        <v>76</v>
      </c>
      <c r="U138" s="28" t="s">
        <v>75</v>
      </c>
      <c r="V138" s="28" t="s">
        <v>75</v>
      </c>
      <c r="W138" s="28"/>
    </row>
    <row r="139" spans="1:23" s="12" customFormat="1" hidden="1">
      <c r="A139" s="46" t="s">
        <v>572</v>
      </c>
      <c r="B139" s="28" t="s">
        <v>1333</v>
      </c>
      <c r="C139" s="28" t="s">
        <v>88</v>
      </c>
      <c r="D139" s="28" t="s">
        <v>661</v>
      </c>
      <c r="E139" s="28" t="s">
        <v>230</v>
      </c>
      <c r="F139" s="28" t="s">
        <v>468</v>
      </c>
      <c r="G139" s="28" t="s">
        <v>468</v>
      </c>
      <c r="H139" s="28" t="s">
        <v>227</v>
      </c>
      <c r="I139" s="28" t="str">
        <f>VLOOKUP(F139,표준용어사전!$B:$D,3,FALSE)</f>
        <v>내용TXT</v>
      </c>
      <c r="J139" s="28" t="s">
        <v>713</v>
      </c>
      <c r="K139" s="27" t="s">
        <v>571</v>
      </c>
      <c r="L139" s="29" t="s">
        <v>571</v>
      </c>
      <c r="M139" s="29"/>
      <c r="N139" s="29" t="s">
        <v>75</v>
      </c>
      <c r="O139" s="28"/>
      <c r="P139" s="28"/>
      <c r="Q139" s="28" t="s">
        <v>76</v>
      </c>
      <c r="R139" s="29"/>
      <c r="S139" s="28"/>
      <c r="T139" s="28" t="s">
        <v>76</v>
      </c>
      <c r="U139" s="28" t="s">
        <v>75</v>
      </c>
      <c r="V139" s="28" t="s">
        <v>75</v>
      </c>
      <c r="W139" s="28"/>
    </row>
    <row r="140" spans="1:23" s="12" customFormat="1" hidden="1">
      <c r="A140" s="46" t="s">
        <v>572</v>
      </c>
      <c r="B140" s="28" t="s">
        <v>1333</v>
      </c>
      <c r="C140" s="28" t="s">
        <v>88</v>
      </c>
      <c r="D140" s="28" t="s">
        <v>661</v>
      </c>
      <c r="E140" s="28" t="s">
        <v>231</v>
      </c>
      <c r="F140" s="28" t="s">
        <v>469</v>
      </c>
      <c r="G140" s="28" t="s">
        <v>469</v>
      </c>
      <c r="H140" s="28" t="s">
        <v>227</v>
      </c>
      <c r="I140" s="28" t="str">
        <f>VLOOKUP(F140,표준용어사전!$B:$D,3,FALSE)</f>
        <v>내용TXT</v>
      </c>
      <c r="J140" s="28" t="s">
        <v>713</v>
      </c>
      <c r="K140" s="27" t="s">
        <v>571</v>
      </c>
      <c r="L140" s="29" t="s">
        <v>571</v>
      </c>
      <c r="M140" s="29"/>
      <c r="N140" s="29" t="s">
        <v>75</v>
      </c>
      <c r="O140" s="28"/>
      <c r="P140" s="28"/>
      <c r="Q140" s="28" t="s">
        <v>76</v>
      </c>
      <c r="R140" s="29"/>
      <c r="S140" s="28"/>
      <c r="T140" s="28" t="s">
        <v>76</v>
      </c>
      <c r="U140" s="28" t="s">
        <v>75</v>
      </c>
      <c r="V140" s="28" t="s">
        <v>75</v>
      </c>
      <c r="W140" s="28"/>
    </row>
    <row r="141" spans="1:23" s="12" customFormat="1" hidden="1">
      <c r="A141" s="46" t="s">
        <v>572</v>
      </c>
      <c r="B141" s="28" t="s">
        <v>1333</v>
      </c>
      <c r="C141" s="28" t="s">
        <v>88</v>
      </c>
      <c r="D141" s="28" t="s">
        <v>661</v>
      </c>
      <c r="E141" s="28" t="s">
        <v>232</v>
      </c>
      <c r="F141" s="28" t="s">
        <v>470</v>
      </c>
      <c r="G141" s="28" t="s">
        <v>470</v>
      </c>
      <c r="H141" s="28" t="s">
        <v>227</v>
      </c>
      <c r="I141" s="28" t="str">
        <f>VLOOKUP(F141,표준용어사전!$B:$D,3,FALSE)</f>
        <v>내용TXT</v>
      </c>
      <c r="J141" s="28" t="s">
        <v>713</v>
      </c>
      <c r="K141" s="27" t="s">
        <v>571</v>
      </c>
      <c r="L141" s="29" t="s">
        <v>571</v>
      </c>
      <c r="M141" s="29"/>
      <c r="N141" s="29" t="s">
        <v>75</v>
      </c>
      <c r="O141" s="28"/>
      <c r="P141" s="28"/>
      <c r="Q141" s="28" t="s">
        <v>76</v>
      </c>
      <c r="R141" s="29"/>
      <c r="S141" s="28"/>
      <c r="T141" s="28" t="s">
        <v>76</v>
      </c>
      <c r="U141" s="28" t="s">
        <v>75</v>
      </c>
      <c r="V141" s="28" t="s">
        <v>75</v>
      </c>
      <c r="W141" s="28"/>
    </row>
    <row r="142" spans="1:23" s="12" customFormat="1" hidden="1">
      <c r="A142" s="46" t="s">
        <v>572</v>
      </c>
      <c r="B142" s="28" t="s">
        <v>1333</v>
      </c>
      <c r="C142" s="28" t="s">
        <v>88</v>
      </c>
      <c r="D142" s="28" t="s">
        <v>661</v>
      </c>
      <c r="E142" s="28" t="s">
        <v>233</v>
      </c>
      <c r="F142" s="28" t="s">
        <v>471</v>
      </c>
      <c r="G142" s="28" t="s">
        <v>471</v>
      </c>
      <c r="H142" s="28" t="s">
        <v>227</v>
      </c>
      <c r="I142" s="28" t="str">
        <f>VLOOKUP(F142,표준용어사전!$B:$D,3,FALSE)</f>
        <v>내용TXT</v>
      </c>
      <c r="J142" s="28" t="s">
        <v>713</v>
      </c>
      <c r="K142" s="27" t="s">
        <v>571</v>
      </c>
      <c r="L142" s="29" t="s">
        <v>571</v>
      </c>
      <c r="M142" s="29"/>
      <c r="N142" s="29" t="s">
        <v>75</v>
      </c>
      <c r="O142" s="28"/>
      <c r="P142" s="28"/>
      <c r="Q142" s="28" t="s">
        <v>76</v>
      </c>
      <c r="R142" s="29"/>
      <c r="S142" s="28"/>
      <c r="T142" s="28" t="s">
        <v>76</v>
      </c>
      <c r="U142" s="28" t="s">
        <v>75</v>
      </c>
      <c r="V142" s="28" t="s">
        <v>75</v>
      </c>
      <c r="W142" s="28"/>
    </row>
    <row r="143" spans="1:23" s="12" customFormat="1" hidden="1">
      <c r="A143" s="46" t="s">
        <v>572</v>
      </c>
      <c r="B143" s="28" t="s">
        <v>1333</v>
      </c>
      <c r="C143" s="28" t="s">
        <v>88</v>
      </c>
      <c r="D143" s="28" t="s">
        <v>661</v>
      </c>
      <c r="E143" s="28" t="s">
        <v>234</v>
      </c>
      <c r="F143" s="28" t="s">
        <v>472</v>
      </c>
      <c r="G143" s="28" t="s">
        <v>472</v>
      </c>
      <c r="H143" s="28" t="s">
        <v>227</v>
      </c>
      <c r="I143" s="28" t="str">
        <f>VLOOKUP(F143,표준용어사전!$B:$D,3,FALSE)</f>
        <v>연월일C8</v>
      </c>
      <c r="J143" s="28" t="s">
        <v>570</v>
      </c>
      <c r="K143" s="27">
        <v>8</v>
      </c>
      <c r="L143" s="29" t="s">
        <v>571</v>
      </c>
      <c r="M143" s="29" t="s">
        <v>731</v>
      </c>
      <c r="N143" s="29" t="s">
        <v>75</v>
      </c>
      <c r="O143" s="28"/>
      <c r="P143" s="28"/>
      <c r="Q143" s="28" t="s">
        <v>76</v>
      </c>
      <c r="R143" s="29"/>
      <c r="S143" s="28"/>
      <c r="T143" s="28" t="s">
        <v>575</v>
      </c>
      <c r="U143" s="28" t="s">
        <v>75</v>
      </c>
      <c r="V143" s="28" t="s">
        <v>75</v>
      </c>
      <c r="W143" s="28"/>
    </row>
    <row r="144" spans="1:23" s="12" customFormat="1" hidden="1">
      <c r="A144" s="46" t="s">
        <v>572</v>
      </c>
      <c r="B144" s="28" t="s">
        <v>1333</v>
      </c>
      <c r="C144" s="28" t="s">
        <v>88</v>
      </c>
      <c r="D144" s="28" t="s">
        <v>661</v>
      </c>
      <c r="E144" s="28" t="s">
        <v>235</v>
      </c>
      <c r="F144" s="28" t="s">
        <v>473</v>
      </c>
      <c r="G144" s="28" t="s">
        <v>473</v>
      </c>
      <c r="H144" s="28" t="s">
        <v>227</v>
      </c>
      <c r="I144" s="28" t="str">
        <f>VLOOKUP(F144,표준용어사전!$B:$D,3,FALSE)</f>
        <v>연월일C8</v>
      </c>
      <c r="J144" s="28" t="s">
        <v>570</v>
      </c>
      <c r="K144" s="27">
        <v>8</v>
      </c>
      <c r="L144" s="29" t="s">
        <v>571</v>
      </c>
      <c r="M144" s="29" t="s">
        <v>731</v>
      </c>
      <c r="N144" s="29" t="s">
        <v>75</v>
      </c>
      <c r="O144" s="28"/>
      <c r="P144" s="28"/>
      <c r="Q144" s="28" t="s">
        <v>76</v>
      </c>
      <c r="R144" s="29"/>
      <c r="S144" s="28"/>
      <c r="T144" s="28" t="s">
        <v>575</v>
      </c>
      <c r="U144" s="28" t="s">
        <v>75</v>
      </c>
      <c r="V144" s="28" t="s">
        <v>75</v>
      </c>
      <c r="W144" s="28"/>
    </row>
    <row r="145" spans="1:23" s="12" customFormat="1" hidden="1">
      <c r="A145" s="46" t="s">
        <v>572</v>
      </c>
      <c r="B145" s="28" t="s">
        <v>1333</v>
      </c>
      <c r="C145" s="28" t="s">
        <v>88</v>
      </c>
      <c r="D145" s="28" t="s">
        <v>661</v>
      </c>
      <c r="E145" s="28" t="s">
        <v>236</v>
      </c>
      <c r="F145" s="28" t="s">
        <v>474</v>
      </c>
      <c r="G145" s="28" t="s">
        <v>474</v>
      </c>
      <c r="H145" s="28" t="s">
        <v>227</v>
      </c>
      <c r="I145" s="28" t="str">
        <f>VLOOKUP(F145,표준용어사전!$B:$D,3,FALSE)</f>
        <v>연월일C8</v>
      </c>
      <c r="J145" s="28" t="s">
        <v>570</v>
      </c>
      <c r="K145" s="27">
        <v>8</v>
      </c>
      <c r="L145" s="29" t="s">
        <v>571</v>
      </c>
      <c r="M145" s="29" t="s">
        <v>731</v>
      </c>
      <c r="N145" s="29" t="s">
        <v>75</v>
      </c>
      <c r="O145" s="28"/>
      <c r="P145" s="28"/>
      <c r="Q145" s="28" t="s">
        <v>76</v>
      </c>
      <c r="R145" s="29"/>
      <c r="S145" s="28"/>
      <c r="T145" s="28" t="s">
        <v>575</v>
      </c>
      <c r="U145" s="28" t="s">
        <v>75</v>
      </c>
      <c r="V145" s="28" t="s">
        <v>75</v>
      </c>
      <c r="W145" s="28"/>
    </row>
    <row r="146" spans="1:23" s="12" customFormat="1" hidden="1">
      <c r="A146" s="46" t="s">
        <v>572</v>
      </c>
      <c r="B146" s="28" t="s">
        <v>1333</v>
      </c>
      <c r="C146" s="28" t="s">
        <v>88</v>
      </c>
      <c r="D146" s="28" t="s">
        <v>661</v>
      </c>
      <c r="E146" s="28" t="s">
        <v>237</v>
      </c>
      <c r="F146" s="28" t="s">
        <v>1592</v>
      </c>
      <c r="G146" s="28" t="s">
        <v>1592</v>
      </c>
      <c r="H146" s="28" t="s">
        <v>227</v>
      </c>
      <c r="I146" s="28" t="e">
        <f>VLOOKUP(F146,표준용어사전!$B:$D,3,FALSE)</f>
        <v>#N/A</v>
      </c>
      <c r="J146" s="28" t="s">
        <v>78</v>
      </c>
      <c r="K146" s="27">
        <v>2000</v>
      </c>
      <c r="L146" s="29" t="s">
        <v>571</v>
      </c>
      <c r="M146" s="29" t="s">
        <v>728</v>
      </c>
      <c r="N146" s="29" t="s">
        <v>75</v>
      </c>
      <c r="O146" s="28"/>
      <c r="P146" s="28"/>
      <c r="Q146" s="28" t="s">
        <v>76</v>
      </c>
      <c r="R146" s="29"/>
      <c r="S146" s="28"/>
      <c r="T146" s="28" t="s">
        <v>76</v>
      </c>
      <c r="U146" s="28" t="s">
        <v>75</v>
      </c>
      <c r="V146" s="28" t="s">
        <v>75</v>
      </c>
      <c r="W146" s="28"/>
    </row>
    <row r="147" spans="1:23" s="12" customFormat="1" hidden="1">
      <c r="A147" s="46" t="s">
        <v>572</v>
      </c>
      <c r="B147" s="28" t="s">
        <v>1333</v>
      </c>
      <c r="C147" s="28" t="s">
        <v>88</v>
      </c>
      <c r="D147" s="28" t="s">
        <v>661</v>
      </c>
      <c r="E147" s="28" t="s">
        <v>179</v>
      </c>
      <c r="F147" s="28" t="s">
        <v>433</v>
      </c>
      <c r="G147" s="28" t="s">
        <v>433</v>
      </c>
      <c r="H147" s="28" t="s">
        <v>227</v>
      </c>
      <c r="I147" s="28" t="e">
        <f>VLOOKUP(F147,표준용어사전!$B:$D,3,FALSE)</f>
        <v>#N/A</v>
      </c>
      <c r="J147" s="28" t="s">
        <v>78</v>
      </c>
      <c r="K147" s="27">
        <v>2000</v>
      </c>
      <c r="L147" s="29" t="s">
        <v>571</v>
      </c>
      <c r="M147" s="29" t="s">
        <v>728</v>
      </c>
      <c r="N147" s="29" t="s">
        <v>75</v>
      </c>
      <c r="O147" s="28"/>
      <c r="P147" s="28"/>
      <c r="Q147" s="28" t="s">
        <v>76</v>
      </c>
      <c r="R147" s="29"/>
      <c r="S147" s="28"/>
      <c r="T147" s="28" t="s">
        <v>76</v>
      </c>
      <c r="U147" s="28" t="s">
        <v>75</v>
      </c>
      <c r="V147" s="28" t="s">
        <v>75</v>
      </c>
      <c r="W147" s="28"/>
    </row>
    <row r="148" spans="1:23" s="12" customFormat="1" hidden="1">
      <c r="A148" s="46" t="s">
        <v>572</v>
      </c>
      <c r="B148" s="28" t="s">
        <v>1333</v>
      </c>
      <c r="C148" s="28" t="s">
        <v>88</v>
      </c>
      <c r="D148" s="28" t="s">
        <v>661</v>
      </c>
      <c r="E148" s="28" t="s">
        <v>238</v>
      </c>
      <c r="F148" s="28" t="s">
        <v>475</v>
      </c>
      <c r="G148" s="28" t="s">
        <v>475</v>
      </c>
      <c r="H148" s="28" t="s">
        <v>227</v>
      </c>
      <c r="I148" s="28" t="e">
        <f>VLOOKUP(F148,표준용어사전!$B:$D,3,FALSE)</f>
        <v>#N/A</v>
      </c>
      <c r="J148" s="28" t="s">
        <v>78</v>
      </c>
      <c r="K148" s="27">
        <v>2000</v>
      </c>
      <c r="L148" s="29" t="s">
        <v>571</v>
      </c>
      <c r="M148" s="29" t="s">
        <v>728</v>
      </c>
      <c r="N148" s="29" t="s">
        <v>75</v>
      </c>
      <c r="O148" s="28"/>
      <c r="P148" s="28"/>
      <c r="Q148" s="28" t="s">
        <v>76</v>
      </c>
      <c r="R148" s="29"/>
      <c r="S148" s="28"/>
      <c r="T148" s="28" t="s">
        <v>76</v>
      </c>
      <c r="U148" s="28" t="s">
        <v>75</v>
      </c>
      <c r="V148" s="28" t="s">
        <v>75</v>
      </c>
      <c r="W148" s="28"/>
    </row>
    <row r="149" spans="1:23" s="12" customFormat="1" hidden="1">
      <c r="A149" s="46" t="s">
        <v>572</v>
      </c>
      <c r="B149" s="28" t="s">
        <v>1333</v>
      </c>
      <c r="C149" s="28" t="s">
        <v>88</v>
      </c>
      <c r="D149" s="28" t="s">
        <v>661</v>
      </c>
      <c r="E149" s="28" t="s">
        <v>239</v>
      </c>
      <c r="F149" s="28" t="s">
        <v>476</v>
      </c>
      <c r="G149" s="28" t="s">
        <v>476</v>
      </c>
      <c r="H149" s="28" t="s">
        <v>227</v>
      </c>
      <c r="I149" s="28" t="str">
        <f>VLOOKUP(F149,표준용어사전!$B:$D,3,FALSE)</f>
        <v>여부C1</v>
      </c>
      <c r="J149" s="28" t="s">
        <v>570</v>
      </c>
      <c r="K149" s="27">
        <v>1</v>
      </c>
      <c r="L149" s="29" t="s">
        <v>571</v>
      </c>
      <c r="M149" s="29" t="s">
        <v>722</v>
      </c>
      <c r="N149" s="29" t="s">
        <v>75</v>
      </c>
      <c r="O149" s="28"/>
      <c r="P149" s="28"/>
      <c r="Q149" s="28" t="s">
        <v>76</v>
      </c>
      <c r="R149" s="29"/>
      <c r="S149" s="28"/>
      <c r="T149" s="28" t="s">
        <v>576</v>
      </c>
      <c r="U149" s="28" t="s">
        <v>75</v>
      </c>
      <c r="V149" s="28" t="s">
        <v>75</v>
      </c>
      <c r="W149" s="28"/>
    </row>
    <row r="150" spans="1:23" s="12" customFormat="1" hidden="1">
      <c r="A150" s="46" t="s">
        <v>572</v>
      </c>
      <c r="B150" s="28" t="s">
        <v>1333</v>
      </c>
      <c r="C150" s="28" t="s">
        <v>88</v>
      </c>
      <c r="D150" s="28" t="s">
        <v>661</v>
      </c>
      <c r="E150" s="28" t="s">
        <v>829</v>
      </c>
      <c r="F150" s="28" t="s">
        <v>724</v>
      </c>
      <c r="G150" s="28" t="s">
        <v>724</v>
      </c>
      <c r="H150" s="28" t="s">
        <v>227</v>
      </c>
      <c r="I150" s="28" t="str">
        <f>VLOOKUP(F150,표준용어사전!$B:$D,3,FALSE)</f>
        <v>여부C1</v>
      </c>
      <c r="J150" s="28" t="s">
        <v>570</v>
      </c>
      <c r="K150" s="27">
        <v>1</v>
      </c>
      <c r="L150" s="29" t="s">
        <v>571</v>
      </c>
      <c r="M150" s="29" t="s">
        <v>722</v>
      </c>
      <c r="N150" s="29" t="s">
        <v>75</v>
      </c>
      <c r="O150" s="28"/>
      <c r="P150" s="28"/>
      <c r="Q150" s="28" t="s">
        <v>76</v>
      </c>
      <c r="R150" s="29"/>
      <c r="S150" s="28"/>
      <c r="T150" s="28" t="s">
        <v>576</v>
      </c>
      <c r="U150" s="28" t="s">
        <v>75</v>
      </c>
      <c r="V150" s="28" t="s">
        <v>75</v>
      </c>
      <c r="W150" s="28"/>
    </row>
    <row r="151" spans="1:23" s="12" customFormat="1" hidden="1">
      <c r="A151" s="46" t="s">
        <v>572</v>
      </c>
      <c r="B151" s="28" t="s">
        <v>1333</v>
      </c>
      <c r="C151" s="28" t="s">
        <v>88</v>
      </c>
      <c r="D151" s="28" t="s">
        <v>661</v>
      </c>
      <c r="E151" s="28" t="s">
        <v>90</v>
      </c>
      <c r="F151" s="28" t="s">
        <v>14</v>
      </c>
      <c r="G151" s="28" t="s">
        <v>14</v>
      </c>
      <c r="H151" s="28" t="s">
        <v>227</v>
      </c>
      <c r="I151" s="28" t="str">
        <f>VLOOKUP(F151,표준용어사전!$B:$D,3,FALSE)</f>
        <v>연월일시분초TS</v>
      </c>
      <c r="J151" s="28" t="s">
        <v>16</v>
      </c>
      <c r="K151" s="27" t="s">
        <v>571</v>
      </c>
      <c r="L151" s="29" t="s">
        <v>571</v>
      </c>
      <c r="M151" s="29" t="s">
        <v>726</v>
      </c>
      <c r="N151" s="29" t="s">
        <v>711</v>
      </c>
      <c r="O151" s="28"/>
      <c r="P151" s="28"/>
      <c r="Q151" s="28" t="s">
        <v>76</v>
      </c>
      <c r="R151" s="29"/>
      <c r="S151" s="28"/>
      <c r="T151" s="28" t="s">
        <v>574</v>
      </c>
      <c r="U151" s="28" t="s">
        <v>75</v>
      </c>
      <c r="V151" s="28" t="s">
        <v>75</v>
      </c>
      <c r="W151" s="28"/>
    </row>
    <row r="152" spans="1:23" s="12" customFormat="1" hidden="1">
      <c r="A152" s="46" t="s">
        <v>572</v>
      </c>
      <c r="B152" s="28" t="s">
        <v>1333</v>
      </c>
      <c r="C152" s="28" t="s">
        <v>88</v>
      </c>
      <c r="D152" s="28" t="s">
        <v>661</v>
      </c>
      <c r="E152" s="28" t="s">
        <v>91</v>
      </c>
      <c r="F152" s="28" t="s">
        <v>369</v>
      </c>
      <c r="G152" s="28" t="s">
        <v>369</v>
      </c>
      <c r="H152" s="28" t="s">
        <v>227</v>
      </c>
      <c r="I152" s="28" t="str">
        <f>VLOOKUP(F152,표준용어사전!$B:$D,3,FALSE)</f>
        <v>명V20</v>
      </c>
      <c r="J152" s="28" t="s">
        <v>78</v>
      </c>
      <c r="K152" s="27">
        <v>20</v>
      </c>
      <c r="L152" s="29" t="s">
        <v>571</v>
      </c>
      <c r="M152" s="29" t="s">
        <v>727</v>
      </c>
      <c r="N152" s="29" t="s">
        <v>75</v>
      </c>
      <c r="O152" s="28"/>
      <c r="P152" s="28"/>
      <c r="Q152" s="28" t="s">
        <v>76</v>
      </c>
      <c r="R152" s="29"/>
      <c r="S152" s="28"/>
      <c r="T152" s="28" t="s">
        <v>76</v>
      </c>
      <c r="U152" s="28" t="s">
        <v>75</v>
      </c>
      <c r="V152" s="28" t="s">
        <v>75</v>
      </c>
      <c r="W152" s="28"/>
    </row>
    <row r="153" spans="1:23" s="12" customFormat="1" hidden="1">
      <c r="A153" s="46" t="s">
        <v>572</v>
      </c>
      <c r="B153" s="28" t="s">
        <v>1333</v>
      </c>
      <c r="C153" s="28" t="s">
        <v>88</v>
      </c>
      <c r="D153" s="28" t="s">
        <v>661</v>
      </c>
      <c r="E153" s="28" t="s">
        <v>92</v>
      </c>
      <c r="F153" s="28" t="s">
        <v>15</v>
      </c>
      <c r="G153" s="28" t="s">
        <v>15</v>
      </c>
      <c r="H153" s="28" t="s">
        <v>227</v>
      </c>
      <c r="I153" s="28" t="str">
        <f>VLOOKUP(F153,표준용어사전!$B:$D,3,FALSE)</f>
        <v>연월일시분초TS</v>
      </c>
      <c r="J153" s="28" t="s">
        <v>16</v>
      </c>
      <c r="K153" s="27" t="s">
        <v>571</v>
      </c>
      <c r="L153" s="29" t="s">
        <v>571</v>
      </c>
      <c r="M153" s="29" t="s">
        <v>726</v>
      </c>
      <c r="N153" s="29" t="s">
        <v>75</v>
      </c>
      <c r="O153" s="28"/>
      <c r="P153" s="28"/>
      <c r="Q153" s="28" t="s">
        <v>76</v>
      </c>
      <c r="R153" s="29"/>
      <c r="S153" s="28"/>
      <c r="T153" s="28" t="s">
        <v>574</v>
      </c>
      <c r="U153" s="28" t="s">
        <v>75</v>
      </c>
      <c r="V153" s="28" t="s">
        <v>75</v>
      </c>
      <c r="W153" s="28"/>
    </row>
    <row r="154" spans="1:23" s="12" customFormat="1" hidden="1">
      <c r="A154" s="46" t="s">
        <v>572</v>
      </c>
      <c r="B154" s="28" t="s">
        <v>1333</v>
      </c>
      <c r="C154" s="28" t="s">
        <v>88</v>
      </c>
      <c r="D154" s="28" t="s">
        <v>1359</v>
      </c>
      <c r="E154" s="28" t="s">
        <v>93</v>
      </c>
      <c r="F154" s="28" t="s">
        <v>370</v>
      </c>
      <c r="G154" s="28" t="s">
        <v>370</v>
      </c>
      <c r="H154" s="28" t="s">
        <v>227</v>
      </c>
      <c r="I154" s="28" t="str">
        <f>VLOOKUP(F154,표준용어사전!$B:$D,3,FALSE)</f>
        <v>명V20</v>
      </c>
      <c r="J154" s="28" t="s">
        <v>78</v>
      </c>
      <c r="K154" s="27">
        <v>20</v>
      </c>
      <c r="L154" s="29" t="s">
        <v>571</v>
      </c>
      <c r="M154" s="29" t="s">
        <v>727</v>
      </c>
      <c r="N154" s="29" t="s">
        <v>75</v>
      </c>
      <c r="O154" s="28"/>
      <c r="P154" s="28"/>
      <c r="Q154" s="28" t="s">
        <v>76</v>
      </c>
      <c r="R154" s="29"/>
      <c r="S154" s="28"/>
      <c r="T154" s="28" t="s">
        <v>76</v>
      </c>
      <c r="U154" s="28" t="s">
        <v>75</v>
      </c>
      <c r="V154" s="28" t="s">
        <v>75</v>
      </c>
      <c r="W154" s="28"/>
    </row>
    <row r="155" spans="1:23" s="12" customFormat="1" hidden="1">
      <c r="A155" s="46" t="s">
        <v>572</v>
      </c>
      <c r="B155" s="28" t="s">
        <v>1333</v>
      </c>
      <c r="C155" s="28" t="s">
        <v>88</v>
      </c>
      <c r="D155" s="28" t="s">
        <v>634</v>
      </c>
      <c r="E155" s="28" t="s">
        <v>217</v>
      </c>
      <c r="F155" s="28" t="s">
        <v>459</v>
      </c>
      <c r="G155" s="28" t="s">
        <v>459</v>
      </c>
      <c r="H155" s="28" t="s">
        <v>226</v>
      </c>
      <c r="I155" s="28" t="str">
        <f>VLOOKUP(F155,표준용어사전!$B:$D,3,FALSE)</f>
        <v>명V20</v>
      </c>
      <c r="J155" s="28" t="s">
        <v>78</v>
      </c>
      <c r="K155" s="27">
        <v>50</v>
      </c>
      <c r="L155" s="29" t="s">
        <v>571</v>
      </c>
      <c r="M155" s="29" t="s">
        <v>720</v>
      </c>
      <c r="N155" s="29" t="s">
        <v>711</v>
      </c>
      <c r="O155" s="28" t="s">
        <v>73</v>
      </c>
      <c r="P155" s="28"/>
      <c r="Q155" s="28" t="s">
        <v>76</v>
      </c>
      <c r="R155" s="29"/>
      <c r="S155" s="28"/>
      <c r="T155" s="28" t="s">
        <v>76</v>
      </c>
      <c r="U155" s="28" t="s">
        <v>75</v>
      </c>
      <c r="V155" s="28" t="s">
        <v>75</v>
      </c>
      <c r="W155" s="28"/>
    </row>
    <row r="156" spans="1:23" s="12" customFormat="1" hidden="1">
      <c r="A156" s="46" t="s">
        <v>572</v>
      </c>
      <c r="B156" s="28" t="s">
        <v>1333</v>
      </c>
      <c r="C156" s="28" t="s">
        <v>88</v>
      </c>
      <c r="D156" s="28" t="s">
        <v>634</v>
      </c>
      <c r="E156" s="28" t="s">
        <v>89</v>
      </c>
      <c r="F156" s="28" t="s">
        <v>501</v>
      </c>
      <c r="G156" s="28" t="s">
        <v>501</v>
      </c>
      <c r="H156" s="28" t="s">
        <v>226</v>
      </c>
      <c r="I156" s="28" t="str">
        <f>VLOOKUP(F156,표준용어사전!$B:$D,3,FALSE)</f>
        <v>명V20</v>
      </c>
      <c r="J156" s="28" t="s">
        <v>78</v>
      </c>
      <c r="K156" s="27">
        <v>50</v>
      </c>
      <c r="L156" s="29" t="s">
        <v>571</v>
      </c>
      <c r="M156" s="29" t="s">
        <v>720</v>
      </c>
      <c r="N156" s="29" t="s">
        <v>711</v>
      </c>
      <c r="O156" s="28" t="s">
        <v>74</v>
      </c>
      <c r="P156" s="28"/>
      <c r="Q156" s="28" t="s">
        <v>76</v>
      </c>
      <c r="R156" s="29"/>
      <c r="S156" s="28"/>
      <c r="T156" s="28" t="s">
        <v>76</v>
      </c>
      <c r="U156" s="28" t="s">
        <v>75</v>
      </c>
      <c r="V156" s="28" t="s">
        <v>75</v>
      </c>
      <c r="W156" s="28"/>
    </row>
    <row r="157" spans="1:23" s="12" customFormat="1" hidden="1">
      <c r="A157" s="46" t="s">
        <v>572</v>
      </c>
      <c r="B157" s="28" t="s">
        <v>1333</v>
      </c>
      <c r="C157" s="28" t="s">
        <v>88</v>
      </c>
      <c r="D157" s="28" t="s">
        <v>634</v>
      </c>
      <c r="E157" s="28" t="s">
        <v>90</v>
      </c>
      <c r="F157" s="28" t="s">
        <v>14</v>
      </c>
      <c r="G157" s="28" t="s">
        <v>14</v>
      </c>
      <c r="H157" s="28" t="s">
        <v>226</v>
      </c>
      <c r="I157" s="28" t="str">
        <f>VLOOKUP(F157,표준용어사전!$B:$D,3,FALSE)</f>
        <v>연월일시분초TS</v>
      </c>
      <c r="J157" s="28" t="s">
        <v>16</v>
      </c>
      <c r="K157" s="27" t="s">
        <v>571</v>
      </c>
      <c r="L157" s="29" t="s">
        <v>571</v>
      </c>
      <c r="M157" s="29" t="s">
        <v>726</v>
      </c>
      <c r="N157" s="29" t="s">
        <v>711</v>
      </c>
      <c r="O157" s="28"/>
      <c r="P157" s="28"/>
      <c r="Q157" s="28" t="s">
        <v>76</v>
      </c>
      <c r="R157" s="29"/>
      <c r="S157" s="28"/>
      <c r="T157" s="28" t="s">
        <v>574</v>
      </c>
      <c r="U157" s="28" t="s">
        <v>75</v>
      </c>
      <c r="V157" s="28" t="s">
        <v>75</v>
      </c>
      <c r="W157" s="28"/>
    </row>
    <row r="158" spans="1:23" s="12" customFormat="1" hidden="1">
      <c r="A158" s="46" t="s">
        <v>572</v>
      </c>
      <c r="B158" s="28" t="s">
        <v>1333</v>
      </c>
      <c r="C158" s="28" t="s">
        <v>88</v>
      </c>
      <c r="D158" s="28" t="s">
        <v>634</v>
      </c>
      <c r="E158" s="28" t="s">
        <v>91</v>
      </c>
      <c r="F158" s="28" t="s">
        <v>369</v>
      </c>
      <c r="G158" s="28" t="s">
        <v>369</v>
      </c>
      <c r="H158" s="28" t="s">
        <v>226</v>
      </c>
      <c r="I158" s="28" t="str">
        <f>VLOOKUP(F158,표준용어사전!$B:$D,3,FALSE)</f>
        <v>명V20</v>
      </c>
      <c r="J158" s="28" t="s">
        <v>78</v>
      </c>
      <c r="K158" s="27">
        <v>20</v>
      </c>
      <c r="L158" s="29" t="s">
        <v>571</v>
      </c>
      <c r="M158" s="29" t="s">
        <v>727</v>
      </c>
      <c r="N158" s="29" t="s">
        <v>75</v>
      </c>
      <c r="O158" s="28"/>
      <c r="P158" s="28"/>
      <c r="Q158" s="28" t="s">
        <v>76</v>
      </c>
      <c r="R158" s="29"/>
      <c r="S158" s="28"/>
      <c r="T158" s="28" t="s">
        <v>76</v>
      </c>
      <c r="U158" s="28" t="s">
        <v>75</v>
      </c>
      <c r="V158" s="28" t="s">
        <v>75</v>
      </c>
      <c r="W158" s="28"/>
    </row>
    <row r="159" spans="1:23" s="12" customFormat="1" hidden="1">
      <c r="A159" s="46" t="s">
        <v>572</v>
      </c>
      <c r="B159" s="28" t="s">
        <v>1333</v>
      </c>
      <c r="C159" s="28" t="s">
        <v>88</v>
      </c>
      <c r="D159" s="28" t="s">
        <v>634</v>
      </c>
      <c r="E159" s="28" t="s">
        <v>92</v>
      </c>
      <c r="F159" s="28" t="s">
        <v>15</v>
      </c>
      <c r="G159" s="28" t="s">
        <v>15</v>
      </c>
      <c r="H159" s="28" t="s">
        <v>226</v>
      </c>
      <c r="I159" s="28" t="str">
        <f>VLOOKUP(F159,표준용어사전!$B:$D,3,FALSE)</f>
        <v>연월일시분초TS</v>
      </c>
      <c r="J159" s="28" t="s">
        <v>16</v>
      </c>
      <c r="K159" s="27" t="s">
        <v>571</v>
      </c>
      <c r="L159" s="29" t="s">
        <v>571</v>
      </c>
      <c r="M159" s="29" t="s">
        <v>726</v>
      </c>
      <c r="N159" s="29" t="s">
        <v>75</v>
      </c>
      <c r="O159" s="28"/>
      <c r="P159" s="28"/>
      <c r="Q159" s="28" t="s">
        <v>76</v>
      </c>
      <c r="R159" s="29"/>
      <c r="S159" s="28"/>
      <c r="T159" s="28" t="s">
        <v>574</v>
      </c>
      <c r="U159" s="28" t="s">
        <v>75</v>
      </c>
      <c r="V159" s="28" t="s">
        <v>75</v>
      </c>
      <c r="W159" s="28"/>
    </row>
    <row r="160" spans="1:23" s="12" customFormat="1" hidden="1">
      <c r="A160" s="46" t="s">
        <v>572</v>
      </c>
      <c r="B160" s="28" t="s">
        <v>1333</v>
      </c>
      <c r="C160" s="28" t="s">
        <v>88</v>
      </c>
      <c r="D160" s="28" t="s">
        <v>634</v>
      </c>
      <c r="E160" s="28" t="s">
        <v>93</v>
      </c>
      <c r="F160" s="28" t="s">
        <v>370</v>
      </c>
      <c r="G160" s="28" t="s">
        <v>370</v>
      </c>
      <c r="H160" s="28" t="s">
        <v>226</v>
      </c>
      <c r="I160" s="28" t="str">
        <f>VLOOKUP(F160,표준용어사전!$B:$D,3,FALSE)</f>
        <v>명V20</v>
      </c>
      <c r="J160" s="28" t="s">
        <v>78</v>
      </c>
      <c r="K160" s="27">
        <v>20</v>
      </c>
      <c r="L160" s="29" t="s">
        <v>571</v>
      </c>
      <c r="M160" s="29" t="s">
        <v>727</v>
      </c>
      <c r="N160" s="29" t="s">
        <v>75</v>
      </c>
      <c r="O160" s="28"/>
      <c r="P160" s="28"/>
      <c r="Q160" s="28" t="s">
        <v>76</v>
      </c>
      <c r="R160" s="29"/>
      <c r="S160" s="28"/>
      <c r="T160" s="28" t="s">
        <v>76</v>
      </c>
      <c r="U160" s="28" t="s">
        <v>75</v>
      </c>
      <c r="V160" s="28" t="s">
        <v>75</v>
      </c>
      <c r="W160" s="28"/>
    </row>
    <row r="161" spans="1:23" s="12" customFormat="1" hidden="1">
      <c r="A161" s="46" t="s">
        <v>572</v>
      </c>
      <c r="B161" s="28" t="s">
        <v>1333</v>
      </c>
      <c r="C161" s="28" t="s">
        <v>88</v>
      </c>
      <c r="D161" s="28" t="s">
        <v>1339</v>
      </c>
      <c r="E161" s="28" t="s">
        <v>224</v>
      </c>
      <c r="F161" s="28" t="s">
        <v>465</v>
      </c>
      <c r="G161" s="28" t="s">
        <v>465</v>
      </c>
      <c r="H161" s="28" t="s">
        <v>225</v>
      </c>
      <c r="I161" s="28" t="str">
        <f>VLOOKUP(F161,표준용어사전!$B:$D,3,FALSE)</f>
        <v>번호I</v>
      </c>
      <c r="J161" s="28" t="s">
        <v>717</v>
      </c>
      <c r="K161" s="27" t="s">
        <v>571</v>
      </c>
      <c r="L161" s="29" t="s">
        <v>571</v>
      </c>
      <c r="M161" s="29"/>
      <c r="N161" s="29" t="s">
        <v>711</v>
      </c>
      <c r="O161" s="28" t="s">
        <v>73</v>
      </c>
      <c r="P161" s="28"/>
      <c r="Q161" s="28" t="s">
        <v>76</v>
      </c>
      <c r="R161" s="29"/>
      <c r="S161" s="28"/>
      <c r="T161" s="28" t="s">
        <v>76</v>
      </c>
      <c r="U161" s="28" t="s">
        <v>75</v>
      </c>
      <c r="V161" s="28" t="s">
        <v>75</v>
      </c>
      <c r="W161" s="28"/>
    </row>
    <row r="162" spans="1:23" s="12" customFormat="1" hidden="1">
      <c r="A162" s="46" t="s">
        <v>572</v>
      </c>
      <c r="B162" s="28" t="s">
        <v>1333</v>
      </c>
      <c r="C162" s="28" t="s">
        <v>88</v>
      </c>
      <c r="D162" s="28" t="s">
        <v>662</v>
      </c>
      <c r="E162" s="28" t="s">
        <v>217</v>
      </c>
      <c r="F162" s="28" t="s">
        <v>459</v>
      </c>
      <c r="G162" s="28" t="s">
        <v>459</v>
      </c>
      <c r="H162" s="28" t="s">
        <v>225</v>
      </c>
      <c r="I162" s="28" t="str">
        <f>VLOOKUP(F162,표준용어사전!$B:$D,3,FALSE)</f>
        <v>명V20</v>
      </c>
      <c r="J162" s="28" t="s">
        <v>78</v>
      </c>
      <c r="K162" s="27">
        <v>50</v>
      </c>
      <c r="L162" s="29" t="s">
        <v>571</v>
      </c>
      <c r="M162" s="29" t="s">
        <v>720</v>
      </c>
      <c r="N162" s="29" t="s">
        <v>711</v>
      </c>
      <c r="O162" s="28"/>
      <c r="P162" s="28"/>
      <c r="Q162" s="28" t="s">
        <v>76</v>
      </c>
      <c r="R162" s="29"/>
      <c r="S162" s="28"/>
      <c r="T162" s="28" t="s">
        <v>76</v>
      </c>
      <c r="U162" s="28" t="s">
        <v>75</v>
      </c>
      <c r="V162" s="28" t="s">
        <v>75</v>
      </c>
      <c r="W162" s="28"/>
    </row>
    <row r="163" spans="1:23" s="12" customFormat="1" hidden="1">
      <c r="A163" s="46" t="s">
        <v>572</v>
      </c>
      <c r="B163" s="28" t="s">
        <v>1333</v>
      </c>
      <c r="C163" s="28" t="s">
        <v>88</v>
      </c>
      <c r="D163" s="28" t="s">
        <v>662</v>
      </c>
      <c r="E163" s="28" t="s">
        <v>141</v>
      </c>
      <c r="F163" s="28" t="s">
        <v>86</v>
      </c>
      <c r="G163" s="28" t="s">
        <v>86</v>
      </c>
      <c r="H163" s="28" t="s">
        <v>225</v>
      </c>
      <c r="I163" s="28" t="e">
        <f>VLOOKUP(F163,표준용어사전!$B:$D,3,FALSE)</f>
        <v>#N/A</v>
      </c>
      <c r="J163" s="28" t="s">
        <v>78</v>
      </c>
      <c r="K163" s="27">
        <v>2000</v>
      </c>
      <c r="L163" s="29" t="s">
        <v>571</v>
      </c>
      <c r="M163" s="29" t="s">
        <v>728</v>
      </c>
      <c r="N163" s="29" t="s">
        <v>75</v>
      </c>
      <c r="O163" s="28"/>
      <c r="P163" s="28"/>
      <c r="Q163" s="28" t="s">
        <v>76</v>
      </c>
      <c r="R163" s="29"/>
      <c r="S163" s="28"/>
      <c r="T163" s="28" t="s">
        <v>76</v>
      </c>
      <c r="U163" s="28" t="s">
        <v>75</v>
      </c>
      <c r="V163" s="28" t="s">
        <v>75</v>
      </c>
      <c r="W163" s="28"/>
    </row>
    <row r="164" spans="1:23" s="12" customFormat="1" hidden="1">
      <c r="A164" s="46" t="s">
        <v>572</v>
      </c>
      <c r="B164" s="28" t="s">
        <v>1333</v>
      </c>
      <c r="C164" s="28" t="s">
        <v>88</v>
      </c>
      <c r="D164" s="28" t="s">
        <v>662</v>
      </c>
      <c r="E164" s="28" t="s">
        <v>90</v>
      </c>
      <c r="F164" s="28" t="s">
        <v>14</v>
      </c>
      <c r="G164" s="28" t="s">
        <v>14</v>
      </c>
      <c r="H164" s="28" t="s">
        <v>225</v>
      </c>
      <c r="I164" s="28" t="str">
        <f>VLOOKUP(F164,표준용어사전!$B:$D,3,FALSE)</f>
        <v>연월일시분초TS</v>
      </c>
      <c r="J164" s="28" t="s">
        <v>16</v>
      </c>
      <c r="K164" s="27" t="s">
        <v>571</v>
      </c>
      <c r="L164" s="29" t="s">
        <v>571</v>
      </c>
      <c r="M164" s="29" t="s">
        <v>726</v>
      </c>
      <c r="N164" s="29" t="s">
        <v>711</v>
      </c>
      <c r="O164" s="28"/>
      <c r="P164" s="28"/>
      <c r="Q164" s="28" t="s">
        <v>76</v>
      </c>
      <c r="R164" s="29"/>
      <c r="S164" s="28"/>
      <c r="T164" s="28" t="s">
        <v>574</v>
      </c>
      <c r="U164" s="28" t="s">
        <v>75</v>
      </c>
      <c r="V164" s="28" t="s">
        <v>75</v>
      </c>
      <c r="W164" s="28"/>
    </row>
    <row r="165" spans="1:23" s="12" customFormat="1" hidden="1">
      <c r="A165" s="46" t="s">
        <v>572</v>
      </c>
      <c r="B165" s="28" t="s">
        <v>1333</v>
      </c>
      <c r="C165" s="28" t="s">
        <v>88</v>
      </c>
      <c r="D165" s="28" t="s">
        <v>662</v>
      </c>
      <c r="E165" s="28" t="s">
        <v>91</v>
      </c>
      <c r="F165" s="28" t="s">
        <v>369</v>
      </c>
      <c r="G165" s="28" t="s">
        <v>369</v>
      </c>
      <c r="H165" s="28" t="s">
        <v>225</v>
      </c>
      <c r="I165" s="28" t="str">
        <f>VLOOKUP(F165,표준용어사전!$B:$D,3,FALSE)</f>
        <v>명V20</v>
      </c>
      <c r="J165" s="28" t="s">
        <v>78</v>
      </c>
      <c r="K165" s="27">
        <v>20</v>
      </c>
      <c r="L165" s="29" t="s">
        <v>571</v>
      </c>
      <c r="M165" s="29" t="s">
        <v>727</v>
      </c>
      <c r="N165" s="29" t="s">
        <v>75</v>
      </c>
      <c r="O165" s="28"/>
      <c r="P165" s="28"/>
      <c r="Q165" s="28" t="s">
        <v>76</v>
      </c>
      <c r="R165" s="29"/>
      <c r="S165" s="28"/>
      <c r="T165" s="28" t="s">
        <v>76</v>
      </c>
      <c r="U165" s="28" t="s">
        <v>75</v>
      </c>
      <c r="V165" s="28" t="s">
        <v>75</v>
      </c>
      <c r="W165" s="28"/>
    </row>
    <row r="166" spans="1:23" s="12" customFormat="1" hidden="1">
      <c r="A166" s="46" t="s">
        <v>572</v>
      </c>
      <c r="B166" s="28" t="s">
        <v>1333</v>
      </c>
      <c r="C166" s="28" t="s">
        <v>88</v>
      </c>
      <c r="D166" s="28" t="s">
        <v>662</v>
      </c>
      <c r="E166" s="28" t="s">
        <v>92</v>
      </c>
      <c r="F166" s="28" t="s">
        <v>15</v>
      </c>
      <c r="G166" s="28" t="s">
        <v>15</v>
      </c>
      <c r="H166" s="28" t="s">
        <v>225</v>
      </c>
      <c r="I166" s="28" t="str">
        <f>VLOOKUP(F166,표준용어사전!$B:$D,3,FALSE)</f>
        <v>연월일시분초TS</v>
      </c>
      <c r="J166" s="28" t="s">
        <v>16</v>
      </c>
      <c r="K166" s="27" t="s">
        <v>571</v>
      </c>
      <c r="L166" s="29" t="s">
        <v>571</v>
      </c>
      <c r="M166" s="29" t="s">
        <v>726</v>
      </c>
      <c r="N166" s="29" t="s">
        <v>75</v>
      </c>
      <c r="O166" s="28"/>
      <c r="P166" s="28"/>
      <c r="Q166" s="28" t="s">
        <v>76</v>
      </c>
      <c r="R166" s="29"/>
      <c r="S166" s="28"/>
      <c r="T166" s="28" t="s">
        <v>574</v>
      </c>
      <c r="U166" s="28" t="s">
        <v>75</v>
      </c>
      <c r="V166" s="28" t="s">
        <v>75</v>
      </c>
      <c r="W166" s="28"/>
    </row>
    <row r="167" spans="1:23" s="12" customFormat="1" hidden="1">
      <c r="A167" s="46" t="s">
        <v>572</v>
      </c>
      <c r="B167" s="28" t="s">
        <v>1333</v>
      </c>
      <c r="C167" s="28" t="s">
        <v>88</v>
      </c>
      <c r="D167" s="28" t="s">
        <v>662</v>
      </c>
      <c r="E167" s="28" t="s">
        <v>93</v>
      </c>
      <c r="F167" s="28" t="s">
        <v>370</v>
      </c>
      <c r="G167" s="28" t="s">
        <v>370</v>
      </c>
      <c r="H167" s="28" t="s">
        <v>225</v>
      </c>
      <c r="I167" s="28" t="str">
        <f>VLOOKUP(F167,표준용어사전!$B:$D,3,FALSE)</f>
        <v>명V20</v>
      </c>
      <c r="J167" s="28" t="s">
        <v>78</v>
      </c>
      <c r="K167" s="27">
        <v>20</v>
      </c>
      <c r="L167" s="29" t="s">
        <v>571</v>
      </c>
      <c r="M167" s="29" t="s">
        <v>727</v>
      </c>
      <c r="N167" s="29" t="s">
        <v>75</v>
      </c>
      <c r="O167" s="28"/>
      <c r="P167" s="28"/>
      <c r="Q167" s="28" t="s">
        <v>76</v>
      </c>
      <c r="R167" s="29"/>
      <c r="S167" s="28"/>
      <c r="T167" s="28" t="s">
        <v>76</v>
      </c>
      <c r="U167" s="28" t="s">
        <v>75</v>
      </c>
      <c r="V167" s="28" t="s">
        <v>75</v>
      </c>
      <c r="W167" s="28"/>
    </row>
    <row r="168" spans="1:23" s="12" customFormat="1" hidden="1">
      <c r="A168" s="46" t="s">
        <v>572</v>
      </c>
      <c r="B168" s="28" t="s">
        <v>1333</v>
      </c>
      <c r="C168" s="28" t="s">
        <v>88</v>
      </c>
      <c r="D168" s="28" t="s">
        <v>281</v>
      </c>
      <c r="E168" s="28" t="s">
        <v>578</v>
      </c>
      <c r="F168" s="28" t="s">
        <v>580</v>
      </c>
      <c r="G168" s="28" t="s">
        <v>580</v>
      </c>
      <c r="H168" s="28" t="s">
        <v>283</v>
      </c>
      <c r="I168" s="28" t="str">
        <f>VLOOKUP(F168,표준용어사전!$B:$D,3,FALSE)</f>
        <v>명V20</v>
      </c>
      <c r="J168" s="28" t="s">
        <v>78</v>
      </c>
      <c r="K168" s="27">
        <v>20</v>
      </c>
      <c r="L168" s="29" t="s">
        <v>571</v>
      </c>
      <c r="M168" s="29" t="s">
        <v>727</v>
      </c>
      <c r="N168" s="29" t="s">
        <v>711</v>
      </c>
      <c r="O168" s="28" t="s">
        <v>73</v>
      </c>
      <c r="P168" s="28"/>
      <c r="Q168" s="28" t="s">
        <v>76</v>
      </c>
      <c r="R168" s="29"/>
      <c r="S168" s="28"/>
      <c r="T168" s="28" t="s">
        <v>571</v>
      </c>
      <c r="U168" s="28" t="s">
        <v>75</v>
      </c>
      <c r="V168" s="28" t="s">
        <v>75</v>
      </c>
      <c r="W168" s="28"/>
    </row>
    <row r="169" spans="1:23" s="12" customFormat="1" hidden="1">
      <c r="A169" s="46" t="s">
        <v>572</v>
      </c>
      <c r="B169" s="28" t="s">
        <v>1333</v>
      </c>
      <c r="C169" s="28" t="s">
        <v>88</v>
      </c>
      <c r="D169" s="28" t="s">
        <v>281</v>
      </c>
      <c r="E169" s="28" t="s">
        <v>282</v>
      </c>
      <c r="F169" s="28" t="s">
        <v>510</v>
      </c>
      <c r="G169" s="28" t="s">
        <v>510</v>
      </c>
      <c r="H169" s="28" t="s">
        <v>283</v>
      </c>
      <c r="I169" s="28" t="str">
        <f>VLOOKUP(F169,표준용어사전!$B:$D,3,FALSE)</f>
        <v>코드V50</v>
      </c>
      <c r="J169" s="28" t="s">
        <v>570</v>
      </c>
      <c r="K169" s="27">
        <v>50</v>
      </c>
      <c r="L169" s="29" t="s">
        <v>571</v>
      </c>
      <c r="M169" s="29" t="s">
        <v>725</v>
      </c>
      <c r="N169" s="29" t="s">
        <v>711</v>
      </c>
      <c r="O169" s="28"/>
      <c r="P169" s="28"/>
      <c r="Q169" s="28" t="s">
        <v>1373</v>
      </c>
      <c r="R169" s="29">
        <v>1</v>
      </c>
      <c r="S169" s="28"/>
      <c r="T169" s="28" t="s">
        <v>626</v>
      </c>
      <c r="U169" s="28" t="s">
        <v>75</v>
      </c>
      <c r="V169" s="28" t="s">
        <v>75</v>
      </c>
      <c r="W169" s="28"/>
    </row>
    <row r="170" spans="1:23" s="12" customFormat="1" hidden="1">
      <c r="A170" s="46" t="s">
        <v>572</v>
      </c>
      <c r="B170" s="28" t="s">
        <v>1333</v>
      </c>
      <c r="C170" s="28" t="s">
        <v>88</v>
      </c>
      <c r="D170" s="28" t="s">
        <v>281</v>
      </c>
      <c r="E170" s="28" t="s">
        <v>623</v>
      </c>
      <c r="F170" s="28" t="s">
        <v>597</v>
      </c>
      <c r="G170" s="28" t="s">
        <v>597</v>
      </c>
      <c r="H170" s="28" t="s">
        <v>283</v>
      </c>
      <c r="I170" s="28" t="str">
        <f>VLOOKUP(F170,표준용어사전!$B:$D,3,FALSE)</f>
        <v>코드V50</v>
      </c>
      <c r="J170" s="28" t="s">
        <v>570</v>
      </c>
      <c r="K170" s="27">
        <v>50</v>
      </c>
      <c r="L170" s="29" t="s">
        <v>571</v>
      </c>
      <c r="M170" s="29" t="s">
        <v>725</v>
      </c>
      <c r="N170" s="29" t="s">
        <v>75</v>
      </c>
      <c r="O170" s="28"/>
      <c r="P170" s="28"/>
      <c r="Q170" s="28" t="s">
        <v>76</v>
      </c>
      <c r="R170" s="29"/>
      <c r="S170" s="28"/>
      <c r="T170" s="28" t="s">
        <v>571</v>
      </c>
      <c r="U170" s="28" t="s">
        <v>75</v>
      </c>
      <c r="V170" s="28" t="s">
        <v>75</v>
      </c>
      <c r="W170" s="28"/>
    </row>
    <row r="171" spans="1:23" s="12" customFormat="1" hidden="1">
      <c r="A171" s="46" t="s">
        <v>572</v>
      </c>
      <c r="B171" s="28" t="s">
        <v>1333</v>
      </c>
      <c r="C171" s="28" t="s">
        <v>88</v>
      </c>
      <c r="D171" s="28" t="s">
        <v>281</v>
      </c>
      <c r="E171" s="28" t="s">
        <v>218</v>
      </c>
      <c r="F171" s="28" t="s">
        <v>460</v>
      </c>
      <c r="G171" s="28" t="s">
        <v>460</v>
      </c>
      <c r="H171" s="28" t="s">
        <v>283</v>
      </c>
      <c r="I171" s="28" t="str">
        <f>VLOOKUP(F171,표준용어사전!$B:$D,3,FALSE)</f>
        <v>코드V50</v>
      </c>
      <c r="J171" s="28" t="s">
        <v>570</v>
      </c>
      <c r="K171" s="27">
        <v>50</v>
      </c>
      <c r="L171" s="29" t="s">
        <v>571</v>
      </c>
      <c r="M171" s="29" t="s">
        <v>725</v>
      </c>
      <c r="N171" s="29" t="s">
        <v>75</v>
      </c>
      <c r="O171" s="28"/>
      <c r="P171" s="28"/>
      <c r="Q171" s="28" t="s">
        <v>76</v>
      </c>
      <c r="R171" s="29"/>
      <c r="S171" s="28"/>
      <c r="T171" s="28" t="s">
        <v>571</v>
      </c>
      <c r="U171" s="28" t="s">
        <v>75</v>
      </c>
      <c r="V171" s="28" t="s">
        <v>75</v>
      </c>
      <c r="W171" s="28"/>
    </row>
    <row r="172" spans="1:23" s="12" customFormat="1" hidden="1">
      <c r="A172" s="46" t="s">
        <v>572</v>
      </c>
      <c r="B172" s="28" t="s">
        <v>1333</v>
      </c>
      <c r="C172" s="28" t="s">
        <v>88</v>
      </c>
      <c r="D172" s="28" t="s">
        <v>281</v>
      </c>
      <c r="E172" s="28" t="s">
        <v>830</v>
      </c>
      <c r="F172" s="28" t="s">
        <v>734</v>
      </c>
      <c r="G172" s="28" t="s">
        <v>734</v>
      </c>
      <c r="H172" s="28" t="s">
        <v>283</v>
      </c>
      <c r="I172" s="28" t="str">
        <f>VLOOKUP(F172,표준용어사전!$B:$D,3,FALSE)</f>
        <v>내용V2000</v>
      </c>
      <c r="J172" s="28" t="s">
        <v>78</v>
      </c>
      <c r="K172" s="27">
        <v>2000</v>
      </c>
      <c r="L172" s="29" t="s">
        <v>571</v>
      </c>
      <c r="M172" s="29" t="s">
        <v>728</v>
      </c>
      <c r="N172" s="29" t="s">
        <v>75</v>
      </c>
      <c r="O172" s="28"/>
      <c r="P172" s="28"/>
      <c r="Q172" s="28" t="s">
        <v>76</v>
      </c>
      <c r="R172" s="29"/>
      <c r="S172" s="28"/>
      <c r="T172" s="28" t="s">
        <v>571</v>
      </c>
      <c r="U172" s="28" t="s">
        <v>75</v>
      </c>
      <c r="V172" s="28" t="s">
        <v>75</v>
      </c>
      <c r="W172" s="28"/>
    </row>
    <row r="173" spans="1:23" s="12" customFormat="1" hidden="1">
      <c r="A173" s="46" t="s">
        <v>572</v>
      </c>
      <c r="B173" s="28" t="s">
        <v>1333</v>
      </c>
      <c r="C173" s="28" t="s">
        <v>88</v>
      </c>
      <c r="D173" s="28" t="s">
        <v>281</v>
      </c>
      <c r="E173" s="28" t="s">
        <v>831</v>
      </c>
      <c r="F173" s="28" t="s">
        <v>735</v>
      </c>
      <c r="G173" s="28" t="s">
        <v>735</v>
      </c>
      <c r="H173" s="28" t="s">
        <v>283</v>
      </c>
      <c r="I173" s="28" t="str">
        <f>VLOOKUP(F173,표준용어사전!$B:$D,3,FALSE)</f>
        <v>내용V2000</v>
      </c>
      <c r="J173" s="28" t="s">
        <v>78</v>
      </c>
      <c r="K173" s="27">
        <v>2000</v>
      </c>
      <c r="L173" s="29" t="s">
        <v>571</v>
      </c>
      <c r="M173" s="29" t="s">
        <v>728</v>
      </c>
      <c r="N173" s="29" t="s">
        <v>75</v>
      </c>
      <c r="O173" s="28"/>
      <c r="P173" s="28"/>
      <c r="Q173" s="28" t="s">
        <v>76</v>
      </c>
      <c r="R173" s="29"/>
      <c r="S173" s="28"/>
      <c r="T173" s="28" t="s">
        <v>571</v>
      </c>
      <c r="U173" s="28" t="s">
        <v>75</v>
      </c>
      <c r="V173" s="28" t="s">
        <v>75</v>
      </c>
      <c r="W173" s="28"/>
    </row>
    <row r="174" spans="1:23" s="12" customFormat="1" hidden="1">
      <c r="A174" s="46" t="s">
        <v>572</v>
      </c>
      <c r="B174" s="28" t="s">
        <v>1333</v>
      </c>
      <c r="C174" s="28" t="s">
        <v>88</v>
      </c>
      <c r="D174" s="28" t="s">
        <v>281</v>
      </c>
      <c r="E174" s="28" t="s">
        <v>219</v>
      </c>
      <c r="F174" s="28" t="s">
        <v>461</v>
      </c>
      <c r="G174" s="28" t="s">
        <v>461</v>
      </c>
      <c r="H174" s="28" t="s">
        <v>283</v>
      </c>
      <c r="I174" s="28" t="str">
        <f>VLOOKUP(F174,표준용어사전!$B:$D,3,FALSE)</f>
        <v>번호V100</v>
      </c>
      <c r="J174" s="28" t="s">
        <v>78</v>
      </c>
      <c r="K174" s="27">
        <v>2000</v>
      </c>
      <c r="L174" s="29" t="s">
        <v>571</v>
      </c>
      <c r="M174" s="29" t="s">
        <v>728</v>
      </c>
      <c r="N174" s="29" t="s">
        <v>75</v>
      </c>
      <c r="O174" s="28"/>
      <c r="P174" s="28"/>
      <c r="Q174" s="28" t="s">
        <v>76</v>
      </c>
      <c r="R174" s="29"/>
      <c r="S174" s="28"/>
      <c r="T174" s="28" t="s">
        <v>571</v>
      </c>
      <c r="U174" s="28" t="s">
        <v>75</v>
      </c>
      <c r="V174" s="28" t="s">
        <v>75</v>
      </c>
      <c r="W174" s="28"/>
    </row>
    <row r="175" spans="1:23" s="12" customFormat="1" hidden="1">
      <c r="A175" s="46" t="s">
        <v>572</v>
      </c>
      <c r="B175" s="28" t="s">
        <v>1333</v>
      </c>
      <c r="C175" s="28" t="s">
        <v>88</v>
      </c>
      <c r="D175" s="28" t="s">
        <v>281</v>
      </c>
      <c r="E175" s="28" t="s">
        <v>94</v>
      </c>
      <c r="F175" s="28" t="s">
        <v>373</v>
      </c>
      <c r="G175" s="28" t="s">
        <v>373</v>
      </c>
      <c r="H175" s="28" t="s">
        <v>283</v>
      </c>
      <c r="I175" s="28" t="str">
        <f>VLOOKUP(F175,표준용어사전!$B:$D,3,FALSE)</f>
        <v>번호N10</v>
      </c>
      <c r="J175" s="28" t="s">
        <v>63</v>
      </c>
      <c r="K175" s="27">
        <v>10</v>
      </c>
      <c r="L175" s="29" t="s">
        <v>571</v>
      </c>
      <c r="M175" s="29">
        <v>9999999999</v>
      </c>
      <c r="N175" s="29" t="s">
        <v>75</v>
      </c>
      <c r="O175" s="28"/>
      <c r="P175" s="28"/>
      <c r="Q175" s="28" t="s">
        <v>76</v>
      </c>
      <c r="R175" s="29"/>
      <c r="S175" s="28"/>
      <c r="T175" s="28" t="s">
        <v>571</v>
      </c>
      <c r="U175" s="28" t="s">
        <v>75</v>
      </c>
      <c r="V175" s="28" t="s">
        <v>75</v>
      </c>
      <c r="W175" s="28"/>
    </row>
    <row r="176" spans="1:23" s="12" customFormat="1" hidden="1">
      <c r="A176" s="46" t="s">
        <v>572</v>
      </c>
      <c r="B176" s="28" t="s">
        <v>1333</v>
      </c>
      <c r="C176" s="28" t="s">
        <v>88</v>
      </c>
      <c r="D176" s="28" t="s">
        <v>281</v>
      </c>
      <c r="E176" s="28" t="s">
        <v>90</v>
      </c>
      <c r="F176" s="28" t="s">
        <v>1425</v>
      </c>
      <c r="G176" s="28" t="s">
        <v>14</v>
      </c>
      <c r="H176" s="28" t="s">
        <v>283</v>
      </c>
      <c r="I176" s="28" t="str">
        <f>VLOOKUP(F176,표준용어사전!$B:$D,3,FALSE)</f>
        <v>연월일시분초TS</v>
      </c>
      <c r="J176" s="28" t="s">
        <v>16</v>
      </c>
      <c r="K176" s="27" t="s">
        <v>571</v>
      </c>
      <c r="L176" s="29" t="s">
        <v>571</v>
      </c>
      <c r="M176" s="29" t="s">
        <v>726</v>
      </c>
      <c r="N176" s="29" t="s">
        <v>711</v>
      </c>
      <c r="O176" s="28"/>
      <c r="P176" s="28"/>
      <c r="Q176" s="28" t="s">
        <v>76</v>
      </c>
      <c r="R176" s="29"/>
      <c r="S176" s="28"/>
      <c r="T176" s="28" t="s">
        <v>574</v>
      </c>
      <c r="U176" s="28" t="s">
        <v>75</v>
      </c>
      <c r="V176" s="28" t="s">
        <v>75</v>
      </c>
      <c r="W176" s="28"/>
    </row>
    <row r="177" spans="1:23" s="12" customFormat="1" hidden="1">
      <c r="A177" s="46" t="s">
        <v>572</v>
      </c>
      <c r="B177" s="28" t="s">
        <v>1333</v>
      </c>
      <c r="C177" s="28" t="s">
        <v>88</v>
      </c>
      <c r="D177" s="28" t="s">
        <v>281</v>
      </c>
      <c r="E177" s="28" t="s">
        <v>91</v>
      </c>
      <c r="F177" s="28" t="s">
        <v>369</v>
      </c>
      <c r="G177" s="28" t="s">
        <v>369</v>
      </c>
      <c r="H177" s="28" t="s">
        <v>283</v>
      </c>
      <c r="I177" s="28" t="str">
        <f>VLOOKUP(F177,표준용어사전!$B:$D,3,FALSE)</f>
        <v>명V20</v>
      </c>
      <c r="J177" s="28" t="s">
        <v>78</v>
      </c>
      <c r="K177" s="27">
        <v>20</v>
      </c>
      <c r="L177" s="29" t="s">
        <v>571</v>
      </c>
      <c r="M177" s="29" t="s">
        <v>727</v>
      </c>
      <c r="N177" s="29" t="s">
        <v>75</v>
      </c>
      <c r="O177" s="28"/>
      <c r="P177" s="28"/>
      <c r="Q177" s="28" t="s">
        <v>76</v>
      </c>
      <c r="R177" s="29"/>
      <c r="S177" s="28"/>
      <c r="T177" s="28" t="s">
        <v>571</v>
      </c>
      <c r="U177" s="28" t="s">
        <v>75</v>
      </c>
      <c r="V177" s="28" t="s">
        <v>75</v>
      </c>
      <c r="W177" s="28"/>
    </row>
    <row r="178" spans="1:23" s="12" customFormat="1" hidden="1">
      <c r="A178" s="46" t="s">
        <v>572</v>
      </c>
      <c r="B178" s="28" t="s">
        <v>1333</v>
      </c>
      <c r="C178" s="28" t="s">
        <v>88</v>
      </c>
      <c r="D178" s="28" t="s">
        <v>281</v>
      </c>
      <c r="E178" s="28" t="s">
        <v>92</v>
      </c>
      <c r="F178" s="28" t="s">
        <v>15</v>
      </c>
      <c r="G178" s="28" t="s">
        <v>15</v>
      </c>
      <c r="H178" s="28" t="s">
        <v>283</v>
      </c>
      <c r="I178" s="28" t="str">
        <f>VLOOKUP(F178,표준용어사전!$B:$D,3,FALSE)</f>
        <v>연월일시분초TS</v>
      </c>
      <c r="J178" s="28" t="s">
        <v>16</v>
      </c>
      <c r="K178" s="27" t="s">
        <v>571</v>
      </c>
      <c r="L178" s="29" t="s">
        <v>571</v>
      </c>
      <c r="M178" s="29" t="s">
        <v>726</v>
      </c>
      <c r="N178" s="29" t="s">
        <v>75</v>
      </c>
      <c r="O178" s="28"/>
      <c r="P178" s="28"/>
      <c r="Q178" s="28" t="s">
        <v>76</v>
      </c>
      <c r="R178" s="29"/>
      <c r="S178" s="28"/>
      <c r="T178" s="28" t="s">
        <v>574</v>
      </c>
      <c r="U178" s="28" t="s">
        <v>75</v>
      </c>
      <c r="V178" s="28" t="s">
        <v>75</v>
      </c>
      <c r="W178" s="28"/>
    </row>
    <row r="179" spans="1:23" s="12" customFormat="1" hidden="1">
      <c r="A179" s="46" t="s">
        <v>572</v>
      </c>
      <c r="B179" s="28" t="s">
        <v>1333</v>
      </c>
      <c r="C179" s="28" t="s">
        <v>88</v>
      </c>
      <c r="D179" s="28" t="s">
        <v>281</v>
      </c>
      <c r="E179" s="28" t="s">
        <v>93</v>
      </c>
      <c r="F179" s="28" t="s">
        <v>370</v>
      </c>
      <c r="G179" s="28" t="s">
        <v>370</v>
      </c>
      <c r="H179" s="28" t="s">
        <v>283</v>
      </c>
      <c r="I179" s="28" t="str">
        <f>VLOOKUP(F179,표준용어사전!$B:$D,3,FALSE)</f>
        <v>명V20</v>
      </c>
      <c r="J179" s="28" t="s">
        <v>78</v>
      </c>
      <c r="K179" s="27">
        <v>20</v>
      </c>
      <c r="L179" s="29" t="s">
        <v>571</v>
      </c>
      <c r="M179" s="29" t="s">
        <v>727</v>
      </c>
      <c r="N179" s="29" t="s">
        <v>75</v>
      </c>
      <c r="O179" s="28"/>
      <c r="P179" s="28"/>
      <c r="Q179" s="28" t="s">
        <v>76</v>
      </c>
      <c r="R179" s="29"/>
      <c r="S179" s="28"/>
      <c r="T179" s="28" t="s">
        <v>571</v>
      </c>
      <c r="U179" s="28" t="s">
        <v>75</v>
      </c>
      <c r="V179" s="28" t="s">
        <v>75</v>
      </c>
      <c r="W179" s="28"/>
    </row>
    <row r="180" spans="1:23" s="12" customFormat="1" hidden="1">
      <c r="A180" s="46" t="s">
        <v>572</v>
      </c>
      <c r="B180" s="28" t="s">
        <v>1333</v>
      </c>
      <c r="C180" s="28" t="s">
        <v>88</v>
      </c>
      <c r="D180" s="28" t="s">
        <v>281</v>
      </c>
      <c r="E180" s="28" t="s">
        <v>220</v>
      </c>
      <c r="F180" s="28" t="s">
        <v>462</v>
      </c>
      <c r="G180" s="28" t="s">
        <v>462</v>
      </c>
      <c r="H180" s="28" t="s">
        <v>283</v>
      </c>
      <c r="I180" s="28" t="str">
        <f>VLOOKUP(F180,표준용어사전!$B:$D,3,FALSE)</f>
        <v>내용V2000</v>
      </c>
      <c r="J180" s="28" t="s">
        <v>78</v>
      </c>
      <c r="K180" s="27">
        <v>4000</v>
      </c>
      <c r="L180" s="29" t="s">
        <v>571</v>
      </c>
      <c r="M180" s="29" t="s">
        <v>737</v>
      </c>
      <c r="N180" s="29" t="s">
        <v>75</v>
      </c>
      <c r="O180" s="28"/>
      <c r="P180" s="28"/>
      <c r="Q180" s="28" t="s">
        <v>76</v>
      </c>
      <c r="R180" s="29"/>
      <c r="S180" s="28"/>
      <c r="T180" s="28" t="s">
        <v>571</v>
      </c>
      <c r="U180" s="28" t="s">
        <v>75</v>
      </c>
      <c r="V180" s="28" t="s">
        <v>75</v>
      </c>
      <c r="W180" s="28"/>
    </row>
    <row r="181" spans="1:23" s="12" customFormat="1" hidden="1">
      <c r="A181" s="46" t="s">
        <v>572</v>
      </c>
      <c r="B181" s="28" t="s">
        <v>1333</v>
      </c>
      <c r="C181" s="28" t="s">
        <v>88</v>
      </c>
      <c r="D181" s="28" t="s">
        <v>281</v>
      </c>
      <c r="E181" s="28" t="s">
        <v>221</v>
      </c>
      <c r="F181" s="28" t="s">
        <v>463</v>
      </c>
      <c r="G181" s="28" t="s">
        <v>463</v>
      </c>
      <c r="H181" s="28" t="s">
        <v>283</v>
      </c>
      <c r="I181" s="28" t="str">
        <f>VLOOKUP(F181,표준용어사전!$B:$D,3,FALSE)</f>
        <v>내용V2000</v>
      </c>
      <c r="J181" s="28" t="s">
        <v>78</v>
      </c>
      <c r="K181" s="27">
        <v>4000</v>
      </c>
      <c r="L181" s="29" t="s">
        <v>571</v>
      </c>
      <c r="M181" s="29" t="s">
        <v>737</v>
      </c>
      <c r="N181" s="29" t="s">
        <v>75</v>
      </c>
      <c r="O181" s="28"/>
      <c r="P181" s="28"/>
      <c r="Q181" s="28" t="s">
        <v>76</v>
      </c>
      <c r="R181" s="29"/>
      <c r="S181" s="28"/>
      <c r="T181" s="28" t="s">
        <v>571</v>
      </c>
      <c r="U181" s="28" t="s">
        <v>75</v>
      </c>
      <c r="V181" s="28" t="s">
        <v>75</v>
      </c>
      <c r="W181" s="28"/>
    </row>
    <row r="182" spans="1:23" s="12" customFormat="1" hidden="1">
      <c r="A182" s="46" t="s">
        <v>572</v>
      </c>
      <c r="B182" s="28" t="s">
        <v>1333</v>
      </c>
      <c r="C182" s="28" t="s">
        <v>88</v>
      </c>
      <c r="D182" s="28" t="s">
        <v>281</v>
      </c>
      <c r="E182" s="28" t="s">
        <v>222</v>
      </c>
      <c r="F182" s="28" t="s">
        <v>464</v>
      </c>
      <c r="G182" s="28" t="s">
        <v>464</v>
      </c>
      <c r="H182" s="28" t="s">
        <v>283</v>
      </c>
      <c r="I182" s="28" t="str">
        <f>VLOOKUP(F182,표준용어사전!$B:$D,3,FALSE)</f>
        <v>내용V2000</v>
      </c>
      <c r="J182" s="28" t="s">
        <v>78</v>
      </c>
      <c r="K182" s="27">
        <v>4000</v>
      </c>
      <c r="L182" s="29" t="s">
        <v>571</v>
      </c>
      <c r="M182" s="29" t="s">
        <v>737</v>
      </c>
      <c r="N182" s="29" t="s">
        <v>75</v>
      </c>
      <c r="O182" s="28"/>
      <c r="P182" s="28"/>
      <c r="Q182" s="28" t="s">
        <v>76</v>
      </c>
      <c r="R182" s="29"/>
      <c r="S182" s="28"/>
      <c r="T182" s="28" t="s">
        <v>571</v>
      </c>
      <c r="U182" s="28" t="s">
        <v>75</v>
      </c>
      <c r="V182" s="28" t="s">
        <v>75</v>
      </c>
      <c r="W182" s="28"/>
    </row>
    <row r="183" spans="1:23" s="12" customFormat="1" hidden="1">
      <c r="A183" s="46" t="s">
        <v>572</v>
      </c>
      <c r="B183" s="28" t="s">
        <v>1333</v>
      </c>
      <c r="C183" s="28" t="s">
        <v>88</v>
      </c>
      <c r="D183" s="28" t="s">
        <v>281</v>
      </c>
      <c r="E183" s="28" t="s">
        <v>223</v>
      </c>
      <c r="F183" s="28" t="s">
        <v>1596</v>
      </c>
      <c r="G183" s="28" t="s">
        <v>1596</v>
      </c>
      <c r="H183" s="28" t="s">
        <v>283</v>
      </c>
      <c r="I183" s="28" t="str">
        <f>VLOOKUP(F183,표준용어사전!$B:$D,3,FALSE)</f>
        <v>수N10</v>
      </c>
      <c r="J183" s="28" t="s">
        <v>63</v>
      </c>
      <c r="K183" s="27">
        <v>10</v>
      </c>
      <c r="L183" s="29" t="s">
        <v>571</v>
      </c>
      <c r="M183" s="29">
        <v>9999999999</v>
      </c>
      <c r="N183" s="29" t="s">
        <v>75</v>
      </c>
      <c r="O183" s="28"/>
      <c r="P183" s="28"/>
      <c r="Q183" s="28" t="s">
        <v>76</v>
      </c>
      <c r="R183" s="29"/>
      <c r="S183" s="28"/>
      <c r="T183" s="28" t="s">
        <v>571</v>
      </c>
      <c r="U183" s="28" t="s">
        <v>75</v>
      </c>
      <c r="V183" s="28" t="s">
        <v>75</v>
      </c>
      <c r="W183" s="28"/>
    </row>
    <row r="184" spans="1:23" s="12" customFormat="1" hidden="1">
      <c r="A184" s="46" t="s">
        <v>572</v>
      </c>
      <c r="B184" s="28" t="s">
        <v>1333</v>
      </c>
      <c r="C184" s="28" t="s">
        <v>88</v>
      </c>
      <c r="D184" s="28" t="s">
        <v>281</v>
      </c>
      <c r="E184" s="28" t="s">
        <v>900</v>
      </c>
      <c r="F184" s="28" t="s">
        <v>907</v>
      </c>
      <c r="G184" s="28" t="s">
        <v>907</v>
      </c>
      <c r="H184" s="28" t="s">
        <v>283</v>
      </c>
      <c r="I184" s="28" t="e">
        <f>VLOOKUP(F184,표준용어사전!$B:$D,3,FALSE)</f>
        <v>#N/A</v>
      </c>
      <c r="J184" s="28" t="s">
        <v>748</v>
      </c>
      <c r="K184" s="27">
        <v>14</v>
      </c>
      <c r="L184" s="29" t="s">
        <v>571</v>
      </c>
      <c r="M184" s="29" t="s">
        <v>776</v>
      </c>
      <c r="N184" s="29" t="s">
        <v>711</v>
      </c>
      <c r="O184" s="28"/>
      <c r="P184" s="28"/>
      <c r="Q184" s="28" t="s">
        <v>76</v>
      </c>
      <c r="R184" s="29"/>
      <c r="S184" s="28"/>
      <c r="T184" s="28"/>
      <c r="U184" s="28" t="s">
        <v>75</v>
      </c>
      <c r="V184" s="28" t="s">
        <v>75</v>
      </c>
      <c r="W184" s="28"/>
    </row>
    <row r="185" spans="1:23" s="12" customFormat="1" hidden="1">
      <c r="A185" s="46" t="s">
        <v>572</v>
      </c>
      <c r="B185" s="28" t="s">
        <v>1333</v>
      </c>
      <c r="C185" s="28" t="s">
        <v>88</v>
      </c>
      <c r="D185" s="28" t="s">
        <v>281</v>
      </c>
      <c r="E185" s="28" t="s">
        <v>901</v>
      </c>
      <c r="F185" s="28" t="s">
        <v>906</v>
      </c>
      <c r="G185" s="28" t="s">
        <v>906</v>
      </c>
      <c r="H185" s="28" t="s">
        <v>283</v>
      </c>
      <c r="I185" s="28" t="e">
        <f>VLOOKUP(F185,표준용어사전!$B:$D,3,FALSE)</f>
        <v>#N/A</v>
      </c>
      <c r="J185" s="28" t="s">
        <v>748</v>
      </c>
      <c r="K185" s="27">
        <v>14</v>
      </c>
      <c r="L185" s="29" t="s">
        <v>571</v>
      </c>
      <c r="M185" s="29" t="s">
        <v>776</v>
      </c>
      <c r="N185" s="29" t="s">
        <v>711</v>
      </c>
      <c r="O185" s="28"/>
      <c r="P185" s="28"/>
      <c r="Q185" s="28" t="s">
        <v>76</v>
      </c>
      <c r="R185" s="29"/>
      <c r="S185" s="28"/>
      <c r="T185" s="28"/>
      <c r="U185" s="28" t="s">
        <v>75</v>
      </c>
      <c r="V185" s="28" t="s">
        <v>75</v>
      </c>
      <c r="W185" s="28"/>
    </row>
    <row r="186" spans="1:23" s="12" customFormat="1" hidden="1">
      <c r="A186" s="46" t="s">
        <v>572</v>
      </c>
      <c r="B186" s="28" t="s">
        <v>1333</v>
      </c>
      <c r="C186" s="28" t="s">
        <v>88</v>
      </c>
      <c r="D186" s="28" t="s">
        <v>281</v>
      </c>
      <c r="E186" s="28" t="s">
        <v>902</v>
      </c>
      <c r="F186" s="28" t="s">
        <v>908</v>
      </c>
      <c r="G186" s="28" t="s">
        <v>908</v>
      </c>
      <c r="H186" s="28" t="s">
        <v>283</v>
      </c>
      <c r="I186" s="28" t="e">
        <f>VLOOKUP(F186,표준용어사전!$B:$D,3,FALSE)</f>
        <v>#N/A</v>
      </c>
      <c r="J186" s="28" t="s">
        <v>748</v>
      </c>
      <c r="K186" s="27">
        <v>14</v>
      </c>
      <c r="L186" s="29" t="s">
        <v>571</v>
      </c>
      <c r="M186" s="29" t="s">
        <v>776</v>
      </c>
      <c r="N186" s="29" t="s">
        <v>711</v>
      </c>
      <c r="O186" s="28"/>
      <c r="P186" s="28"/>
      <c r="Q186" s="28" t="s">
        <v>76</v>
      </c>
      <c r="R186" s="29"/>
      <c r="S186" s="28"/>
      <c r="T186" s="28"/>
      <c r="U186" s="28" t="s">
        <v>75</v>
      </c>
      <c r="V186" s="28" t="s">
        <v>75</v>
      </c>
      <c r="W186" s="28"/>
    </row>
    <row r="187" spans="1:23" s="12" customFormat="1" hidden="1">
      <c r="A187" s="46" t="s">
        <v>572</v>
      </c>
      <c r="B187" s="28" t="s">
        <v>1333</v>
      </c>
      <c r="C187" s="28" t="s">
        <v>88</v>
      </c>
      <c r="D187" s="28" t="s">
        <v>281</v>
      </c>
      <c r="E187" s="28" t="s">
        <v>903</v>
      </c>
      <c r="F187" s="28" t="s">
        <v>909</v>
      </c>
      <c r="G187" s="28" t="s">
        <v>909</v>
      </c>
      <c r="H187" s="28" t="s">
        <v>283</v>
      </c>
      <c r="I187" s="28" t="e">
        <f>VLOOKUP(F187,표준용어사전!$B:$D,3,FALSE)</f>
        <v>#N/A</v>
      </c>
      <c r="J187" s="28" t="s">
        <v>748</v>
      </c>
      <c r="K187" s="27">
        <v>14</v>
      </c>
      <c r="L187" s="29" t="s">
        <v>571</v>
      </c>
      <c r="M187" s="29" t="s">
        <v>776</v>
      </c>
      <c r="N187" s="29" t="s">
        <v>711</v>
      </c>
      <c r="O187" s="28"/>
      <c r="P187" s="28"/>
      <c r="Q187" s="28" t="s">
        <v>76</v>
      </c>
      <c r="R187" s="29"/>
      <c r="S187" s="28"/>
      <c r="T187" s="28"/>
      <c r="U187" s="28" t="s">
        <v>75</v>
      </c>
      <c r="V187" s="28" t="s">
        <v>75</v>
      </c>
      <c r="W187" s="28"/>
    </row>
    <row r="188" spans="1:23" s="12" customFormat="1" hidden="1">
      <c r="A188" s="46" t="s">
        <v>572</v>
      </c>
      <c r="B188" s="28" t="s">
        <v>1333</v>
      </c>
      <c r="C188" s="28" t="s">
        <v>88</v>
      </c>
      <c r="D188" s="28" t="s">
        <v>281</v>
      </c>
      <c r="E188" s="28" t="s">
        <v>904</v>
      </c>
      <c r="F188" s="28" t="s">
        <v>910</v>
      </c>
      <c r="G188" s="28" t="s">
        <v>910</v>
      </c>
      <c r="H188" s="28" t="s">
        <v>283</v>
      </c>
      <c r="I188" s="28" t="e">
        <f>VLOOKUP(F188,표준용어사전!$B:$D,3,FALSE)</f>
        <v>#N/A</v>
      </c>
      <c r="J188" s="28" t="s">
        <v>748</v>
      </c>
      <c r="K188" s="27">
        <v>14</v>
      </c>
      <c r="L188" s="29" t="s">
        <v>571</v>
      </c>
      <c r="M188" s="29" t="s">
        <v>776</v>
      </c>
      <c r="N188" s="29" t="s">
        <v>711</v>
      </c>
      <c r="O188" s="28"/>
      <c r="P188" s="28"/>
      <c r="Q188" s="28" t="s">
        <v>76</v>
      </c>
      <c r="R188" s="29"/>
      <c r="S188" s="28"/>
      <c r="T188" s="28"/>
      <c r="U188" s="28" t="s">
        <v>75</v>
      </c>
      <c r="V188" s="28" t="s">
        <v>75</v>
      </c>
      <c r="W188" s="28"/>
    </row>
    <row r="189" spans="1:23" s="12" customFormat="1" hidden="1">
      <c r="A189" s="46" t="s">
        <v>572</v>
      </c>
      <c r="B189" s="28" t="s">
        <v>1333</v>
      </c>
      <c r="C189" s="28" t="s">
        <v>88</v>
      </c>
      <c r="D189" s="28" t="s">
        <v>281</v>
      </c>
      <c r="E189" s="28" t="s">
        <v>905</v>
      </c>
      <c r="F189" s="28" t="s">
        <v>898</v>
      </c>
      <c r="G189" s="28" t="s">
        <v>898</v>
      </c>
      <c r="H189" s="28" t="s">
        <v>283</v>
      </c>
      <c r="I189" s="28" t="e">
        <f>VLOOKUP(F189,표준용어사전!$B:$D,3,FALSE)</f>
        <v>#N/A</v>
      </c>
      <c r="J189" s="28" t="s">
        <v>748</v>
      </c>
      <c r="K189" s="27">
        <v>14</v>
      </c>
      <c r="L189" s="29" t="s">
        <v>571</v>
      </c>
      <c r="M189" s="29" t="s">
        <v>776</v>
      </c>
      <c r="N189" s="29" t="s">
        <v>711</v>
      </c>
      <c r="O189" s="28"/>
      <c r="P189" s="28"/>
      <c r="Q189" s="28" t="s">
        <v>76</v>
      </c>
      <c r="R189" s="29"/>
      <c r="S189" s="28"/>
      <c r="T189" s="28"/>
      <c r="U189" s="28" t="s">
        <v>75</v>
      </c>
      <c r="V189" s="28" t="s">
        <v>75</v>
      </c>
      <c r="W189" s="28"/>
    </row>
    <row r="190" spans="1:23" s="12" customFormat="1" hidden="1">
      <c r="A190" s="46" t="s">
        <v>572</v>
      </c>
      <c r="B190" s="28" t="s">
        <v>1333</v>
      </c>
      <c r="C190" s="28" t="s">
        <v>88</v>
      </c>
      <c r="D190" s="28" t="s">
        <v>585</v>
      </c>
      <c r="E190" s="28" t="s">
        <v>217</v>
      </c>
      <c r="F190" s="28" t="s">
        <v>459</v>
      </c>
      <c r="G190" s="28" t="s">
        <v>459</v>
      </c>
      <c r="H190" s="28" t="s">
        <v>590</v>
      </c>
      <c r="I190" s="28" t="str">
        <f>VLOOKUP(F190,표준용어사전!$B:$D,3,FALSE)</f>
        <v>명V20</v>
      </c>
      <c r="J190" s="28" t="s">
        <v>78</v>
      </c>
      <c r="K190" s="27">
        <v>50</v>
      </c>
      <c r="L190" s="29" t="s">
        <v>571</v>
      </c>
      <c r="M190" s="29" t="s">
        <v>720</v>
      </c>
      <c r="N190" s="29" t="s">
        <v>711</v>
      </c>
      <c r="O190" s="28" t="s">
        <v>73</v>
      </c>
      <c r="P190" s="28"/>
      <c r="Q190" s="28" t="s">
        <v>76</v>
      </c>
      <c r="R190" s="29"/>
      <c r="S190" s="28"/>
      <c r="T190" s="28" t="s">
        <v>571</v>
      </c>
      <c r="U190" s="28" t="s">
        <v>75</v>
      </c>
      <c r="V190" s="28" t="s">
        <v>75</v>
      </c>
      <c r="W190" s="28"/>
    </row>
    <row r="191" spans="1:23" s="12" customFormat="1" hidden="1">
      <c r="A191" s="46" t="s">
        <v>572</v>
      </c>
      <c r="B191" s="28" t="s">
        <v>1333</v>
      </c>
      <c r="C191" s="28" t="s">
        <v>88</v>
      </c>
      <c r="D191" s="28" t="s">
        <v>585</v>
      </c>
      <c r="E191" s="28" t="s">
        <v>593</v>
      </c>
      <c r="F191" s="28" t="s">
        <v>896</v>
      </c>
      <c r="G191" s="28" t="s">
        <v>739</v>
      </c>
      <c r="H191" s="28" t="s">
        <v>590</v>
      </c>
      <c r="I191" s="28" t="str">
        <f>VLOOKUP(F191,표준용어사전!$B:$D,3,FALSE)</f>
        <v>코드C4</v>
      </c>
      <c r="J191" s="28" t="s">
        <v>570</v>
      </c>
      <c r="K191" s="27">
        <v>50</v>
      </c>
      <c r="L191" s="29" t="s">
        <v>571</v>
      </c>
      <c r="M191" s="29" t="s">
        <v>725</v>
      </c>
      <c r="N191" s="29" t="s">
        <v>711</v>
      </c>
      <c r="O191" s="28" t="s">
        <v>74</v>
      </c>
      <c r="P191" s="28"/>
      <c r="Q191" s="28" t="s">
        <v>1374</v>
      </c>
      <c r="R191" s="29">
        <v>1</v>
      </c>
      <c r="S191" s="28"/>
      <c r="T191" s="28" t="s">
        <v>571</v>
      </c>
      <c r="U191" s="28" t="s">
        <v>75</v>
      </c>
      <c r="V191" s="28" t="s">
        <v>75</v>
      </c>
      <c r="W191" s="28"/>
    </row>
    <row r="192" spans="1:23" s="12" customFormat="1" hidden="1">
      <c r="A192" s="46" t="s">
        <v>572</v>
      </c>
      <c r="B192" s="28" t="s">
        <v>1333</v>
      </c>
      <c r="C192" s="28" t="s">
        <v>88</v>
      </c>
      <c r="D192" s="28" t="s">
        <v>585</v>
      </c>
      <c r="E192" s="28" t="s">
        <v>578</v>
      </c>
      <c r="F192" s="28" t="s">
        <v>580</v>
      </c>
      <c r="G192" s="28" t="s">
        <v>580</v>
      </c>
      <c r="H192" s="28" t="s">
        <v>590</v>
      </c>
      <c r="I192" s="28" t="str">
        <f>VLOOKUP(F192,표준용어사전!$B:$D,3,FALSE)</f>
        <v>명V20</v>
      </c>
      <c r="J192" s="28" t="s">
        <v>78</v>
      </c>
      <c r="K192" s="27">
        <v>20</v>
      </c>
      <c r="L192" s="29" t="s">
        <v>571</v>
      </c>
      <c r="M192" s="29" t="s">
        <v>727</v>
      </c>
      <c r="N192" s="29" t="s">
        <v>711</v>
      </c>
      <c r="O192" s="28" t="s">
        <v>624</v>
      </c>
      <c r="P192" s="28"/>
      <c r="Q192" s="28" t="s">
        <v>76</v>
      </c>
      <c r="R192" s="29"/>
      <c r="S192" s="28"/>
      <c r="T192" s="28" t="s">
        <v>571</v>
      </c>
      <c r="U192" s="28" t="s">
        <v>75</v>
      </c>
      <c r="V192" s="28" t="s">
        <v>75</v>
      </c>
      <c r="W192" s="28"/>
    </row>
    <row r="193" spans="1:23" s="12" customFormat="1" hidden="1">
      <c r="A193" s="46" t="s">
        <v>572</v>
      </c>
      <c r="B193" s="28" t="s">
        <v>1333</v>
      </c>
      <c r="C193" s="28" t="s">
        <v>88</v>
      </c>
      <c r="D193" s="28" t="s">
        <v>585</v>
      </c>
      <c r="E193" s="28" t="s">
        <v>90</v>
      </c>
      <c r="F193" s="28" t="s">
        <v>14</v>
      </c>
      <c r="G193" s="28" t="s">
        <v>14</v>
      </c>
      <c r="H193" s="28" t="s">
        <v>590</v>
      </c>
      <c r="I193" s="28" t="str">
        <f>VLOOKUP(F193,표준용어사전!$B:$D,3,FALSE)</f>
        <v>연월일시분초TS</v>
      </c>
      <c r="J193" s="28" t="s">
        <v>16</v>
      </c>
      <c r="K193" s="27" t="s">
        <v>571</v>
      </c>
      <c r="L193" s="29" t="s">
        <v>571</v>
      </c>
      <c r="M193" s="29" t="s">
        <v>726</v>
      </c>
      <c r="N193" s="29" t="s">
        <v>711</v>
      </c>
      <c r="O193" s="28"/>
      <c r="P193" s="28"/>
      <c r="Q193" s="28" t="s">
        <v>76</v>
      </c>
      <c r="R193" s="29"/>
      <c r="S193" s="28"/>
      <c r="T193" s="28" t="s">
        <v>574</v>
      </c>
      <c r="U193" s="28" t="s">
        <v>75</v>
      </c>
      <c r="V193" s="28" t="s">
        <v>75</v>
      </c>
      <c r="W193" s="28"/>
    </row>
    <row r="194" spans="1:23" s="12" customFormat="1" hidden="1">
      <c r="A194" s="46" t="s">
        <v>572</v>
      </c>
      <c r="B194" s="28" t="s">
        <v>1333</v>
      </c>
      <c r="C194" s="28" t="s">
        <v>88</v>
      </c>
      <c r="D194" s="28" t="s">
        <v>585</v>
      </c>
      <c r="E194" s="28" t="s">
        <v>91</v>
      </c>
      <c r="F194" s="28" t="s">
        <v>369</v>
      </c>
      <c r="G194" s="28" t="s">
        <v>369</v>
      </c>
      <c r="H194" s="28" t="s">
        <v>590</v>
      </c>
      <c r="I194" s="28" t="str">
        <f>VLOOKUP(F194,표준용어사전!$B:$D,3,FALSE)</f>
        <v>명V20</v>
      </c>
      <c r="J194" s="28" t="s">
        <v>78</v>
      </c>
      <c r="K194" s="27">
        <v>20</v>
      </c>
      <c r="L194" s="29" t="s">
        <v>571</v>
      </c>
      <c r="M194" s="29" t="s">
        <v>727</v>
      </c>
      <c r="N194" s="29" t="s">
        <v>75</v>
      </c>
      <c r="O194" s="28"/>
      <c r="P194" s="28"/>
      <c r="Q194" s="28" t="s">
        <v>76</v>
      </c>
      <c r="R194" s="29"/>
      <c r="S194" s="28"/>
      <c r="T194" s="28" t="s">
        <v>571</v>
      </c>
      <c r="U194" s="28" t="s">
        <v>75</v>
      </c>
      <c r="V194" s="28" t="s">
        <v>75</v>
      </c>
      <c r="W194" s="28"/>
    </row>
    <row r="195" spans="1:23" s="12" customFormat="1" hidden="1">
      <c r="A195" s="46" t="s">
        <v>572</v>
      </c>
      <c r="B195" s="28" t="s">
        <v>1333</v>
      </c>
      <c r="C195" s="28" t="s">
        <v>88</v>
      </c>
      <c r="D195" s="28" t="s">
        <v>585</v>
      </c>
      <c r="E195" s="28" t="s">
        <v>92</v>
      </c>
      <c r="F195" s="28" t="s">
        <v>15</v>
      </c>
      <c r="G195" s="28" t="s">
        <v>15</v>
      </c>
      <c r="H195" s="28" t="s">
        <v>590</v>
      </c>
      <c r="I195" s="28" t="str">
        <f>VLOOKUP(F195,표준용어사전!$B:$D,3,FALSE)</f>
        <v>연월일시분초TS</v>
      </c>
      <c r="J195" s="28" t="s">
        <v>16</v>
      </c>
      <c r="K195" s="27" t="s">
        <v>571</v>
      </c>
      <c r="L195" s="29" t="s">
        <v>571</v>
      </c>
      <c r="M195" s="29" t="s">
        <v>726</v>
      </c>
      <c r="N195" s="29" t="s">
        <v>75</v>
      </c>
      <c r="O195" s="28"/>
      <c r="P195" s="28"/>
      <c r="Q195" s="28" t="s">
        <v>76</v>
      </c>
      <c r="R195" s="29"/>
      <c r="S195" s="28"/>
      <c r="T195" s="28" t="s">
        <v>574</v>
      </c>
      <c r="U195" s="28" t="s">
        <v>75</v>
      </c>
      <c r="V195" s="28" t="s">
        <v>75</v>
      </c>
      <c r="W195" s="28"/>
    </row>
    <row r="196" spans="1:23" s="12" customFormat="1" hidden="1">
      <c r="A196" s="46" t="s">
        <v>572</v>
      </c>
      <c r="B196" s="28" t="s">
        <v>1333</v>
      </c>
      <c r="C196" s="28" t="s">
        <v>88</v>
      </c>
      <c r="D196" s="28" t="s">
        <v>585</v>
      </c>
      <c r="E196" s="28" t="s">
        <v>93</v>
      </c>
      <c r="F196" s="28" t="s">
        <v>370</v>
      </c>
      <c r="G196" s="28" t="s">
        <v>370</v>
      </c>
      <c r="H196" s="28" t="s">
        <v>590</v>
      </c>
      <c r="I196" s="28" t="str">
        <f>VLOOKUP(F196,표준용어사전!$B:$D,3,FALSE)</f>
        <v>명V20</v>
      </c>
      <c r="J196" s="28" t="s">
        <v>78</v>
      </c>
      <c r="K196" s="27">
        <v>20</v>
      </c>
      <c r="L196" s="29" t="s">
        <v>571</v>
      </c>
      <c r="M196" s="29" t="s">
        <v>727</v>
      </c>
      <c r="N196" s="29" t="s">
        <v>75</v>
      </c>
      <c r="O196" s="28"/>
      <c r="P196" s="28"/>
      <c r="Q196" s="28" t="s">
        <v>76</v>
      </c>
      <c r="R196" s="29"/>
      <c r="S196" s="28"/>
      <c r="T196" s="28" t="s">
        <v>571</v>
      </c>
      <c r="U196" s="28" t="s">
        <v>75</v>
      </c>
      <c r="V196" s="28" t="s">
        <v>75</v>
      </c>
      <c r="W196" s="28"/>
    </row>
    <row r="197" spans="1:23" s="12" customFormat="1" hidden="1">
      <c r="A197" s="46" t="s">
        <v>572</v>
      </c>
      <c r="B197" s="28" t="s">
        <v>1333</v>
      </c>
      <c r="C197" s="28" t="s">
        <v>88</v>
      </c>
      <c r="D197" s="28" t="s">
        <v>585</v>
      </c>
      <c r="E197" s="40" t="s">
        <v>1340</v>
      </c>
      <c r="F197" s="28" t="s">
        <v>1341</v>
      </c>
      <c r="G197" s="28" t="s">
        <v>1341</v>
      </c>
      <c r="H197" s="28" t="s">
        <v>590</v>
      </c>
      <c r="I197" s="28" t="str">
        <f>VLOOKUP(F197,표준용어사전!$B:$D,3,FALSE)</f>
        <v>수N10,3</v>
      </c>
      <c r="J197" s="28" t="s">
        <v>748</v>
      </c>
      <c r="K197" s="27">
        <v>10</v>
      </c>
      <c r="L197" s="29">
        <v>3</v>
      </c>
      <c r="M197" s="29" t="s">
        <v>1342</v>
      </c>
      <c r="N197" s="29" t="s">
        <v>75</v>
      </c>
      <c r="O197" s="28"/>
      <c r="P197" s="28"/>
      <c r="Q197" s="28" t="s">
        <v>76</v>
      </c>
      <c r="R197" s="29"/>
      <c r="S197" s="28"/>
      <c r="T197" s="28" t="s">
        <v>571</v>
      </c>
      <c r="U197" s="28" t="s">
        <v>75</v>
      </c>
      <c r="V197" s="28" t="s">
        <v>75</v>
      </c>
      <c r="W197" s="28"/>
    </row>
    <row r="198" spans="1:23" s="12" customFormat="1" hidden="1">
      <c r="A198" s="46" t="s">
        <v>572</v>
      </c>
      <c r="B198" s="28" t="s">
        <v>1331</v>
      </c>
      <c r="C198" s="28" t="s">
        <v>88</v>
      </c>
      <c r="D198" s="28" t="s">
        <v>351</v>
      </c>
      <c r="E198" s="28" t="s">
        <v>352</v>
      </c>
      <c r="F198" s="28" t="s">
        <v>560</v>
      </c>
      <c r="G198" s="28" t="s">
        <v>560</v>
      </c>
      <c r="H198" s="28" t="s">
        <v>353</v>
      </c>
      <c r="I198" s="28" t="str">
        <f>VLOOKUP(F198,표준용어사전!$B:$D,3,FALSE)</f>
        <v>연월C6</v>
      </c>
      <c r="J198" s="28" t="s">
        <v>570</v>
      </c>
      <c r="K198" s="27">
        <v>6</v>
      </c>
      <c r="L198" s="29" t="s">
        <v>571</v>
      </c>
      <c r="M198" s="29" t="s">
        <v>733</v>
      </c>
      <c r="N198" s="29" t="s">
        <v>711</v>
      </c>
      <c r="O198" s="28" t="s">
        <v>641</v>
      </c>
      <c r="P198" s="28"/>
      <c r="Q198" s="28" t="s">
        <v>76</v>
      </c>
      <c r="R198" s="29"/>
      <c r="S198" s="28"/>
      <c r="T198" s="28" t="s">
        <v>577</v>
      </c>
      <c r="U198" s="28" t="s">
        <v>75</v>
      </c>
      <c r="V198" s="28" t="s">
        <v>75</v>
      </c>
      <c r="W198" s="28"/>
    </row>
    <row r="199" spans="1:23" s="12" customFormat="1" hidden="1">
      <c r="A199" s="46" t="s">
        <v>572</v>
      </c>
      <c r="B199" s="28" t="s">
        <v>1331</v>
      </c>
      <c r="C199" s="28" t="s">
        <v>88</v>
      </c>
      <c r="D199" s="28" t="s">
        <v>351</v>
      </c>
      <c r="E199" s="28" t="s">
        <v>282</v>
      </c>
      <c r="F199" s="28" t="s">
        <v>510</v>
      </c>
      <c r="G199" s="28" t="s">
        <v>510</v>
      </c>
      <c r="H199" s="28" t="s">
        <v>353</v>
      </c>
      <c r="I199" s="28" t="str">
        <f>VLOOKUP(F199,표준용어사전!$B:$D,3,FALSE)</f>
        <v>코드V50</v>
      </c>
      <c r="J199" s="28" t="s">
        <v>570</v>
      </c>
      <c r="K199" s="27">
        <v>50</v>
      </c>
      <c r="L199" s="29" t="s">
        <v>571</v>
      </c>
      <c r="M199" s="29" t="s">
        <v>725</v>
      </c>
      <c r="N199" s="29" t="s">
        <v>711</v>
      </c>
      <c r="O199" s="28" t="s">
        <v>573</v>
      </c>
      <c r="P199" s="28"/>
      <c r="Q199" s="28" t="s">
        <v>76</v>
      </c>
      <c r="R199" s="29"/>
      <c r="S199" s="28"/>
      <c r="T199" s="28" t="s">
        <v>76</v>
      </c>
      <c r="U199" s="28" t="s">
        <v>75</v>
      </c>
      <c r="V199" s="28" t="s">
        <v>75</v>
      </c>
      <c r="W199" s="28"/>
    </row>
    <row r="200" spans="1:23" s="12" customFormat="1" hidden="1">
      <c r="A200" s="46" t="s">
        <v>572</v>
      </c>
      <c r="B200" s="28" t="s">
        <v>1331</v>
      </c>
      <c r="C200" s="28" t="s">
        <v>88</v>
      </c>
      <c r="D200" s="28" t="s">
        <v>1829</v>
      </c>
      <c r="E200" s="28" t="s">
        <v>354</v>
      </c>
      <c r="F200" s="28" t="s">
        <v>561</v>
      </c>
      <c r="G200" s="28" t="s">
        <v>561</v>
      </c>
      <c r="H200" s="28" t="s">
        <v>353</v>
      </c>
      <c r="I200" s="28" t="str">
        <f>VLOOKUP(F200,표준용어사전!$B:$D,3,FALSE)</f>
        <v>수N10</v>
      </c>
      <c r="J200" s="28" t="s">
        <v>63</v>
      </c>
      <c r="K200" s="27">
        <v>10</v>
      </c>
      <c r="L200" s="29" t="s">
        <v>571</v>
      </c>
      <c r="M200" s="29">
        <v>9999999999</v>
      </c>
      <c r="N200" s="29" t="s">
        <v>75</v>
      </c>
      <c r="O200" s="28"/>
      <c r="P200" s="28"/>
      <c r="Q200" s="28" t="s">
        <v>76</v>
      </c>
      <c r="R200" s="29"/>
      <c r="S200" s="28"/>
      <c r="T200" s="28" t="s">
        <v>76</v>
      </c>
      <c r="U200" s="28" t="s">
        <v>75</v>
      </c>
      <c r="V200" s="28" t="s">
        <v>75</v>
      </c>
      <c r="W200" s="28"/>
    </row>
    <row r="201" spans="1:23" s="51" customFormat="1" hidden="1">
      <c r="A201" s="47" t="s">
        <v>572</v>
      </c>
      <c r="B201" s="48" t="s">
        <v>1331</v>
      </c>
      <c r="C201" s="48" t="s">
        <v>88</v>
      </c>
      <c r="D201" s="28" t="s">
        <v>1829</v>
      </c>
      <c r="E201" s="48" t="s">
        <v>1830</v>
      </c>
      <c r="F201" s="48" t="s">
        <v>1832</v>
      </c>
      <c r="G201" s="48" t="s">
        <v>1832</v>
      </c>
      <c r="H201" s="28" t="s">
        <v>353</v>
      </c>
      <c r="I201" s="48" t="str">
        <f>VLOOKUP(F201,표준용어사전!$B:$D,3,FALSE)</f>
        <v>시분초N10</v>
      </c>
      <c r="J201" s="48" t="s">
        <v>63</v>
      </c>
      <c r="K201" s="49">
        <v>10</v>
      </c>
      <c r="L201" s="50" t="s">
        <v>571</v>
      </c>
      <c r="M201" s="50">
        <v>9999999999</v>
      </c>
      <c r="N201" s="29" t="s">
        <v>75</v>
      </c>
      <c r="O201" s="48"/>
      <c r="P201" s="48"/>
      <c r="Q201" s="48" t="s">
        <v>76</v>
      </c>
      <c r="R201" s="50"/>
      <c r="S201" s="48"/>
      <c r="T201" s="48" t="s">
        <v>76</v>
      </c>
      <c r="U201" s="48" t="s">
        <v>75</v>
      </c>
      <c r="V201" s="48" t="s">
        <v>75</v>
      </c>
      <c r="W201" s="48"/>
    </row>
    <row r="202" spans="1:23" s="51" customFormat="1" hidden="1">
      <c r="A202" s="47" t="s">
        <v>572</v>
      </c>
      <c r="B202" s="48" t="s">
        <v>1331</v>
      </c>
      <c r="C202" s="48" t="s">
        <v>88</v>
      </c>
      <c r="D202" s="28" t="s">
        <v>1829</v>
      </c>
      <c r="E202" s="48" t="s">
        <v>1824</v>
      </c>
      <c r="F202" s="48" t="s">
        <v>1510</v>
      </c>
      <c r="G202" s="48" t="s">
        <v>1487</v>
      </c>
      <c r="H202" s="28" t="s">
        <v>353</v>
      </c>
      <c r="I202" s="48" t="e">
        <f>VLOOKUP(F202,표준용어사전!$B:$D,3,FALSE)</f>
        <v>#N/A</v>
      </c>
      <c r="J202" s="28" t="s">
        <v>570</v>
      </c>
      <c r="K202" s="52" t="s">
        <v>1002</v>
      </c>
      <c r="L202" s="50" t="s">
        <v>571</v>
      </c>
      <c r="M202" s="29" t="s">
        <v>725</v>
      </c>
      <c r="N202" s="50" t="s">
        <v>973</v>
      </c>
      <c r="O202" s="48" t="s">
        <v>754</v>
      </c>
      <c r="P202" s="48"/>
      <c r="Q202" s="48" t="s">
        <v>76</v>
      </c>
      <c r="R202" s="50"/>
      <c r="S202" s="48"/>
      <c r="T202" s="48" t="s">
        <v>76</v>
      </c>
      <c r="U202" s="48" t="s">
        <v>75</v>
      </c>
      <c r="V202" s="48" t="s">
        <v>75</v>
      </c>
      <c r="W202" s="48"/>
    </row>
    <row r="203" spans="1:23" s="12" customFormat="1" hidden="1">
      <c r="A203" s="46" t="s">
        <v>572</v>
      </c>
      <c r="B203" s="28" t="s">
        <v>1333</v>
      </c>
      <c r="C203" s="28" t="s">
        <v>88</v>
      </c>
      <c r="D203" s="28" t="s">
        <v>663</v>
      </c>
      <c r="E203" s="28" t="s">
        <v>832</v>
      </c>
      <c r="F203" s="28" t="s">
        <v>741</v>
      </c>
      <c r="G203" s="28" t="s">
        <v>741</v>
      </c>
      <c r="H203" s="28" t="s">
        <v>694</v>
      </c>
      <c r="I203" s="28" t="str">
        <f>VLOOKUP(F203,표준용어사전!$B:$D,3,FALSE)</f>
        <v>번호I</v>
      </c>
      <c r="J203" s="28" t="s">
        <v>717</v>
      </c>
      <c r="K203" s="27" t="s">
        <v>571</v>
      </c>
      <c r="L203" s="29" t="s">
        <v>571</v>
      </c>
      <c r="M203" s="29"/>
      <c r="N203" s="29" t="s">
        <v>711</v>
      </c>
      <c r="O203" s="28" t="s">
        <v>641</v>
      </c>
      <c r="P203" s="28"/>
      <c r="Q203" s="28" t="s">
        <v>76</v>
      </c>
      <c r="R203" s="29"/>
      <c r="S203" s="28"/>
      <c r="T203" s="28"/>
      <c r="U203" s="28" t="s">
        <v>75</v>
      </c>
      <c r="V203" s="28" t="s">
        <v>75</v>
      </c>
      <c r="W203" s="28"/>
    </row>
    <row r="204" spans="1:23" s="12" customFormat="1" hidden="1">
      <c r="A204" s="46" t="s">
        <v>572</v>
      </c>
      <c r="B204" s="28" t="s">
        <v>1333</v>
      </c>
      <c r="C204" s="28" t="s">
        <v>88</v>
      </c>
      <c r="D204" s="28" t="s">
        <v>663</v>
      </c>
      <c r="E204" s="28" t="s">
        <v>246</v>
      </c>
      <c r="F204" s="28" t="s">
        <v>17</v>
      </c>
      <c r="G204" s="28" t="s">
        <v>17</v>
      </c>
      <c r="H204" s="28" t="s">
        <v>694</v>
      </c>
      <c r="I204" s="28" t="str">
        <f>VLOOKUP(F204,표준용어사전!$B:$D,3,FALSE)</f>
        <v>명V20</v>
      </c>
      <c r="J204" s="28" t="s">
        <v>718</v>
      </c>
      <c r="K204" s="24">
        <v>20</v>
      </c>
      <c r="L204" s="29" t="s">
        <v>571</v>
      </c>
      <c r="M204" s="29" t="s">
        <v>727</v>
      </c>
      <c r="N204" s="29" t="s">
        <v>711</v>
      </c>
      <c r="O204" s="28"/>
      <c r="P204" s="28"/>
      <c r="Q204" s="28" t="s">
        <v>76</v>
      </c>
      <c r="R204" s="29"/>
      <c r="S204" s="28"/>
      <c r="T204" s="28"/>
      <c r="U204" s="28" t="s">
        <v>75</v>
      </c>
      <c r="V204" s="28" t="s">
        <v>75</v>
      </c>
      <c r="W204" s="28"/>
    </row>
    <row r="205" spans="1:23" s="12" customFormat="1" hidden="1">
      <c r="A205" s="46" t="s">
        <v>572</v>
      </c>
      <c r="B205" s="28" t="s">
        <v>1333</v>
      </c>
      <c r="C205" s="28" t="s">
        <v>88</v>
      </c>
      <c r="D205" s="28" t="s">
        <v>663</v>
      </c>
      <c r="E205" s="28" t="s">
        <v>217</v>
      </c>
      <c r="F205" s="28" t="s">
        <v>459</v>
      </c>
      <c r="G205" s="28" t="s">
        <v>459</v>
      </c>
      <c r="H205" s="28" t="s">
        <v>694</v>
      </c>
      <c r="I205" s="28" t="str">
        <f>VLOOKUP(F205,표준용어사전!$B:$D,3,FALSE)</f>
        <v>명V20</v>
      </c>
      <c r="J205" s="28" t="s">
        <v>718</v>
      </c>
      <c r="K205" s="24">
        <v>50</v>
      </c>
      <c r="L205" s="29" t="s">
        <v>571</v>
      </c>
      <c r="M205" s="29" t="s">
        <v>720</v>
      </c>
      <c r="N205" s="29" t="s">
        <v>711</v>
      </c>
      <c r="O205" s="28"/>
      <c r="P205" s="28"/>
      <c r="Q205" s="28" t="s">
        <v>76</v>
      </c>
      <c r="R205" s="29"/>
      <c r="S205" s="28"/>
      <c r="T205" s="28"/>
      <c r="U205" s="28" t="s">
        <v>75</v>
      </c>
      <c r="V205" s="28" t="s">
        <v>75</v>
      </c>
      <c r="W205" s="28"/>
    </row>
    <row r="206" spans="1:23" s="12" customFormat="1" hidden="1">
      <c r="A206" s="46" t="s">
        <v>572</v>
      </c>
      <c r="B206" s="28" t="s">
        <v>1333</v>
      </c>
      <c r="C206" s="28" t="s">
        <v>88</v>
      </c>
      <c r="D206" s="28" t="s">
        <v>663</v>
      </c>
      <c r="E206" s="28" t="s">
        <v>268</v>
      </c>
      <c r="F206" s="28" t="s">
        <v>500</v>
      </c>
      <c r="G206" s="28" t="s">
        <v>763</v>
      </c>
      <c r="H206" s="28" t="s">
        <v>694</v>
      </c>
      <c r="I206" s="28" t="str">
        <f>VLOOKUP(F206,표준용어사전!$B:$D,3,FALSE)</f>
        <v>코드C1</v>
      </c>
      <c r="J206" s="28" t="s">
        <v>709</v>
      </c>
      <c r="K206" s="24">
        <v>1</v>
      </c>
      <c r="L206" s="29" t="s">
        <v>571</v>
      </c>
      <c r="M206" s="29" t="s">
        <v>722</v>
      </c>
      <c r="N206" s="29" t="s">
        <v>75</v>
      </c>
      <c r="O206" s="28"/>
      <c r="P206" s="28"/>
      <c r="Q206" s="28" t="s">
        <v>76</v>
      </c>
      <c r="R206" s="29"/>
      <c r="S206" s="28"/>
      <c r="T206" s="28"/>
      <c r="U206" s="28" t="s">
        <v>75</v>
      </c>
      <c r="V206" s="28" t="s">
        <v>75</v>
      </c>
      <c r="W206" s="28"/>
    </row>
    <row r="207" spans="1:23" s="12" customFormat="1" hidden="1">
      <c r="A207" s="46" t="s">
        <v>572</v>
      </c>
      <c r="B207" s="28" t="s">
        <v>1333</v>
      </c>
      <c r="C207" s="28" t="s">
        <v>88</v>
      </c>
      <c r="D207" s="28" t="s">
        <v>663</v>
      </c>
      <c r="E207" s="28" t="s">
        <v>252</v>
      </c>
      <c r="F207" s="28" t="s">
        <v>77</v>
      </c>
      <c r="G207" s="28" t="s">
        <v>77</v>
      </c>
      <c r="H207" s="28" t="s">
        <v>694</v>
      </c>
      <c r="I207" s="28" t="str">
        <f>VLOOKUP(F207,표준용어사전!$B:$D,3,FALSE)</f>
        <v>내용TXT</v>
      </c>
      <c r="J207" s="28" t="s">
        <v>713</v>
      </c>
      <c r="K207" s="27" t="s">
        <v>571</v>
      </c>
      <c r="L207" s="29" t="s">
        <v>571</v>
      </c>
      <c r="M207" s="29"/>
      <c r="N207" s="29" t="s">
        <v>75</v>
      </c>
      <c r="O207" s="28"/>
      <c r="P207" s="28"/>
      <c r="Q207" s="28" t="s">
        <v>76</v>
      </c>
      <c r="R207" s="29"/>
      <c r="S207" s="28"/>
      <c r="T207" s="28"/>
      <c r="U207" s="28" t="s">
        <v>75</v>
      </c>
      <c r="V207" s="28" t="s">
        <v>75</v>
      </c>
      <c r="W207" s="28"/>
    </row>
    <row r="208" spans="1:23" s="12" customFormat="1" hidden="1">
      <c r="A208" s="46" t="s">
        <v>572</v>
      </c>
      <c r="B208" s="28" t="s">
        <v>1333</v>
      </c>
      <c r="C208" s="28" t="s">
        <v>88</v>
      </c>
      <c r="D208" s="28" t="s">
        <v>663</v>
      </c>
      <c r="E208" s="28" t="s">
        <v>90</v>
      </c>
      <c r="F208" s="28" t="s">
        <v>14</v>
      </c>
      <c r="G208" s="28" t="s">
        <v>14</v>
      </c>
      <c r="H208" s="28" t="s">
        <v>694</v>
      </c>
      <c r="I208" s="28" t="str">
        <f>VLOOKUP(F208,표준용어사전!$B:$D,3,FALSE)</f>
        <v>연월일시분초TS</v>
      </c>
      <c r="J208" s="28" t="s">
        <v>16</v>
      </c>
      <c r="K208" s="27" t="s">
        <v>571</v>
      </c>
      <c r="L208" s="29" t="s">
        <v>571</v>
      </c>
      <c r="M208" s="29" t="s">
        <v>726</v>
      </c>
      <c r="N208" s="29" t="s">
        <v>711</v>
      </c>
      <c r="O208" s="28"/>
      <c r="P208" s="28"/>
      <c r="Q208" s="28" t="s">
        <v>76</v>
      </c>
      <c r="R208" s="29"/>
      <c r="S208" s="28"/>
      <c r="T208" s="28" t="s">
        <v>574</v>
      </c>
      <c r="U208" s="28" t="s">
        <v>75</v>
      </c>
      <c r="V208" s="28" t="s">
        <v>75</v>
      </c>
      <c r="W208" s="28"/>
    </row>
    <row r="209" spans="1:23" s="12" customFormat="1" hidden="1">
      <c r="A209" s="46" t="s">
        <v>572</v>
      </c>
      <c r="B209" s="28" t="s">
        <v>1333</v>
      </c>
      <c r="C209" s="28" t="s">
        <v>88</v>
      </c>
      <c r="D209" s="28" t="s">
        <v>663</v>
      </c>
      <c r="E209" s="28" t="s">
        <v>91</v>
      </c>
      <c r="F209" s="28" t="s">
        <v>369</v>
      </c>
      <c r="G209" s="28" t="s">
        <v>369</v>
      </c>
      <c r="H209" s="28" t="s">
        <v>694</v>
      </c>
      <c r="I209" s="28" t="str">
        <f>VLOOKUP(F209,표준용어사전!$B:$D,3,FALSE)</f>
        <v>명V20</v>
      </c>
      <c r="J209" s="28" t="s">
        <v>78</v>
      </c>
      <c r="K209" s="27">
        <v>20</v>
      </c>
      <c r="L209" s="29" t="s">
        <v>571</v>
      </c>
      <c r="M209" s="29" t="s">
        <v>727</v>
      </c>
      <c r="N209" s="29" t="s">
        <v>75</v>
      </c>
      <c r="O209" s="28"/>
      <c r="P209" s="28"/>
      <c r="Q209" s="28" t="s">
        <v>76</v>
      </c>
      <c r="R209" s="29"/>
      <c r="S209" s="28"/>
      <c r="T209" s="28" t="s">
        <v>571</v>
      </c>
      <c r="U209" s="28" t="s">
        <v>75</v>
      </c>
      <c r="V209" s="28" t="s">
        <v>75</v>
      </c>
      <c r="W209" s="28"/>
    </row>
    <row r="210" spans="1:23" s="12" customFormat="1" hidden="1">
      <c r="A210" s="46" t="s">
        <v>572</v>
      </c>
      <c r="B210" s="28" t="s">
        <v>1333</v>
      </c>
      <c r="C210" s="28" t="s">
        <v>88</v>
      </c>
      <c r="D210" s="28" t="s">
        <v>663</v>
      </c>
      <c r="E210" s="28" t="s">
        <v>92</v>
      </c>
      <c r="F210" s="28" t="s">
        <v>15</v>
      </c>
      <c r="G210" s="28" t="s">
        <v>15</v>
      </c>
      <c r="H210" s="28" t="s">
        <v>694</v>
      </c>
      <c r="I210" s="28" t="str">
        <f>VLOOKUP(F210,표준용어사전!$B:$D,3,FALSE)</f>
        <v>연월일시분초TS</v>
      </c>
      <c r="J210" s="28" t="s">
        <v>16</v>
      </c>
      <c r="K210" s="27" t="s">
        <v>571</v>
      </c>
      <c r="L210" s="29" t="s">
        <v>571</v>
      </c>
      <c r="M210" s="29" t="s">
        <v>726</v>
      </c>
      <c r="N210" s="29" t="s">
        <v>75</v>
      </c>
      <c r="O210" s="28"/>
      <c r="P210" s="28"/>
      <c r="Q210" s="28" t="s">
        <v>76</v>
      </c>
      <c r="R210" s="29"/>
      <c r="S210" s="28"/>
      <c r="T210" s="28" t="s">
        <v>574</v>
      </c>
      <c r="U210" s="28" t="s">
        <v>75</v>
      </c>
      <c r="V210" s="28" t="s">
        <v>75</v>
      </c>
      <c r="W210" s="28"/>
    </row>
    <row r="211" spans="1:23" s="12" customFormat="1" hidden="1">
      <c r="A211" s="46" t="s">
        <v>572</v>
      </c>
      <c r="B211" s="28" t="s">
        <v>1333</v>
      </c>
      <c r="C211" s="28" t="s">
        <v>88</v>
      </c>
      <c r="D211" s="28" t="s">
        <v>663</v>
      </c>
      <c r="E211" s="28" t="s">
        <v>93</v>
      </c>
      <c r="F211" s="28" t="s">
        <v>370</v>
      </c>
      <c r="G211" s="28" t="s">
        <v>370</v>
      </c>
      <c r="H211" s="28" t="s">
        <v>694</v>
      </c>
      <c r="I211" s="28" t="str">
        <f>VLOOKUP(F211,표준용어사전!$B:$D,3,FALSE)</f>
        <v>명V20</v>
      </c>
      <c r="J211" s="28" t="s">
        <v>78</v>
      </c>
      <c r="K211" s="27">
        <v>20</v>
      </c>
      <c r="L211" s="29" t="s">
        <v>571</v>
      </c>
      <c r="M211" s="29" t="s">
        <v>727</v>
      </c>
      <c r="N211" s="29" t="s">
        <v>75</v>
      </c>
      <c r="O211" s="28"/>
      <c r="P211" s="28"/>
      <c r="Q211" s="28" t="s">
        <v>76</v>
      </c>
      <c r="R211" s="29"/>
      <c r="S211" s="28"/>
      <c r="T211" s="28" t="s">
        <v>571</v>
      </c>
      <c r="U211" s="28" t="s">
        <v>75</v>
      </c>
      <c r="V211" s="28" t="s">
        <v>75</v>
      </c>
      <c r="W211" s="28"/>
    </row>
    <row r="212" spans="1:23" s="12" customFormat="1" hidden="1">
      <c r="A212" s="46" t="s">
        <v>572</v>
      </c>
      <c r="B212" s="28" t="s">
        <v>1334</v>
      </c>
      <c r="C212" s="28" t="s">
        <v>740</v>
      </c>
      <c r="D212" s="28" t="s">
        <v>363</v>
      </c>
      <c r="E212" s="28" t="s">
        <v>364</v>
      </c>
      <c r="F212" s="28" t="s">
        <v>566</v>
      </c>
      <c r="G212" s="28" t="s">
        <v>566</v>
      </c>
      <c r="H212" s="28" t="s">
        <v>365</v>
      </c>
      <c r="I212" s="28" t="str">
        <f>VLOOKUP(F212,표준용어사전!$B:$D,3,FALSE)</f>
        <v>명V20</v>
      </c>
      <c r="J212" s="28" t="s">
        <v>78</v>
      </c>
      <c r="K212" s="27">
        <v>50</v>
      </c>
      <c r="L212" s="29" t="s">
        <v>571</v>
      </c>
      <c r="M212" s="29" t="s">
        <v>720</v>
      </c>
      <c r="N212" s="29" t="s">
        <v>711</v>
      </c>
      <c r="O212" s="28" t="s">
        <v>641</v>
      </c>
      <c r="P212" s="28"/>
      <c r="Q212" s="28" t="s">
        <v>76</v>
      </c>
      <c r="R212" s="29"/>
      <c r="S212" s="28"/>
      <c r="T212" s="28" t="s">
        <v>76</v>
      </c>
      <c r="U212" s="28" t="s">
        <v>75</v>
      </c>
      <c r="V212" s="28" t="s">
        <v>75</v>
      </c>
      <c r="W212" s="28"/>
    </row>
    <row r="213" spans="1:23" s="12" customFormat="1" hidden="1">
      <c r="A213" s="46" t="s">
        <v>572</v>
      </c>
      <c r="B213" s="28" t="s">
        <v>1334</v>
      </c>
      <c r="C213" s="28" t="s">
        <v>740</v>
      </c>
      <c r="D213" s="28" t="s">
        <v>363</v>
      </c>
      <c r="E213" s="28" t="s">
        <v>1624</v>
      </c>
      <c r="F213" s="28" t="s">
        <v>1537</v>
      </c>
      <c r="G213" s="28" t="s">
        <v>567</v>
      </c>
      <c r="H213" s="28" t="s">
        <v>365</v>
      </c>
      <c r="I213" s="28" t="e">
        <f>VLOOKUP(F213,표준용어사전!$B:$D,3,FALSE)</f>
        <v>#N/A</v>
      </c>
      <c r="J213" s="28" t="s">
        <v>570</v>
      </c>
      <c r="K213" s="27">
        <v>50</v>
      </c>
      <c r="L213" s="29" t="s">
        <v>571</v>
      </c>
      <c r="M213" s="29" t="s">
        <v>725</v>
      </c>
      <c r="N213" s="29" t="s">
        <v>75</v>
      </c>
      <c r="O213" s="28"/>
      <c r="P213" s="28"/>
      <c r="Q213" s="28" t="s">
        <v>76</v>
      </c>
      <c r="R213" s="29"/>
      <c r="S213" s="28"/>
      <c r="T213" s="28" t="s">
        <v>743</v>
      </c>
      <c r="U213" s="28" t="s">
        <v>75</v>
      </c>
      <c r="V213" s="28" t="s">
        <v>75</v>
      </c>
      <c r="W213" s="28"/>
    </row>
    <row r="214" spans="1:23" s="12" customFormat="1" hidden="1">
      <c r="A214" s="46" t="s">
        <v>572</v>
      </c>
      <c r="B214" s="28" t="s">
        <v>1334</v>
      </c>
      <c r="C214" s="28" t="s">
        <v>740</v>
      </c>
      <c r="D214" s="28" t="s">
        <v>363</v>
      </c>
      <c r="E214" s="28" t="s">
        <v>366</v>
      </c>
      <c r="F214" s="28" t="s">
        <v>568</v>
      </c>
      <c r="G214" s="28" t="s">
        <v>568</v>
      </c>
      <c r="H214" s="28" t="s">
        <v>365</v>
      </c>
      <c r="I214" s="28" t="e">
        <f>VLOOKUP(F214,표준용어사전!$B:$D,3,FALSE)</f>
        <v>#N/A</v>
      </c>
      <c r="J214" s="28" t="s">
        <v>78</v>
      </c>
      <c r="K214" s="27">
        <v>2000</v>
      </c>
      <c r="L214" s="29" t="s">
        <v>571</v>
      </c>
      <c r="M214" s="29" t="s">
        <v>728</v>
      </c>
      <c r="N214" s="29" t="s">
        <v>75</v>
      </c>
      <c r="O214" s="28"/>
      <c r="P214" s="28"/>
      <c r="Q214" s="28" t="s">
        <v>76</v>
      </c>
      <c r="R214" s="29"/>
      <c r="S214" s="28"/>
      <c r="T214" s="28" t="s">
        <v>76</v>
      </c>
      <c r="U214" s="28" t="s">
        <v>75</v>
      </c>
      <c r="V214" s="28" t="s">
        <v>75</v>
      </c>
      <c r="W214" s="28"/>
    </row>
    <row r="215" spans="1:23" s="12" customFormat="1" hidden="1">
      <c r="A215" s="46" t="s">
        <v>572</v>
      </c>
      <c r="B215" s="28" t="s">
        <v>1334</v>
      </c>
      <c r="C215" s="28" t="s">
        <v>740</v>
      </c>
      <c r="D215" s="28" t="s">
        <v>363</v>
      </c>
      <c r="E215" s="28" t="s">
        <v>367</v>
      </c>
      <c r="F215" s="28" t="s">
        <v>742</v>
      </c>
      <c r="G215" s="28" t="s">
        <v>742</v>
      </c>
      <c r="H215" s="28" t="s">
        <v>365</v>
      </c>
      <c r="I215" s="28" t="e">
        <f>VLOOKUP(F215,표준용어사전!$B:$D,3,FALSE)</f>
        <v>#N/A</v>
      </c>
      <c r="J215" s="28" t="s">
        <v>570</v>
      </c>
      <c r="K215" s="27">
        <v>50</v>
      </c>
      <c r="L215" s="29" t="s">
        <v>571</v>
      </c>
      <c r="M215" s="29" t="s">
        <v>725</v>
      </c>
      <c r="N215" s="29" t="s">
        <v>75</v>
      </c>
      <c r="O215" s="28"/>
      <c r="P215" s="28"/>
      <c r="Q215" s="28" t="s">
        <v>76</v>
      </c>
      <c r="R215" s="29"/>
      <c r="S215" s="28"/>
      <c r="T215" s="28"/>
      <c r="U215" s="28" t="s">
        <v>75</v>
      </c>
      <c r="V215" s="28" t="s">
        <v>75</v>
      </c>
      <c r="W215" s="28"/>
    </row>
    <row r="216" spans="1:23" s="12" customFormat="1" hidden="1">
      <c r="A216" s="46" t="s">
        <v>572</v>
      </c>
      <c r="B216" s="28" t="s">
        <v>1334</v>
      </c>
      <c r="C216" s="28" t="s">
        <v>740</v>
      </c>
      <c r="D216" s="28" t="s">
        <v>363</v>
      </c>
      <c r="E216" s="28" t="s">
        <v>368</v>
      </c>
      <c r="F216" s="28" t="s">
        <v>569</v>
      </c>
      <c r="G216" s="28" t="s">
        <v>569</v>
      </c>
      <c r="H216" s="28" t="s">
        <v>365</v>
      </c>
      <c r="I216" s="28" t="str">
        <f>VLOOKUP(F216,표준용어사전!$B:$D,3,FALSE)</f>
        <v>여부C1</v>
      </c>
      <c r="J216" s="28" t="s">
        <v>570</v>
      </c>
      <c r="K216" s="27">
        <v>1</v>
      </c>
      <c r="L216" s="29" t="s">
        <v>571</v>
      </c>
      <c r="M216" s="29" t="s">
        <v>722</v>
      </c>
      <c r="N216" s="29" t="s">
        <v>75</v>
      </c>
      <c r="O216" s="28"/>
      <c r="P216" s="28"/>
      <c r="Q216" s="28" t="s">
        <v>76</v>
      </c>
      <c r="R216" s="29"/>
      <c r="S216" s="28"/>
      <c r="T216" s="28" t="s">
        <v>576</v>
      </c>
      <c r="U216" s="28" t="s">
        <v>75</v>
      </c>
      <c r="V216" s="28" t="s">
        <v>75</v>
      </c>
      <c r="W216" s="28"/>
    </row>
    <row r="217" spans="1:23" s="12" customFormat="1" hidden="1">
      <c r="A217" s="46" t="s">
        <v>572</v>
      </c>
      <c r="B217" s="28" t="s">
        <v>1334</v>
      </c>
      <c r="C217" s="28" t="s">
        <v>740</v>
      </c>
      <c r="D217" s="28" t="s">
        <v>363</v>
      </c>
      <c r="E217" s="28" t="s">
        <v>90</v>
      </c>
      <c r="F217" s="28" t="s">
        <v>14</v>
      </c>
      <c r="G217" s="28" t="s">
        <v>14</v>
      </c>
      <c r="H217" s="28" t="s">
        <v>365</v>
      </c>
      <c r="I217" s="28" t="str">
        <f>VLOOKUP(F217,표준용어사전!$B:$D,3,FALSE)</f>
        <v>연월일시분초TS</v>
      </c>
      <c r="J217" s="28" t="s">
        <v>719</v>
      </c>
      <c r="K217" s="27" t="s">
        <v>571</v>
      </c>
      <c r="L217" s="29" t="s">
        <v>571</v>
      </c>
      <c r="M217" s="29" t="s">
        <v>726</v>
      </c>
      <c r="N217" s="29" t="s">
        <v>711</v>
      </c>
      <c r="O217" s="28"/>
      <c r="P217" s="28"/>
      <c r="Q217" s="28" t="s">
        <v>76</v>
      </c>
      <c r="R217" s="29"/>
      <c r="S217" s="28"/>
      <c r="T217" s="28" t="s">
        <v>574</v>
      </c>
      <c r="U217" s="28" t="s">
        <v>75</v>
      </c>
      <c r="V217" s="28" t="s">
        <v>75</v>
      </c>
      <c r="W217" s="28"/>
    </row>
    <row r="218" spans="1:23" s="12" customFormat="1" hidden="1">
      <c r="A218" s="46" t="s">
        <v>572</v>
      </c>
      <c r="B218" s="28" t="s">
        <v>1334</v>
      </c>
      <c r="C218" s="28" t="s">
        <v>740</v>
      </c>
      <c r="D218" s="28" t="s">
        <v>363</v>
      </c>
      <c r="E218" s="28" t="s">
        <v>91</v>
      </c>
      <c r="F218" s="28" t="s">
        <v>369</v>
      </c>
      <c r="G218" s="28" t="s">
        <v>369</v>
      </c>
      <c r="H218" s="28" t="s">
        <v>365</v>
      </c>
      <c r="I218" s="28" t="str">
        <f>VLOOKUP(F218,표준용어사전!$B:$D,3,FALSE)</f>
        <v>명V20</v>
      </c>
      <c r="J218" s="28" t="s">
        <v>78</v>
      </c>
      <c r="K218" s="27">
        <v>20</v>
      </c>
      <c r="L218" s="29" t="s">
        <v>571</v>
      </c>
      <c r="M218" s="29" t="s">
        <v>727</v>
      </c>
      <c r="N218" s="29" t="s">
        <v>75</v>
      </c>
      <c r="O218" s="28"/>
      <c r="P218" s="28"/>
      <c r="Q218" s="28" t="s">
        <v>76</v>
      </c>
      <c r="R218" s="29"/>
      <c r="S218" s="28"/>
      <c r="T218" s="28"/>
      <c r="U218" s="28" t="s">
        <v>75</v>
      </c>
      <c r="V218" s="28" t="s">
        <v>75</v>
      </c>
      <c r="W218" s="28"/>
    </row>
    <row r="219" spans="1:23" s="12" customFormat="1" hidden="1">
      <c r="A219" s="46" t="s">
        <v>572</v>
      </c>
      <c r="B219" s="28" t="s">
        <v>1334</v>
      </c>
      <c r="C219" s="28" t="s">
        <v>88</v>
      </c>
      <c r="D219" s="28" t="s">
        <v>664</v>
      </c>
      <c r="E219" s="28" t="s">
        <v>833</v>
      </c>
      <c r="F219" s="28" t="s">
        <v>1418</v>
      </c>
      <c r="G219" s="28" t="s">
        <v>744</v>
      </c>
      <c r="H219" s="28" t="s">
        <v>695</v>
      </c>
      <c r="I219" s="28" t="str">
        <f>VLOOKUP(F219,표준용어사전!$B:$D,3,FALSE)</f>
        <v>번호N10</v>
      </c>
      <c r="J219" s="28" t="s">
        <v>748</v>
      </c>
      <c r="K219" s="27">
        <v>10</v>
      </c>
      <c r="L219" s="29" t="s">
        <v>571</v>
      </c>
      <c r="M219" s="29">
        <v>9999999999</v>
      </c>
      <c r="N219" s="29" t="s">
        <v>711</v>
      </c>
      <c r="O219" s="28" t="s">
        <v>641</v>
      </c>
      <c r="P219" s="28"/>
      <c r="Q219" s="28" t="s">
        <v>76</v>
      </c>
      <c r="R219" s="29"/>
      <c r="S219" s="28"/>
      <c r="T219" s="28"/>
      <c r="U219" s="28" t="s">
        <v>75</v>
      </c>
      <c r="V219" s="28" t="s">
        <v>75</v>
      </c>
      <c r="W219" s="28"/>
    </row>
    <row r="220" spans="1:23" s="12" customFormat="1" hidden="1">
      <c r="A220" s="46" t="s">
        <v>572</v>
      </c>
      <c r="B220" s="28" t="s">
        <v>1334</v>
      </c>
      <c r="C220" s="28" t="s">
        <v>88</v>
      </c>
      <c r="D220" s="28" t="s">
        <v>664</v>
      </c>
      <c r="E220" s="28" t="s">
        <v>364</v>
      </c>
      <c r="F220" s="28" t="s">
        <v>566</v>
      </c>
      <c r="G220" s="28" t="s">
        <v>566</v>
      </c>
      <c r="H220" s="28" t="s">
        <v>695</v>
      </c>
      <c r="I220" s="28" t="str">
        <f>VLOOKUP(F220,표준용어사전!$B:$D,3,FALSE)</f>
        <v>명V20</v>
      </c>
      <c r="J220" s="28" t="s">
        <v>718</v>
      </c>
      <c r="K220" s="27">
        <v>50</v>
      </c>
      <c r="L220" s="29" t="s">
        <v>571</v>
      </c>
      <c r="M220" s="29" t="s">
        <v>720</v>
      </c>
      <c r="N220" s="29" t="s">
        <v>711</v>
      </c>
      <c r="O220" s="28"/>
      <c r="P220" s="28"/>
      <c r="Q220" s="28" t="s">
        <v>76</v>
      </c>
      <c r="R220" s="29"/>
      <c r="S220" s="28"/>
      <c r="T220" s="28"/>
      <c r="U220" s="28" t="s">
        <v>75</v>
      </c>
      <c r="V220" s="28" t="s">
        <v>75</v>
      </c>
      <c r="W220" s="28"/>
    </row>
    <row r="221" spans="1:23" s="12" customFormat="1" hidden="1">
      <c r="A221" s="46" t="s">
        <v>572</v>
      </c>
      <c r="B221" s="28" t="s">
        <v>1334</v>
      </c>
      <c r="C221" s="28" t="s">
        <v>88</v>
      </c>
      <c r="D221" s="28" t="s">
        <v>664</v>
      </c>
      <c r="E221" s="28" t="s">
        <v>639</v>
      </c>
      <c r="F221" s="28" t="s">
        <v>1608</v>
      </c>
      <c r="G221" s="28" t="s">
        <v>1608</v>
      </c>
      <c r="H221" s="28" t="s">
        <v>695</v>
      </c>
      <c r="I221" s="28" t="e">
        <f>VLOOKUP(F221,표준용어사전!$B:$D,3,FALSE)</f>
        <v>#N/A</v>
      </c>
      <c r="J221" s="28" t="s">
        <v>709</v>
      </c>
      <c r="K221" s="27">
        <v>50</v>
      </c>
      <c r="L221" s="29" t="s">
        <v>571</v>
      </c>
      <c r="M221" s="29" t="s">
        <v>725</v>
      </c>
      <c r="N221" s="29" t="s">
        <v>75</v>
      </c>
      <c r="O221" s="28"/>
      <c r="P221" s="28"/>
      <c r="Q221" s="28" t="s">
        <v>76</v>
      </c>
      <c r="R221" s="29"/>
      <c r="S221" s="28"/>
      <c r="T221" s="28"/>
      <c r="U221" s="28" t="s">
        <v>75</v>
      </c>
      <c r="V221" s="28" t="s">
        <v>75</v>
      </c>
      <c r="W221" s="28"/>
    </row>
    <row r="222" spans="1:23" s="12" customFormat="1" hidden="1">
      <c r="A222" s="46" t="s">
        <v>572</v>
      </c>
      <c r="B222" s="28" t="s">
        <v>1334</v>
      </c>
      <c r="C222" s="28" t="s">
        <v>88</v>
      </c>
      <c r="D222" s="28" t="s">
        <v>664</v>
      </c>
      <c r="E222" s="22" t="s">
        <v>1430</v>
      </c>
      <c r="F222" s="28" t="s">
        <v>745</v>
      </c>
      <c r="G222" s="28" t="s">
        <v>745</v>
      </c>
      <c r="H222" s="28" t="s">
        <v>695</v>
      </c>
      <c r="I222" s="28" t="str">
        <f>VLOOKUP(F222,표준용어사전!$B:$D,3,FALSE)</f>
        <v>코드C2</v>
      </c>
      <c r="J222" s="28" t="s">
        <v>709</v>
      </c>
      <c r="K222" s="27">
        <v>50</v>
      </c>
      <c r="L222" s="29" t="s">
        <v>571</v>
      </c>
      <c r="M222" s="29" t="s">
        <v>725</v>
      </c>
      <c r="N222" s="29" t="s">
        <v>75</v>
      </c>
      <c r="O222" s="28"/>
      <c r="P222" s="28"/>
      <c r="Q222" s="28" t="s">
        <v>76</v>
      </c>
      <c r="R222" s="29"/>
      <c r="S222" s="28"/>
      <c r="T222" s="28"/>
      <c r="U222" s="28" t="s">
        <v>75</v>
      </c>
      <c r="V222" s="28" t="s">
        <v>75</v>
      </c>
      <c r="W222" s="28"/>
    </row>
    <row r="223" spans="1:23" s="12" customFormat="1" hidden="1">
      <c r="A223" s="46" t="s">
        <v>572</v>
      </c>
      <c r="B223" s="28" t="s">
        <v>1334</v>
      </c>
      <c r="C223" s="28" t="s">
        <v>88</v>
      </c>
      <c r="D223" s="28" t="s">
        <v>664</v>
      </c>
      <c r="E223" s="28" t="s">
        <v>834</v>
      </c>
      <c r="F223" s="28" t="s">
        <v>1422</v>
      </c>
      <c r="G223" s="28" t="s">
        <v>746</v>
      </c>
      <c r="H223" s="28" t="s">
        <v>695</v>
      </c>
      <c r="I223" s="28" t="str">
        <f>VLOOKUP(F223,표준용어사전!$B:$D,3,FALSE)</f>
        <v>명V40</v>
      </c>
      <c r="J223" s="28" t="s">
        <v>718</v>
      </c>
      <c r="K223" s="27">
        <v>20</v>
      </c>
      <c r="L223" s="29" t="s">
        <v>571</v>
      </c>
      <c r="M223" s="29" t="s">
        <v>727</v>
      </c>
      <c r="N223" s="29" t="s">
        <v>75</v>
      </c>
      <c r="O223" s="28"/>
      <c r="P223" s="28"/>
      <c r="Q223" s="28" t="s">
        <v>76</v>
      </c>
      <c r="R223" s="29"/>
      <c r="S223" s="28"/>
      <c r="T223" s="28"/>
      <c r="U223" s="28" t="s">
        <v>75</v>
      </c>
      <c r="V223" s="28" t="s">
        <v>75</v>
      </c>
      <c r="W223" s="28"/>
    </row>
    <row r="224" spans="1:23" s="12" customFormat="1" hidden="1">
      <c r="A224" s="46" t="s">
        <v>572</v>
      </c>
      <c r="B224" s="28" t="s">
        <v>1334</v>
      </c>
      <c r="C224" s="28" t="s">
        <v>88</v>
      </c>
      <c r="D224" s="28" t="s">
        <v>664</v>
      </c>
      <c r="E224" s="28" t="s">
        <v>835</v>
      </c>
      <c r="F224" s="28" t="s">
        <v>747</v>
      </c>
      <c r="G224" s="28" t="s">
        <v>747</v>
      </c>
      <c r="H224" s="28" t="s">
        <v>695</v>
      </c>
      <c r="I224" s="28" t="str">
        <f>VLOOKUP(F224,표준용어사전!$B:$D,3,FALSE)</f>
        <v>내용V2000</v>
      </c>
      <c r="J224" s="28" t="s">
        <v>718</v>
      </c>
      <c r="K224" s="27">
        <v>4000</v>
      </c>
      <c r="L224" s="29" t="s">
        <v>571</v>
      </c>
      <c r="M224" s="29" t="s">
        <v>737</v>
      </c>
      <c r="N224" s="29" t="s">
        <v>75</v>
      </c>
      <c r="O224" s="28"/>
      <c r="P224" s="28"/>
      <c r="Q224" s="28" t="s">
        <v>76</v>
      </c>
      <c r="R224" s="29"/>
      <c r="S224" s="28"/>
      <c r="T224" s="28"/>
      <c r="U224" s="28" t="s">
        <v>75</v>
      </c>
      <c r="V224" s="28" t="s">
        <v>75</v>
      </c>
      <c r="W224" s="28"/>
    </row>
    <row r="225" spans="1:23" s="12" customFormat="1" hidden="1">
      <c r="A225" s="46" t="s">
        <v>572</v>
      </c>
      <c r="B225" s="28" t="s">
        <v>1334</v>
      </c>
      <c r="C225" s="28" t="s">
        <v>88</v>
      </c>
      <c r="D225" s="28" t="s">
        <v>664</v>
      </c>
      <c r="E225" s="28" t="s">
        <v>90</v>
      </c>
      <c r="F225" s="28" t="s">
        <v>14</v>
      </c>
      <c r="G225" s="28" t="s">
        <v>14</v>
      </c>
      <c r="H225" s="28" t="s">
        <v>695</v>
      </c>
      <c r="I225" s="28" t="str">
        <f>VLOOKUP(F225,표준용어사전!$B:$D,3,FALSE)</f>
        <v>연월일시분초TS</v>
      </c>
      <c r="J225" s="28" t="s">
        <v>719</v>
      </c>
      <c r="K225" s="27" t="s">
        <v>571</v>
      </c>
      <c r="L225" s="29" t="s">
        <v>571</v>
      </c>
      <c r="M225" s="29" t="s">
        <v>726</v>
      </c>
      <c r="N225" s="29" t="s">
        <v>711</v>
      </c>
      <c r="O225" s="28"/>
      <c r="P225" s="28"/>
      <c r="Q225" s="28" t="s">
        <v>76</v>
      </c>
      <c r="R225" s="29"/>
      <c r="S225" s="28"/>
      <c r="T225" s="28" t="s">
        <v>574</v>
      </c>
      <c r="U225" s="28" t="s">
        <v>75</v>
      </c>
      <c r="V225" s="28" t="s">
        <v>75</v>
      </c>
      <c r="W225" s="28"/>
    </row>
    <row r="226" spans="1:23" s="12" customFormat="1" hidden="1">
      <c r="A226" s="46" t="s">
        <v>572</v>
      </c>
      <c r="B226" s="28" t="s">
        <v>1334</v>
      </c>
      <c r="C226" s="28" t="s">
        <v>88</v>
      </c>
      <c r="D226" s="28" t="s">
        <v>664</v>
      </c>
      <c r="E226" s="28" t="s">
        <v>91</v>
      </c>
      <c r="F226" s="28" t="s">
        <v>369</v>
      </c>
      <c r="G226" s="28" t="s">
        <v>369</v>
      </c>
      <c r="H226" s="28" t="s">
        <v>695</v>
      </c>
      <c r="I226" s="28" t="str">
        <f>VLOOKUP(F226,표준용어사전!$B:$D,3,FALSE)</f>
        <v>명V20</v>
      </c>
      <c r="J226" s="28" t="s">
        <v>78</v>
      </c>
      <c r="K226" s="27">
        <v>20</v>
      </c>
      <c r="L226" s="29" t="s">
        <v>571</v>
      </c>
      <c r="M226" s="29" t="s">
        <v>727</v>
      </c>
      <c r="N226" s="29" t="s">
        <v>75</v>
      </c>
      <c r="O226" s="28"/>
      <c r="P226" s="28"/>
      <c r="Q226" s="28" t="s">
        <v>76</v>
      </c>
      <c r="R226" s="29"/>
      <c r="S226" s="28"/>
      <c r="T226" s="28"/>
      <c r="U226" s="28" t="s">
        <v>75</v>
      </c>
      <c r="V226" s="28" t="s">
        <v>75</v>
      </c>
      <c r="W226" s="28"/>
    </row>
    <row r="227" spans="1:23" s="12" customFormat="1" hidden="1">
      <c r="A227" s="46" t="s">
        <v>572</v>
      </c>
      <c r="B227" s="28" t="s">
        <v>1333</v>
      </c>
      <c r="C227" s="28" t="s">
        <v>88</v>
      </c>
      <c r="D227" s="28" t="s">
        <v>665</v>
      </c>
      <c r="E227" s="28" t="s">
        <v>215</v>
      </c>
      <c r="F227" s="28" t="s">
        <v>458</v>
      </c>
      <c r="G227" s="28" t="s">
        <v>458</v>
      </c>
      <c r="H227" s="28" t="s">
        <v>216</v>
      </c>
      <c r="I227" s="28" t="str">
        <f>VLOOKUP(F227,표준용어사전!$B:$D,3,FALSE)</f>
        <v>번호I</v>
      </c>
      <c r="J227" s="28" t="s">
        <v>717</v>
      </c>
      <c r="K227" s="27" t="s">
        <v>571</v>
      </c>
      <c r="L227" s="29" t="s">
        <v>571</v>
      </c>
      <c r="M227" s="29"/>
      <c r="N227" s="29" t="s">
        <v>711</v>
      </c>
      <c r="O227" s="28" t="s">
        <v>73</v>
      </c>
      <c r="P227" s="28"/>
      <c r="Q227" s="28" t="s">
        <v>76</v>
      </c>
      <c r="R227" s="29"/>
      <c r="S227" s="28"/>
      <c r="T227" s="28" t="s">
        <v>76</v>
      </c>
      <c r="U227" s="28" t="s">
        <v>75</v>
      </c>
      <c r="V227" s="28" t="s">
        <v>75</v>
      </c>
      <c r="W227" s="28"/>
    </row>
    <row r="228" spans="1:23" s="12" customFormat="1" hidden="1">
      <c r="A228" s="46" t="s">
        <v>572</v>
      </c>
      <c r="B228" s="28" t="s">
        <v>1333</v>
      </c>
      <c r="C228" s="28" t="s">
        <v>88</v>
      </c>
      <c r="D228" s="28" t="s">
        <v>665</v>
      </c>
      <c r="E228" s="28" t="s">
        <v>202</v>
      </c>
      <c r="F228" s="28" t="s">
        <v>451</v>
      </c>
      <c r="G228" s="28" t="s">
        <v>451</v>
      </c>
      <c r="H228" s="28" t="s">
        <v>216</v>
      </c>
      <c r="I228" s="28" t="str">
        <f>VLOOKUP(F228,표준용어사전!$B:$D,3,FALSE)</f>
        <v>명V20</v>
      </c>
      <c r="J228" s="28" t="s">
        <v>78</v>
      </c>
      <c r="K228" s="27">
        <v>50</v>
      </c>
      <c r="L228" s="29" t="s">
        <v>571</v>
      </c>
      <c r="M228" s="29" t="s">
        <v>720</v>
      </c>
      <c r="N228" s="29" t="s">
        <v>711</v>
      </c>
      <c r="O228" s="28" t="s">
        <v>74</v>
      </c>
      <c r="P228" s="28"/>
      <c r="Q228" s="28" t="s">
        <v>76</v>
      </c>
      <c r="R228" s="29"/>
      <c r="S228" s="28"/>
      <c r="T228" s="28" t="s">
        <v>76</v>
      </c>
      <c r="U228" s="28" t="s">
        <v>75</v>
      </c>
      <c r="V228" s="28" t="s">
        <v>75</v>
      </c>
      <c r="W228" s="28"/>
    </row>
    <row r="229" spans="1:23" s="12" customFormat="1" hidden="1">
      <c r="A229" s="46" t="s">
        <v>572</v>
      </c>
      <c r="B229" s="28" t="s">
        <v>1333</v>
      </c>
      <c r="C229" s="28" t="s">
        <v>88</v>
      </c>
      <c r="D229" s="28" t="s">
        <v>665</v>
      </c>
      <c r="E229" s="28" t="s">
        <v>836</v>
      </c>
      <c r="F229" s="28" t="s">
        <v>749</v>
      </c>
      <c r="G229" s="28" t="s">
        <v>749</v>
      </c>
      <c r="H229" s="28" t="s">
        <v>216</v>
      </c>
      <c r="I229" s="28" t="str">
        <f>VLOOKUP(F229,표준용어사전!$B:$D,3,FALSE)</f>
        <v>명TXT</v>
      </c>
      <c r="J229" s="28" t="s">
        <v>713</v>
      </c>
      <c r="K229" s="27" t="s">
        <v>571</v>
      </c>
      <c r="L229" s="29" t="s">
        <v>571</v>
      </c>
      <c r="M229" s="29"/>
      <c r="N229" s="29" t="s">
        <v>75</v>
      </c>
      <c r="O229" s="28"/>
      <c r="P229" s="28"/>
      <c r="Q229" s="28" t="s">
        <v>76</v>
      </c>
      <c r="R229" s="29"/>
      <c r="S229" s="28"/>
      <c r="T229" s="28" t="s">
        <v>76</v>
      </c>
      <c r="U229" s="28" t="s">
        <v>75</v>
      </c>
      <c r="V229" s="28" t="s">
        <v>75</v>
      </c>
      <c r="W229" s="28"/>
    </row>
    <row r="230" spans="1:23" s="12" customFormat="1" hidden="1">
      <c r="A230" s="46" t="s">
        <v>572</v>
      </c>
      <c r="B230" s="28" t="s">
        <v>1333</v>
      </c>
      <c r="C230" s="28" t="s">
        <v>88</v>
      </c>
      <c r="D230" s="28" t="s">
        <v>665</v>
      </c>
      <c r="E230" s="28" t="s">
        <v>90</v>
      </c>
      <c r="F230" s="28" t="s">
        <v>14</v>
      </c>
      <c r="G230" s="28" t="s">
        <v>14</v>
      </c>
      <c r="H230" s="28" t="s">
        <v>216</v>
      </c>
      <c r="I230" s="28" t="str">
        <f>VLOOKUP(F230,표준용어사전!$B:$D,3,FALSE)</f>
        <v>연월일시분초TS</v>
      </c>
      <c r="J230" s="28" t="s">
        <v>16</v>
      </c>
      <c r="K230" s="27" t="s">
        <v>571</v>
      </c>
      <c r="L230" s="29" t="s">
        <v>571</v>
      </c>
      <c r="M230" s="29" t="s">
        <v>726</v>
      </c>
      <c r="N230" s="29" t="s">
        <v>711</v>
      </c>
      <c r="O230" s="28"/>
      <c r="P230" s="28"/>
      <c r="Q230" s="28" t="s">
        <v>76</v>
      </c>
      <c r="R230" s="29"/>
      <c r="S230" s="28"/>
      <c r="T230" s="28" t="s">
        <v>574</v>
      </c>
      <c r="U230" s="28" t="s">
        <v>75</v>
      </c>
      <c r="V230" s="28" t="s">
        <v>75</v>
      </c>
      <c r="W230" s="28"/>
    </row>
    <row r="231" spans="1:23" s="12" customFormat="1" hidden="1">
      <c r="A231" s="46" t="s">
        <v>572</v>
      </c>
      <c r="B231" s="28" t="s">
        <v>1333</v>
      </c>
      <c r="C231" s="28" t="s">
        <v>88</v>
      </c>
      <c r="D231" s="28" t="s">
        <v>665</v>
      </c>
      <c r="E231" s="28" t="s">
        <v>91</v>
      </c>
      <c r="F231" s="28" t="s">
        <v>369</v>
      </c>
      <c r="G231" s="28" t="s">
        <v>369</v>
      </c>
      <c r="H231" s="28" t="s">
        <v>216</v>
      </c>
      <c r="I231" s="28" t="str">
        <f>VLOOKUP(F231,표준용어사전!$B:$D,3,FALSE)</f>
        <v>명V20</v>
      </c>
      <c r="J231" s="28" t="s">
        <v>78</v>
      </c>
      <c r="K231" s="27">
        <v>20</v>
      </c>
      <c r="L231" s="29" t="s">
        <v>571</v>
      </c>
      <c r="M231" s="29" t="s">
        <v>727</v>
      </c>
      <c r="N231" s="29" t="s">
        <v>75</v>
      </c>
      <c r="O231" s="28"/>
      <c r="P231" s="28"/>
      <c r="Q231" s="28" t="s">
        <v>76</v>
      </c>
      <c r="R231" s="29"/>
      <c r="S231" s="28"/>
      <c r="T231" s="28" t="s">
        <v>76</v>
      </c>
      <c r="U231" s="28" t="s">
        <v>75</v>
      </c>
      <c r="V231" s="28" t="s">
        <v>75</v>
      </c>
      <c r="W231" s="28"/>
    </row>
    <row r="232" spans="1:23" s="12" customFormat="1" hidden="1">
      <c r="A232" s="46" t="s">
        <v>572</v>
      </c>
      <c r="B232" s="28" t="s">
        <v>1333</v>
      </c>
      <c r="C232" s="28" t="s">
        <v>88</v>
      </c>
      <c r="D232" s="28" t="s">
        <v>665</v>
      </c>
      <c r="E232" s="28" t="s">
        <v>92</v>
      </c>
      <c r="F232" s="28" t="s">
        <v>15</v>
      </c>
      <c r="G232" s="28" t="s">
        <v>15</v>
      </c>
      <c r="H232" s="28" t="s">
        <v>216</v>
      </c>
      <c r="I232" s="28" t="str">
        <f>VLOOKUP(F232,표준용어사전!$B:$D,3,FALSE)</f>
        <v>연월일시분초TS</v>
      </c>
      <c r="J232" s="28" t="s">
        <v>16</v>
      </c>
      <c r="K232" s="27" t="s">
        <v>571</v>
      </c>
      <c r="L232" s="29" t="s">
        <v>571</v>
      </c>
      <c r="M232" s="29" t="s">
        <v>726</v>
      </c>
      <c r="N232" s="29" t="s">
        <v>75</v>
      </c>
      <c r="O232" s="28"/>
      <c r="P232" s="28"/>
      <c r="Q232" s="28" t="s">
        <v>76</v>
      </c>
      <c r="R232" s="29"/>
      <c r="S232" s="28"/>
      <c r="T232" s="28" t="s">
        <v>574</v>
      </c>
      <c r="U232" s="28" t="s">
        <v>75</v>
      </c>
      <c r="V232" s="28" t="s">
        <v>75</v>
      </c>
      <c r="W232" s="28"/>
    </row>
    <row r="233" spans="1:23" s="12" customFormat="1" hidden="1">
      <c r="A233" s="46" t="s">
        <v>572</v>
      </c>
      <c r="B233" s="28" t="s">
        <v>1333</v>
      </c>
      <c r="C233" s="28" t="s">
        <v>88</v>
      </c>
      <c r="D233" s="28" t="s">
        <v>665</v>
      </c>
      <c r="E233" s="28" t="s">
        <v>93</v>
      </c>
      <c r="F233" s="28" t="s">
        <v>370</v>
      </c>
      <c r="G233" s="28" t="s">
        <v>370</v>
      </c>
      <c r="H233" s="28" t="s">
        <v>216</v>
      </c>
      <c r="I233" s="28" t="str">
        <f>VLOOKUP(F233,표준용어사전!$B:$D,3,FALSE)</f>
        <v>명V20</v>
      </c>
      <c r="J233" s="28" t="s">
        <v>78</v>
      </c>
      <c r="K233" s="27">
        <v>20</v>
      </c>
      <c r="L233" s="29" t="s">
        <v>571</v>
      </c>
      <c r="M233" s="29" t="s">
        <v>727</v>
      </c>
      <c r="N233" s="29" t="s">
        <v>75</v>
      </c>
      <c r="O233" s="28"/>
      <c r="P233" s="28"/>
      <c r="Q233" s="28" t="s">
        <v>76</v>
      </c>
      <c r="R233" s="29"/>
      <c r="S233" s="28"/>
      <c r="T233" s="28" t="s">
        <v>76</v>
      </c>
      <c r="U233" s="28" t="s">
        <v>75</v>
      </c>
      <c r="V233" s="28" t="s">
        <v>75</v>
      </c>
      <c r="W233" s="28"/>
    </row>
    <row r="234" spans="1:23" s="12" customFormat="1" hidden="1">
      <c r="A234" s="46" t="s">
        <v>572</v>
      </c>
      <c r="B234" s="28" t="s">
        <v>1333</v>
      </c>
      <c r="C234" s="28" t="s">
        <v>88</v>
      </c>
      <c r="D234" s="28" t="s">
        <v>587</v>
      </c>
      <c r="E234" s="28" t="s">
        <v>202</v>
      </c>
      <c r="F234" s="28" t="s">
        <v>451</v>
      </c>
      <c r="G234" s="28" t="s">
        <v>451</v>
      </c>
      <c r="H234" s="28" t="s">
        <v>592</v>
      </c>
      <c r="I234" s="28" t="str">
        <f>VLOOKUP(F234,표준용어사전!$B:$D,3,FALSE)</f>
        <v>명V20</v>
      </c>
      <c r="J234" s="28" t="s">
        <v>78</v>
      </c>
      <c r="K234" s="27">
        <v>50</v>
      </c>
      <c r="L234" s="29" t="s">
        <v>571</v>
      </c>
      <c r="M234" s="29" t="s">
        <v>720</v>
      </c>
      <c r="N234" s="29" t="s">
        <v>711</v>
      </c>
      <c r="O234" s="28" t="s">
        <v>73</v>
      </c>
      <c r="P234" s="28"/>
      <c r="Q234" s="28" t="s">
        <v>76</v>
      </c>
      <c r="R234" s="29"/>
      <c r="S234" s="28"/>
      <c r="T234" s="28" t="s">
        <v>571</v>
      </c>
      <c r="U234" s="28" t="s">
        <v>75</v>
      </c>
      <c r="V234" s="28" t="s">
        <v>75</v>
      </c>
      <c r="W234" s="28"/>
    </row>
    <row r="235" spans="1:23" s="12" customFormat="1" hidden="1">
      <c r="A235" s="46" t="s">
        <v>572</v>
      </c>
      <c r="B235" s="28" t="s">
        <v>1333</v>
      </c>
      <c r="C235" s="28" t="s">
        <v>88</v>
      </c>
      <c r="D235" s="28" t="s">
        <v>587</v>
      </c>
      <c r="E235" s="28" t="s">
        <v>593</v>
      </c>
      <c r="F235" s="28" t="s">
        <v>896</v>
      </c>
      <c r="G235" s="28" t="s">
        <v>738</v>
      </c>
      <c r="H235" s="28" t="s">
        <v>592</v>
      </c>
      <c r="I235" s="28" t="str">
        <f>VLOOKUP(F235,표준용어사전!$B:$D,3,FALSE)</f>
        <v>코드C4</v>
      </c>
      <c r="J235" s="28" t="s">
        <v>570</v>
      </c>
      <c r="K235" s="27">
        <v>50</v>
      </c>
      <c r="L235" s="29" t="s">
        <v>571</v>
      </c>
      <c r="M235" s="29" t="s">
        <v>725</v>
      </c>
      <c r="N235" s="29" t="s">
        <v>711</v>
      </c>
      <c r="O235" s="28" t="s">
        <v>74</v>
      </c>
      <c r="P235" s="28"/>
      <c r="Q235" s="28" t="s">
        <v>1375</v>
      </c>
      <c r="R235" s="29">
        <v>1</v>
      </c>
      <c r="S235" s="28"/>
      <c r="T235" s="28" t="s">
        <v>571</v>
      </c>
      <c r="U235" s="28" t="s">
        <v>75</v>
      </c>
      <c r="V235" s="28" t="s">
        <v>75</v>
      </c>
      <c r="W235" s="28"/>
    </row>
    <row r="236" spans="1:23" s="12" customFormat="1" hidden="1">
      <c r="A236" s="46" t="s">
        <v>572</v>
      </c>
      <c r="B236" s="28" t="s">
        <v>1333</v>
      </c>
      <c r="C236" s="28" t="s">
        <v>88</v>
      </c>
      <c r="D236" s="28" t="s">
        <v>587</v>
      </c>
      <c r="E236" s="28" t="s">
        <v>578</v>
      </c>
      <c r="F236" s="28" t="s">
        <v>580</v>
      </c>
      <c r="G236" s="28" t="s">
        <v>580</v>
      </c>
      <c r="H236" s="28" t="s">
        <v>592</v>
      </c>
      <c r="I236" s="28" t="str">
        <f>VLOOKUP(F236,표준용어사전!$B:$D,3,FALSE)</f>
        <v>명V20</v>
      </c>
      <c r="J236" s="28" t="s">
        <v>78</v>
      </c>
      <c r="K236" s="27">
        <v>20</v>
      </c>
      <c r="L236" s="29" t="s">
        <v>571</v>
      </c>
      <c r="M236" s="29" t="s">
        <v>727</v>
      </c>
      <c r="N236" s="29" t="s">
        <v>711</v>
      </c>
      <c r="O236" s="28" t="s">
        <v>624</v>
      </c>
      <c r="P236" s="28"/>
      <c r="Q236" s="28" t="s">
        <v>76</v>
      </c>
      <c r="R236" s="29"/>
      <c r="S236" s="28"/>
      <c r="T236" s="28" t="s">
        <v>571</v>
      </c>
      <c r="U236" s="28" t="s">
        <v>75</v>
      </c>
      <c r="V236" s="28" t="s">
        <v>75</v>
      </c>
      <c r="W236" s="28"/>
    </row>
    <row r="237" spans="1:23" s="12" customFormat="1" hidden="1">
      <c r="A237" s="46" t="s">
        <v>572</v>
      </c>
      <c r="B237" s="28" t="s">
        <v>1333</v>
      </c>
      <c r="C237" s="28" t="s">
        <v>88</v>
      </c>
      <c r="D237" s="28" t="s">
        <v>587</v>
      </c>
      <c r="E237" s="28" t="s">
        <v>90</v>
      </c>
      <c r="F237" s="28" t="s">
        <v>14</v>
      </c>
      <c r="G237" s="28" t="s">
        <v>14</v>
      </c>
      <c r="H237" s="28" t="s">
        <v>592</v>
      </c>
      <c r="I237" s="28" t="str">
        <f>VLOOKUP(F237,표준용어사전!$B:$D,3,FALSE)</f>
        <v>연월일시분초TS</v>
      </c>
      <c r="J237" s="28" t="s">
        <v>16</v>
      </c>
      <c r="K237" s="27" t="s">
        <v>571</v>
      </c>
      <c r="L237" s="29" t="s">
        <v>571</v>
      </c>
      <c r="M237" s="29" t="s">
        <v>726</v>
      </c>
      <c r="N237" s="29" t="s">
        <v>711</v>
      </c>
      <c r="O237" s="28"/>
      <c r="P237" s="28"/>
      <c r="Q237" s="28" t="s">
        <v>76</v>
      </c>
      <c r="R237" s="29"/>
      <c r="S237" s="28"/>
      <c r="T237" s="28" t="s">
        <v>574</v>
      </c>
      <c r="U237" s="28" t="s">
        <v>75</v>
      </c>
      <c r="V237" s="28" t="s">
        <v>75</v>
      </c>
      <c r="W237" s="28"/>
    </row>
    <row r="238" spans="1:23" s="12" customFormat="1" hidden="1">
      <c r="A238" s="46" t="s">
        <v>572</v>
      </c>
      <c r="B238" s="28" t="s">
        <v>1333</v>
      </c>
      <c r="C238" s="28" t="s">
        <v>88</v>
      </c>
      <c r="D238" s="28" t="s">
        <v>587</v>
      </c>
      <c r="E238" s="28" t="s">
        <v>91</v>
      </c>
      <c r="F238" s="28" t="s">
        <v>369</v>
      </c>
      <c r="G238" s="28" t="s">
        <v>369</v>
      </c>
      <c r="H238" s="28" t="s">
        <v>592</v>
      </c>
      <c r="I238" s="28" t="str">
        <f>VLOOKUP(F238,표준용어사전!$B:$D,3,FALSE)</f>
        <v>명V20</v>
      </c>
      <c r="J238" s="28" t="s">
        <v>78</v>
      </c>
      <c r="K238" s="27">
        <v>20</v>
      </c>
      <c r="L238" s="29" t="s">
        <v>571</v>
      </c>
      <c r="M238" s="29" t="s">
        <v>727</v>
      </c>
      <c r="N238" s="29" t="s">
        <v>75</v>
      </c>
      <c r="O238" s="28"/>
      <c r="P238" s="28"/>
      <c r="Q238" s="28" t="s">
        <v>76</v>
      </c>
      <c r="R238" s="29"/>
      <c r="S238" s="28"/>
      <c r="T238" s="28" t="s">
        <v>571</v>
      </c>
      <c r="U238" s="28" t="s">
        <v>75</v>
      </c>
      <c r="V238" s="28" t="s">
        <v>75</v>
      </c>
      <c r="W238" s="28"/>
    </row>
    <row r="239" spans="1:23" s="12" customFormat="1" hidden="1">
      <c r="A239" s="46" t="s">
        <v>572</v>
      </c>
      <c r="B239" s="28" t="s">
        <v>1333</v>
      </c>
      <c r="C239" s="28" t="s">
        <v>88</v>
      </c>
      <c r="D239" s="28" t="s">
        <v>587</v>
      </c>
      <c r="E239" s="28" t="s">
        <v>92</v>
      </c>
      <c r="F239" s="28" t="s">
        <v>15</v>
      </c>
      <c r="G239" s="28" t="s">
        <v>15</v>
      </c>
      <c r="H239" s="28" t="s">
        <v>592</v>
      </c>
      <c r="I239" s="28" t="str">
        <f>VLOOKUP(F239,표준용어사전!$B:$D,3,FALSE)</f>
        <v>연월일시분초TS</v>
      </c>
      <c r="J239" s="28" t="s">
        <v>16</v>
      </c>
      <c r="K239" s="27" t="s">
        <v>571</v>
      </c>
      <c r="L239" s="29" t="s">
        <v>571</v>
      </c>
      <c r="M239" s="29" t="s">
        <v>726</v>
      </c>
      <c r="N239" s="29" t="s">
        <v>75</v>
      </c>
      <c r="O239" s="28"/>
      <c r="P239" s="28"/>
      <c r="Q239" s="28" t="s">
        <v>76</v>
      </c>
      <c r="R239" s="29"/>
      <c r="S239" s="28"/>
      <c r="T239" s="28" t="s">
        <v>574</v>
      </c>
      <c r="U239" s="28" t="s">
        <v>75</v>
      </c>
      <c r="V239" s="28" t="s">
        <v>75</v>
      </c>
      <c r="W239" s="28"/>
    </row>
    <row r="240" spans="1:23" s="12" customFormat="1" hidden="1">
      <c r="A240" s="46" t="s">
        <v>572</v>
      </c>
      <c r="B240" s="28" t="s">
        <v>1333</v>
      </c>
      <c r="C240" s="28" t="s">
        <v>88</v>
      </c>
      <c r="D240" s="28" t="s">
        <v>587</v>
      </c>
      <c r="E240" s="28" t="s">
        <v>93</v>
      </c>
      <c r="F240" s="28" t="s">
        <v>370</v>
      </c>
      <c r="G240" s="28" t="s">
        <v>370</v>
      </c>
      <c r="H240" s="28" t="s">
        <v>592</v>
      </c>
      <c r="I240" s="28" t="str">
        <f>VLOOKUP(F240,표준용어사전!$B:$D,3,FALSE)</f>
        <v>명V20</v>
      </c>
      <c r="J240" s="28" t="s">
        <v>78</v>
      </c>
      <c r="K240" s="27">
        <v>20</v>
      </c>
      <c r="L240" s="29" t="s">
        <v>571</v>
      </c>
      <c r="M240" s="29" t="s">
        <v>727</v>
      </c>
      <c r="N240" s="29" t="s">
        <v>75</v>
      </c>
      <c r="O240" s="28"/>
      <c r="P240" s="28"/>
      <c r="Q240" s="28" t="s">
        <v>76</v>
      </c>
      <c r="R240" s="29"/>
      <c r="S240" s="28"/>
      <c r="T240" s="28" t="s">
        <v>571</v>
      </c>
      <c r="U240" s="28" t="s">
        <v>75</v>
      </c>
      <c r="V240" s="28" t="s">
        <v>75</v>
      </c>
      <c r="W240" s="28"/>
    </row>
    <row r="241" spans="1:23" s="12" customFormat="1" hidden="1">
      <c r="A241" s="46" t="s">
        <v>572</v>
      </c>
      <c r="B241" s="28" t="s">
        <v>1333</v>
      </c>
      <c r="C241" s="28" t="s">
        <v>88</v>
      </c>
      <c r="D241" s="28" t="s">
        <v>587</v>
      </c>
      <c r="E241" s="40" t="s">
        <v>1343</v>
      </c>
      <c r="F241" s="28" t="s">
        <v>1415</v>
      </c>
      <c r="G241" s="28" t="s">
        <v>1415</v>
      </c>
      <c r="H241" s="28" t="s">
        <v>592</v>
      </c>
      <c r="I241" s="28" t="str">
        <f>VLOOKUP(F241,표준용어사전!$B:$D,3,FALSE)</f>
        <v>수N10,3</v>
      </c>
      <c r="J241" s="28" t="s">
        <v>748</v>
      </c>
      <c r="K241" s="27">
        <v>10</v>
      </c>
      <c r="L241" s="29">
        <v>3</v>
      </c>
      <c r="M241" s="29" t="s">
        <v>1342</v>
      </c>
      <c r="N241" s="29" t="s">
        <v>75</v>
      </c>
      <c r="O241" s="28"/>
      <c r="P241" s="28"/>
      <c r="Q241" s="28" t="s">
        <v>76</v>
      </c>
      <c r="R241" s="29"/>
      <c r="S241" s="28"/>
      <c r="T241" s="28" t="s">
        <v>571</v>
      </c>
      <c r="U241" s="28" t="s">
        <v>75</v>
      </c>
      <c r="V241" s="28" t="s">
        <v>75</v>
      </c>
      <c r="W241" s="28"/>
    </row>
    <row r="242" spans="1:23" s="12" customFormat="1" hidden="1">
      <c r="A242" s="46" t="s">
        <v>572</v>
      </c>
      <c r="B242" s="28" t="s">
        <v>1333</v>
      </c>
      <c r="C242" s="28" t="s">
        <v>88</v>
      </c>
      <c r="D242" s="28" t="s">
        <v>666</v>
      </c>
      <c r="E242" s="28" t="s">
        <v>213</v>
      </c>
      <c r="F242" s="28" t="s">
        <v>457</v>
      </c>
      <c r="G242" s="28" t="s">
        <v>457</v>
      </c>
      <c r="H242" s="28" t="s">
        <v>214</v>
      </c>
      <c r="I242" s="28" t="str">
        <f>VLOOKUP(F242,표준용어사전!$B:$D,3,FALSE)</f>
        <v>번호I</v>
      </c>
      <c r="J242" s="28" t="s">
        <v>717</v>
      </c>
      <c r="K242" s="27" t="s">
        <v>571</v>
      </c>
      <c r="L242" s="29" t="s">
        <v>571</v>
      </c>
      <c r="M242" s="29"/>
      <c r="N242" s="29" t="s">
        <v>711</v>
      </c>
      <c r="O242" s="28" t="s">
        <v>73</v>
      </c>
      <c r="P242" s="28"/>
      <c r="Q242" s="28" t="s">
        <v>76</v>
      </c>
      <c r="R242" s="29"/>
      <c r="S242" s="28"/>
      <c r="T242" s="28" t="s">
        <v>76</v>
      </c>
      <c r="U242" s="28" t="s">
        <v>75</v>
      </c>
      <c r="V242" s="28" t="s">
        <v>75</v>
      </c>
      <c r="W242" s="28"/>
    </row>
    <row r="243" spans="1:23" s="12" customFormat="1" hidden="1">
      <c r="A243" s="46" t="s">
        <v>572</v>
      </c>
      <c r="B243" s="28" t="s">
        <v>1333</v>
      </c>
      <c r="C243" s="28" t="s">
        <v>88</v>
      </c>
      <c r="D243" s="28" t="s">
        <v>666</v>
      </c>
      <c r="E243" s="28" t="s">
        <v>202</v>
      </c>
      <c r="F243" s="28" t="s">
        <v>451</v>
      </c>
      <c r="G243" s="28" t="s">
        <v>451</v>
      </c>
      <c r="H243" s="28" t="s">
        <v>214</v>
      </c>
      <c r="I243" s="28" t="str">
        <f>VLOOKUP(F243,표준용어사전!$B:$D,3,FALSE)</f>
        <v>명V20</v>
      </c>
      <c r="J243" s="28" t="s">
        <v>78</v>
      </c>
      <c r="K243" s="27">
        <v>50</v>
      </c>
      <c r="L243" s="29" t="s">
        <v>571</v>
      </c>
      <c r="M243" s="29" t="s">
        <v>720</v>
      </c>
      <c r="N243" s="29" t="s">
        <v>711</v>
      </c>
      <c r="O243" s="28" t="s">
        <v>74</v>
      </c>
      <c r="P243" s="28"/>
      <c r="Q243" s="28" t="s">
        <v>76</v>
      </c>
      <c r="R243" s="29"/>
      <c r="S243" s="28"/>
      <c r="T243" s="28" t="s">
        <v>76</v>
      </c>
      <c r="U243" s="28" t="s">
        <v>75</v>
      </c>
      <c r="V243" s="28" t="s">
        <v>75</v>
      </c>
      <c r="W243" s="28"/>
    </row>
    <row r="244" spans="1:23" s="12" customFormat="1" hidden="1">
      <c r="A244" s="46" t="s">
        <v>572</v>
      </c>
      <c r="B244" s="28" t="s">
        <v>1333</v>
      </c>
      <c r="C244" s="28" t="s">
        <v>88</v>
      </c>
      <c r="D244" s="28" t="s">
        <v>666</v>
      </c>
      <c r="E244" s="28" t="s">
        <v>242</v>
      </c>
      <c r="F244" s="28" t="s">
        <v>479</v>
      </c>
      <c r="G244" s="28" t="s">
        <v>479</v>
      </c>
      <c r="H244" s="28" t="s">
        <v>214</v>
      </c>
      <c r="I244" s="28" t="str">
        <f>VLOOKUP(F244,표준용어사전!$B:$D,3,FALSE)</f>
        <v>명TXT</v>
      </c>
      <c r="J244" s="28" t="s">
        <v>713</v>
      </c>
      <c r="K244" s="27" t="s">
        <v>571</v>
      </c>
      <c r="L244" s="29" t="s">
        <v>571</v>
      </c>
      <c r="M244" s="29"/>
      <c r="N244" s="29" t="s">
        <v>75</v>
      </c>
      <c r="O244" s="28"/>
      <c r="P244" s="28"/>
      <c r="Q244" s="28" t="s">
        <v>76</v>
      </c>
      <c r="R244" s="29"/>
      <c r="S244" s="28"/>
      <c r="T244" s="28" t="s">
        <v>76</v>
      </c>
      <c r="U244" s="28" t="s">
        <v>75</v>
      </c>
      <c r="V244" s="28" t="s">
        <v>75</v>
      </c>
      <c r="W244" s="28"/>
    </row>
    <row r="245" spans="1:23" s="12" customFormat="1" hidden="1">
      <c r="A245" s="46" t="s">
        <v>572</v>
      </c>
      <c r="B245" s="28" t="s">
        <v>1333</v>
      </c>
      <c r="C245" s="28" t="s">
        <v>88</v>
      </c>
      <c r="D245" s="28" t="s">
        <v>666</v>
      </c>
      <c r="E245" s="28" t="s">
        <v>90</v>
      </c>
      <c r="F245" s="28" t="s">
        <v>14</v>
      </c>
      <c r="G245" s="28" t="s">
        <v>14</v>
      </c>
      <c r="H245" s="28" t="s">
        <v>214</v>
      </c>
      <c r="I245" s="28" t="str">
        <f>VLOOKUP(F245,표준용어사전!$B:$D,3,FALSE)</f>
        <v>연월일시분초TS</v>
      </c>
      <c r="J245" s="28" t="s">
        <v>16</v>
      </c>
      <c r="K245" s="27" t="s">
        <v>571</v>
      </c>
      <c r="L245" s="29" t="s">
        <v>571</v>
      </c>
      <c r="M245" s="29" t="s">
        <v>726</v>
      </c>
      <c r="N245" s="29" t="s">
        <v>711</v>
      </c>
      <c r="O245" s="28"/>
      <c r="P245" s="28"/>
      <c r="Q245" s="28" t="s">
        <v>76</v>
      </c>
      <c r="R245" s="29"/>
      <c r="S245" s="28"/>
      <c r="T245" s="28" t="s">
        <v>574</v>
      </c>
      <c r="U245" s="28" t="s">
        <v>75</v>
      </c>
      <c r="V245" s="28" t="s">
        <v>75</v>
      </c>
      <c r="W245" s="28"/>
    </row>
    <row r="246" spans="1:23" s="12" customFormat="1" hidden="1">
      <c r="A246" s="46" t="s">
        <v>572</v>
      </c>
      <c r="B246" s="28" t="s">
        <v>1333</v>
      </c>
      <c r="C246" s="28" t="s">
        <v>88</v>
      </c>
      <c r="D246" s="28" t="s">
        <v>666</v>
      </c>
      <c r="E246" s="28" t="s">
        <v>91</v>
      </c>
      <c r="F246" s="28" t="s">
        <v>369</v>
      </c>
      <c r="G246" s="28" t="s">
        <v>369</v>
      </c>
      <c r="H246" s="28" t="s">
        <v>214</v>
      </c>
      <c r="I246" s="28" t="str">
        <f>VLOOKUP(F246,표준용어사전!$B:$D,3,FALSE)</f>
        <v>명V20</v>
      </c>
      <c r="J246" s="28" t="s">
        <v>78</v>
      </c>
      <c r="K246" s="27">
        <v>20</v>
      </c>
      <c r="L246" s="29" t="s">
        <v>571</v>
      </c>
      <c r="M246" s="29" t="s">
        <v>727</v>
      </c>
      <c r="N246" s="29" t="s">
        <v>75</v>
      </c>
      <c r="O246" s="28"/>
      <c r="P246" s="28"/>
      <c r="Q246" s="28" t="s">
        <v>76</v>
      </c>
      <c r="R246" s="29"/>
      <c r="S246" s="28"/>
      <c r="T246" s="28" t="s">
        <v>76</v>
      </c>
      <c r="U246" s="28" t="s">
        <v>75</v>
      </c>
      <c r="V246" s="28" t="s">
        <v>75</v>
      </c>
      <c r="W246" s="28"/>
    </row>
    <row r="247" spans="1:23" s="12" customFormat="1" hidden="1">
      <c r="A247" s="46" t="s">
        <v>572</v>
      </c>
      <c r="B247" s="28" t="s">
        <v>1333</v>
      </c>
      <c r="C247" s="28" t="s">
        <v>88</v>
      </c>
      <c r="D247" s="28" t="s">
        <v>666</v>
      </c>
      <c r="E247" s="28" t="s">
        <v>92</v>
      </c>
      <c r="F247" s="28" t="s">
        <v>15</v>
      </c>
      <c r="G247" s="28" t="s">
        <v>15</v>
      </c>
      <c r="H247" s="28" t="s">
        <v>214</v>
      </c>
      <c r="I247" s="28" t="str">
        <f>VLOOKUP(F247,표준용어사전!$B:$D,3,FALSE)</f>
        <v>연월일시분초TS</v>
      </c>
      <c r="J247" s="28" t="s">
        <v>16</v>
      </c>
      <c r="K247" s="27" t="s">
        <v>571</v>
      </c>
      <c r="L247" s="29" t="s">
        <v>571</v>
      </c>
      <c r="M247" s="29" t="s">
        <v>726</v>
      </c>
      <c r="N247" s="29" t="s">
        <v>75</v>
      </c>
      <c r="O247" s="28"/>
      <c r="P247" s="28"/>
      <c r="Q247" s="28" t="s">
        <v>76</v>
      </c>
      <c r="R247" s="29"/>
      <c r="S247" s="28"/>
      <c r="T247" s="28" t="s">
        <v>574</v>
      </c>
      <c r="U247" s="28" t="s">
        <v>75</v>
      </c>
      <c r="V247" s="28" t="s">
        <v>75</v>
      </c>
      <c r="W247" s="28"/>
    </row>
    <row r="248" spans="1:23" s="12" customFormat="1" hidden="1">
      <c r="A248" s="46" t="s">
        <v>572</v>
      </c>
      <c r="B248" s="28" t="s">
        <v>1333</v>
      </c>
      <c r="C248" s="28" t="s">
        <v>88</v>
      </c>
      <c r="D248" s="28" t="s">
        <v>666</v>
      </c>
      <c r="E248" s="28" t="s">
        <v>93</v>
      </c>
      <c r="F248" s="28" t="s">
        <v>370</v>
      </c>
      <c r="G248" s="28" t="s">
        <v>370</v>
      </c>
      <c r="H248" s="28" t="s">
        <v>214</v>
      </c>
      <c r="I248" s="28" t="str">
        <f>VLOOKUP(F248,표준용어사전!$B:$D,3,FALSE)</f>
        <v>명V20</v>
      </c>
      <c r="J248" s="28" t="s">
        <v>78</v>
      </c>
      <c r="K248" s="27">
        <v>20</v>
      </c>
      <c r="L248" s="29" t="s">
        <v>571</v>
      </c>
      <c r="M248" s="29" t="s">
        <v>727</v>
      </c>
      <c r="N248" s="29" t="s">
        <v>75</v>
      </c>
      <c r="O248" s="28"/>
      <c r="P248" s="28"/>
      <c r="Q248" s="28" t="s">
        <v>76</v>
      </c>
      <c r="R248" s="29"/>
      <c r="S248" s="28"/>
      <c r="T248" s="28" t="s">
        <v>76</v>
      </c>
      <c r="U248" s="28" t="s">
        <v>75</v>
      </c>
      <c r="V248" s="28" t="s">
        <v>75</v>
      </c>
      <c r="W248" s="28"/>
    </row>
    <row r="249" spans="1:23" s="12" customFormat="1" hidden="1">
      <c r="A249" s="46" t="s">
        <v>572</v>
      </c>
      <c r="B249" s="28" t="s">
        <v>1333</v>
      </c>
      <c r="C249" s="28" t="s">
        <v>88</v>
      </c>
      <c r="D249" s="28" t="s">
        <v>667</v>
      </c>
      <c r="E249" s="28" t="s">
        <v>837</v>
      </c>
      <c r="F249" s="28" t="s">
        <v>750</v>
      </c>
      <c r="G249" s="28" t="s">
        <v>750</v>
      </c>
      <c r="H249" s="28" t="s">
        <v>696</v>
      </c>
      <c r="I249" s="28" t="e">
        <f>VLOOKUP(F249,표준용어사전!$B:$D,3,FALSE)</f>
        <v>#N/A</v>
      </c>
      <c r="J249" s="28" t="s">
        <v>717</v>
      </c>
      <c r="K249" s="27" t="s">
        <v>571</v>
      </c>
      <c r="L249" s="29" t="s">
        <v>571</v>
      </c>
      <c r="M249" s="29"/>
      <c r="N249" s="29" t="s">
        <v>711</v>
      </c>
      <c r="O249" s="28" t="s">
        <v>73</v>
      </c>
      <c r="P249" s="28"/>
      <c r="Q249" s="28" t="s">
        <v>76</v>
      </c>
      <c r="R249" s="29"/>
      <c r="S249" s="28"/>
      <c r="T249" s="28"/>
      <c r="U249" s="28" t="s">
        <v>75</v>
      </c>
      <c r="V249" s="28" t="s">
        <v>75</v>
      </c>
      <c r="W249" s="28"/>
    </row>
    <row r="250" spans="1:23" s="12" customFormat="1" hidden="1">
      <c r="A250" s="46" t="s">
        <v>572</v>
      </c>
      <c r="B250" s="28" t="s">
        <v>1333</v>
      </c>
      <c r="C250" s="28" t="s">
        <v>88</v>
      </c>
      <c r="D250" s="28" t="s">
        <v>667</v>
      </c>
      <c r="E250" s="28" t="s">
        <v>246</v>
      </c>
      <c r="F250" s="28" t="s">
        <v>17</v>
      </c>
      <c r="G250" s="28" t="s">
        <v>17</v>
      </c>
      <c r="H250" s="28" t="s">
        <v>696</v>
      </c>
      <c r="I250" s="28" t="str">
        <f>VLOOKUP(F250,표준용어사전!$B:$D,3,FALSE)</f>
        <v>명V20</v>
      </c>
      <c r="J250" s="28" t="s">
        <v>718</v>
      </c>
      <c r="K250" s="24">
        <v>20</v>
      </c>
      <c r="L250" s="29" t="s">
        <v>571</v>
      </c>
      <c r="M250" s="29" t="s">
        <v>727</v>
      </c>
      <c r="N250" s="29" t="s">
        <v>711</v>
      </c>
      <c r="O250" s="28"/>
      <c r="P250" s="28"/>
      <c r="Q250" s="28" t="s">
        <v>76</v>
      </c>
      <c r="R250" s="29"/>
      <c r="S250" s="28"/>
      <c r="T250" s="28"/>
      <c r="U250" s="28" t="s">
        <v>75</v>
      </c>
      <c r="V250" s="28" t="s">
        <v>75</v>
      </c>
      <c r="W250" s="28"/>
    </row>
    <row r="251" spans="1:23" s="12" customFormat="1" hidden="1">
      <c r="A251" s="46" t="s">
        <v>572</v>
      </c>
      <c r="B251" s="28" t="s">
        <v>1333</v>
      </c>
      <c r="C251" s="28" t="s">
        <v>88</v>
      </c>
      <c r="D251" s="28" t="s">
        <v>667</v>
      </c>
      <c r="E251" s="28" t="s">
        <v>838</v>
      </c>
      <c r="F251" s="28" t="s">
        <v>751</v>
      </c>
      <c r="G251" s="28" t="s">
        <v>751</v>
      </c>
      <c r="H251" s="28" t="s">
        <v>696</v>
      </c>
      <c r="I251" s="28" t="e">
        <f>VLOOKUP(F251,표준용어사전!$B:$D,3,FALSE)</f>
        <v>#N/A</v>
      </c>
      <c r="J251" s="28" t="s">
        <v>718</v>
      </c>
      <c r="K251" s="24">
        <v>50</v>
      </c>
      <c r="L251" s="29" t="s">
        <v>571</v>
      </c>
      <c r="M251" s="29" t="s">
        <v>720</v>
      </c>
      <c r="N251" s="29" t="s">
        <v>711</v>
      </c>
      <c r="O251" s="28"/>
      <c r="P251" s="28"/>
      <c r="Q251" s="28" t="s">
        <v>76</v>
      </c>
      <c r="R251" s="29"/>
      <c r="S251" s="28"/>
      <c r="T251" s="28"/>
      <c r="U251" s="28" t="s">
        <v>75</v>
      </c>
      <c r="V251" s="28" t="s">
        <v>75</v>
      </c>
      <c r="W251" s="28"/>
    </row>
    <row r="252" spans="1:23" s="12" customFormat="1" hidden="1">
      <c r="A252" s="46" t="s">
        <v>572</v>
      </c>
      <c r="B252" s="28" t="s">
        <v>1333</v>
      </c>
      <c r="C252" s="28" t="s">
        <v>88</v>
      </c>
      <c r="D252" s="28" t="s">
        <v>667</v>
      </c>
      <c r="E252" s="28" t="s">
        <v>89</v>
      </c>
      <c r="F252" s="28" t="s">
        <v>501</v>
      </c>
      <c r="G252" s="28" t="s">
        <v>501</v>
      </c>
      <c r="H252" s="28" t="s">
        <v>696</v>
      </c>
      <c r="I252" s="28" t="str">
        <f>VLOOKUP(F252,표준용어사전!$B:$D,3,FALSE)</f>
        <v>명V20</v>
      </c>
      <c r="J252" s="28" t="s">
        <v>718</v>
      </c>
      <c r="K252" s="24">
        <v>50</v>
      </c>
      <c r="L252" s="29" t="s">
        <v>571</v>
      </c>
      <c r="M252" s="29" t="s">
        <v>727</v>
      </c>
      <c r="N252" s="29" t="s">
        <v>711</v>
      </c>
      <c r="O252" s="28"/>
      <c r="P252" s="28"/>
      <c r="Q252" s="28" t="s">
        <v>1843</v>
      </c>
      <c r="R252" s="29">
        <v>2</v>
      </c>
      <c r="S252" s="28"/>
      <c r="T252" s="28"/>
      <c r="U252" s="28" t="s">
        <v>75</v>
      </c>
      <c r="V252" s="28" t="s">
        <v>75</v>
      </c>
      <c r="W252" s="28"/>
    </row>
    <row r="253" spans="1:23" s="12" customFormat="1" hidden="1">
      <c r="A253" s="46" t="s">
        <v>572</v>
      </c>
      <c r="B253" s="28" t="s">
        <v>1333</v>
      </c>
      <c r="C253" s="28" t="s">
        <v>88</v>
      </c>
      <c r="D253" s="28" t="s">
        <v>667</v>
      </c>
      <c r="E253" s="28" t="s">
        <v>268</v>
      </c>
      <c r="F253" s="28" t="s">
        <v>500</v>
      </c>
      <c r="G253" s="28" t="s">
        <v>763</v>
      </c>
      <c r="H253" s="28" t="s">
        <v>696</v>
      </c>
      <c r="I253" s="28" t="str">
        <f>VLOOKUP(F253,표준용어사전!$B:$D,3,FALSE)</f>
        <v>코드C1</v>
      </c>
      <c r="J253" s="28" t="s">
        <v>709</v>
      </c>
      <c r="K253" s="24">
        <v>1</v>
      </c>
      <c r="L253" s="29" t="s">
        <v>571</v>
      </c>
      <c r="M253" s="29" t="s">
        <v>722</v>
      </c>
      <c r="N253" s="29" t="s">
        <v>75</v>
      </c>
      <c r="O253" s="28"/>
      <c r="P253" s="28"/>
      <c r="Q253" s="28" t="s">
        <v>1376</v>
      </c>
      <c r="R253" s="29">
        <v>1</v>
      </c>
      <c r="S253" s="28"/>
      <c r="T253" s="28"/>
      <c r="U253" s="28" t="s">
        <v>75</v>
      </c>
      <c r="V253" s="28" t="s">
        <v>75</v>
      </c>
      <c r="W253" s="28"/>
    </row>
    <row r="254" spans="1:23" s="12" customFormat="1" hidden="1">
      <c r="A254" s="46" t="s">
        <v>572</v>
      </c>
      <c r="B254" s="28" t="s">
        <v>1333</v>
      </c>
      <c r="C254" s="28" t="s">
        <v>88</v>
      </c>
      <c r="D254" s="28" t="s">
        <v>667</v>
      </c>
      <c r="E254" s="28" t="s">
        <v>252</v>
      </c>
      <c r="F254" s="28" t="s">
        <v>77</v>
      </c>
      <c r="G254" s="28" t="s">
        <v>77</v>
      </c>
      <c r="H254" s="28" t="s">
        <v>696</v>
      </c>
      <c r="I254" s="28" t="str">
        <f>VLOOKUP(F254,표준용어사전!$B:$D,3,FALSE)</f>
        <v>내용TXT</v>
      </c>
      <c r="J254" s="28" t="s">
        <v>713</v>
      </c>
      <c r="K254" s="27" t="s">
        <v>571</v>
      </c>
      <c r="L254" s="29" t="s">
        <v>571</v>
      </c>
      <c r="M254" s="29"/>
      <c r="N254" s="29" t="s">
        <v>75</v>
      </c>
      <c r="O254" s="28"/>
      <c r="P254" s="28"/>
      <c r="Q254" s="28" t="s">
        <v>76</v>
      </c>
      <c r="R254" s="29"/>
      <c r="S254" s="28"/>
      <c r="T254" s="28"/>
      <c r="U254" s="28" t="s">
        <v>75</v>
      </c>
      <c r="V254" s="28" t="s">
        <v>75</v>
      </c>
      <c r="W254" s="28"/>
    </row>
    <row r="255" spans="1:23" s="12" customFormat="1" hidden="1">
      <c r="A255" s="46" t="s">
        <v>572</v>
      </c>
      <c r="B255" s="28" t="s">
        <v>1333</v>
      </c>
      <c r="C255" s="28" t="s">
        <v>88</v>
      </c>
      <c r="D255" s="28" t="s">
        <v>667</v>
      </c>
      <c r="E255" s="28" t="s">
        <v>90</v>
      </c>
      <c r="F255" s="28" t="s">
        <v>14</v>
      </c>
      <c r="G255" s="28" t="s">
        <v>14</v>
      </c>
      <c r="H255" s="28" t="s">
        <v>696</v>
      </c>
      <c r="I255" s="28" t="str">
        <f>VLOOKUP(F255,표준용어사전!$B:$D,3,FALSE)</f>
        <v>연월일시분초TS</v>
      </c>
      <c r="J255" s="28" t="s">
        <v>16</v>
      </c>
      <c r="K255" s="27" t="s">
        <v>571</v>
      </c>
      <c r="L255" s="29" t="s">
        <v>571</v>
      </c>
      <c r="M255" s="29" t="s">
        <v>726</v>
      </c>
      <c r="N255" s="29" t="s">
        <v>711</v>
      </c>
      <c r="O255" s="28"/>
      <c r="P255" s="28"/>
      <c r="Q255" s="28" t="s">
        <v>76</v>
      </c>
      <c r="R255" s="29"/>
      <c r="S255" s="28"/>
      <c r="T255" s="28" t="s">
        <v>574</v>
      </c>
      <c r="U255" s="28" t="s">
        <v>75</v>
      </c>
      <c r="V255" s="28" t="s">
        <v>75</v>
      </c>
      <c r="W255" s="28"/>
    </row>
    <row r="256" spans="1:23" s="12" customFormat="1" hidden="1">
      <c r="A256" s="46" t="s">
        <v>572</v>
      </c>
      <c r="B256" s="28" t="s">
        <v>1333</v>
      </c>
      <c r="C256" s="28" t="s">
        <v>88</v>
      </c>
      <c r="D256" s="28" t="s">
        <v>667</v>
      </c>
      <c r="E256" s="28" t="s">
        <v>91</v>
      </c>
      <c r="F256" s="28" t="s">
        <v>369</v>
      </c>
      <c r="G256" s="28" t="s">
        <v>369</v>
      </c>
      <c r="H256" s="28" t="s">
        <v>696</v>
      </c>
      <c r="I256" s="28" t="str">
        <f>VLOOKUP(F256,표준용어사전!$B:$D,3,FALSE)</f>
        <v>명V20</v>
      </c>
      <c r="J256" s="28" t="s">
        <v>78</v>
      </c>
      <c r="K256" s="27">
        <v>20</v>
      </c>
      <c r="L256" s="29" t="s">
        <v>571</v>
      </c>
      <c r="M256" s="29" t="s">
        <v>727</v>
      </c>
      <c r="N256" s="29" t="s">
        <v>75</v>
      </c>
      <c r="O256" s="28"/>
      <c r="P256" s="28"/>
      <c r="Q256" s="28" t="s">
        <v>76</v>
      </c>
      <c r="R256" s="29"/>
      <c r="S256" s="28"/>
      <c r="T256" s="28" t="s">
        <v>76</v>
      </c>
      <c r="U256" s="28" t="s">
        <v>75</v>
      </c>
      <c r="V256" s="28" t="s">
        <v>75</v>
      </c>
      <c r="W256" s="28"/>
    </row>
    <row r="257" spans="1:23" s="12" customFormat="1" hidden="1">
      <c r="A257" s="46" t="s">
        <v>572</v>
      </c>
      <c r="B257" s="28" t="s">
        <v>1333</v>
      </c>
      <c r="C257" s="28" t="s">
        <v>88</v>
      </c>
      <c r="D257" s="28" t="s">
        <v>667</v>
      </c>
      <c r="E257" s="28" t="s">
        <v>92</v>
      </c>
      <c r="F257" s="28" t="s">
        <v>15</v>
      </c>
      <c r="G257" s="28" t="s">
        <v>15</v>
      </c>
      <c r="H257" s="28" t="s">
        <v>696</v>
      </c>
      <c r="I257" s="28" t="str">
        <f>VLOOKUP(F257,표준용어사전!$B:$D,3,FALSE)</f>
        <v>연월일시분초TS</v>
      </c>
      <c r="J257" s="28" t="s">
        <v>16</v>
      </c>
      <c r="K257" s="27" t="s">
        <v>571</v>
      </c>
      <c r="L257" s="29" t="s">
        <v>571</v>
      </c>
      <c r="M257" s="29" t="s">
        <v>726</v>
      </c>
      <c r="N257" s="29" t="s">
        <v>75</v>
      </c>
      <c r="O257" s="28"/>
      <c r="P257" s="28"/>
      <c r="Q257" s="28" t="s">
        <v>76</v>
      </c>
      <c r="R257" s="29"/>
      <c r="S257" s="28"/>
      <c r="T257" s="28" t="s">
        <v>574</v>
      </c>
      <c r="U257" s="28" t="s">
        <v>75</v>
      </c>
      <c r="V257" s="28" t="s">
        <v>75</v>
      </c>
      <c r="W257" s="28"/>
    </row>
    <row r="258" spans="1:23" s="12" customFormat="1" hidden="1">
      <c r="A258" s="46" t="s">
        <v>572</v>
      </c>
      <c r="B258" s="28" t="s">
        <v>1333</v>
      </c>
      <c r="C258" s="28" t="s">
        <v>88</v>
      </c>
      <c r="D258" s="28" t="s">
        <v>667</v>
      </c>
      <c r="E258" s="28" t="s">
        <v>93</v>
      </c>
      <c r="F258" s="28" t="s">
        <v>370</v>
      </c>
      <c r="G258" s="28" t="s">
        <v>370</v>
      </c>
      <c r="H258" s="28" t="s">
        <v>696</v>
      </c>
      <c r="I258" s="28" t="str">
        <f>VLOOKUP(F258,표준용어사전!$B:$D,3,FALSE)</f>
        <v>명V20</v>
      </c>
      <c r="J258" s="28" t="s">
        <v>78</v>
      </c>
      <c r="K258" s="27">
        <v>20</v>
      </c>
      <c r="L258" s="29" t="s">
        <v>571</v>
      </c>
      <c r="M258" s="29" t="s">
        <v>727</v>
      </c>
      <c r="N258" s="29" t="s">
        <v>75</v>
      </c>
      <c r="O258" s="28"/>
      <c r="P258" s="28"/>
      <c r="Q258" s="28" t="s">
        <v>76</v>
      </c>
      <c r="R258" s="29"/>
      <c r="S258" s="28"/>
      <c r="T258" s="28" t="s">
        <v>76</v>
      </c>
      <c r="U258" s="28" t="s">
        <v>75</v>
      </c>
      <c r="V258" s="28" t="s">
        <v>75</v>
      </c>
      <c r="W258" s="28"/>
    </row>
    <row r="259" spans="1:23" s="12" customFormat="1" hidden="1">
      <c r="A259" s="46" t="s">
        <v>572</v>
      </c>
      <c r="B259" s="28" t="s">
        <v>1333</v>
      </c>
      <c r="C259" s="28" t="s">
        <v>88</v>
      </c>
      <c r="D259" s="28" t="s">
        <v>668</v>
      </c>
      <c r="E259" s="28" t="s">
        <v>202</v>
      </c>
      <c r="F259" s="28" t="s">
        <v>451</v>
      </c>
      <c r="G259" s="28" t="s">
        <v>451</v>
      </c>
      <c r="H259" s="28" t="s">
        <v>208</v>
      </c>
      <c r="I259" s="28" t="str">
        <f>VLOOKUP(F259,표준용어사전!$B:$D,3,FALSE)</f>
        <v>명V20</v>
      </c>
      <c r="J259" s="28" t="s">
        <v>718</v>
      </c>
      <c r="K259" s="27">
        <v>50</v>
      </c>
      <c r="L259" s="29" t="s">
        <v>571</v>
      </c>
      <c r="M259" s="29" t="s">
        <v>727</v>
      </c>
      <c r="N259" s="29" t="s">
        <v>711</v>
      </c>
      <c r="O259" s="28" t="s">
        <v>73</v>
      </c>
      <c r="P259" s="28"/>
      <c r="Q259" s="28" t="s">
        <v>76</v>
      </c>
      <c r="R259" s="29"/>
      <c r="S259" s="28"/>
      <c r="T259" s="28"/>
      <c r="U259" s="28" t="s">
        <v>75</v>
      </c>
      <c r="V259" s="28" t="s">
        <v>75</v>
      </c>
      <c r="W259" s="28"/>
    </row>
    <row r="260" spans="1:23" s="12" customFormat="1" hidden="1">
      <c r="A260" s="46" t="s">
        <v>572</v>
      </c>
      <c r="B260" s="28" t="s">
        <v>1333</v>
      </c>
      <c r="C260" s="28" t="s">
        <v>88</v>
      </c>
      <c r="D260" s="28" t="s">
        <v>668</v>
      </c>
      <c r="E260" s="28" t="s">
        <v>209</v>
      </c>
      <c r="F260" s="28" t="s">
        <v>44</v>
      </c>
      <c r="G260" s="28" t="s">
        <v>44</v>
      </c>
      <c r="H260" s="28" t="s">
        <v>208</v>
      </c>
      <c r="I260" s="28" t="e">
        <f>VLOOKUP(F260,표준용어사전!$B:$D,3,FALSE)</f>
        <v>#N/A</v>
      </c>
      <c r="J260" s="28" t="s">
        <v>718</v>
      </c>
      <c r="K260" s="27">
        <v>2000</v>
      </c>
      <c r="L260" s="29" t="s">
        <v>571</v>
      </c>
      <c r="M260" s="29" t="s">
        <v>728</v>
      </c>
      <c r="N260" s="29" t="s">
        <v>75</v>
      </c>
      <c r="O260" s="28"/>
      <c r="P260" s="28"/>
      <c r="Q260" s="28" t="s">
        <v>76</v>
      </c>
      <c r="R260" s="29"/>
      <c r="S260" s="28"/>
      <c r="T260" s="28"/>
      <c r="U260" s="28" t="s">
        <v>75</v>
      </c>
      <c r="V260" s="28" t="s">
        <v>75</v>
      </c>
      <c r="W260" s="28"/>
    </row>
    <row r="261" spans="1:23" s="12" customFormat="1" hidden="1">
      <c r="A261" s="46" t="s">
        <v>572</v>
      </c>
      <c r="B261" s="28" t="s">
        <v>1333</v>
      </c>
      <c r="C261" s="28" t="s">
        <v>88</v>
      </c>
      <c r="D261" s="28" t="s">
        <v>668</v>
      </c>
      <c r="E261" s="28" t="s">
        <v>839</v>
      </c>
      <c r="F261" s="28" t="s">
        <v>752</v>
      </c>
      <c r="G261" s="28" t="s">
        <v>752</v>
      </c>
      <c r="H261" s="28" t="s">
        <v>208</v>
      </c>
      <c r="I261" s="28" t="e">
        <f>VLOOKUP(F261,표준용어사전!$B:$D,3,FALSE)</f>
        <v>#N/A</v>
      </c>
      <c r="J261" s="28" t="s">
        <v>718</v>
      </c>
      <c r="K261" s="27">
        <v>256</v>
      </c>
      <c r="L261" s="29" t="s">
        <v>571</v>
      </c>
      <c r="M261" s="29" t="s">
        <v>730</v>
      </c>
      <c r="N261" s="29" t="s">
        <v>75</v>
      </c>
      <c r="O261" s="28"/>
      <c r="P261" s="28"/>
      <c r="Q261" s="28" t="s">
        <v>76</v>
      </c>
      <c r="R261" s="29"/>
      <c r="S261" s="28"/>
      <c r="T261" s="28"/>
      <c r="U261" s="28" t="s">
        <v>75</v>
      </c>
      <c r="V261" s="28" t="s">
        <v>75</v>
      </c>
      <c r="W261" s="28"/>
    </row>
    <row r="262" spans="1:23" s="12" customFormat="1" hidden="1">
      <c r="A262" s="46" t="s">
        <v>572</v>
      </c>
      <c r="B262" s="28" t="s">
        <v>1333</v>
      </c>
      <c r="C262" s="28" t="s">
        <v>88</v>
      </c>
      <c r="D262" s="28" t="s">
        <v>668</v>
      </c>
      <c r="E262" s="28" t="s">
        <v>210</v>
      </c>
      <c r="F262" s="28" t="s">
        <v>455</v>
      </c>
      <c r="G262" s="28" t="s">
        <v>455</v>
      </c>
      <c r="H262" s="28" t="s">
        <v>208</v>
      </c>
      <c r="I262" s="28" t="e">
        <f>VLOOKUP(F262,표준용어사전!$B:$D,3,FALSE)</f>
        <v>#N/A</v>
      </c>
      <c r="J262" s="28" t="s">
        <v>713</v>
      </c>
      <c r="K262" s="41" t="s">
        <v>927</v>
      </c>
      <c r="L262" s="29" t="s">
        <v>571</v>
      </c>
      <c r="M262" s="29"/>
      <c r="N262" s="29" t="s">
        <v>75</v>
      </c>
      <c r="O262" s="28"/>
      <c r="P262" s="28"/>
      <c r="Q262" s="28" t="s">
        <v>76</v>
      </c>
      <c r="R262" s="29"/>
      <c r="S262" s="28"/>
      <c r="T262" s="28"/>
      <c r="U262" s="28" t="s">
        <v>75</v>
      </c>
      <c r="V262" s="28" t="s">
        <v>75</v>
      </c>
      <c r="W262" s="28"/>
    </row>
    <row r="263" spans="1:23" s="12" customFormat="1" hidden="1">
      <c r="A263" s="46" t="s">
        <v>572</v>
      </c>
      <c r="B263" s="28" t="s">
        <v>1333</v>
      </c>
      <c r="C263" s="28" t="s">
        <v>88</v>
      </c>
      <c r="D263" s="28" t="s">
        <v>668</v>
      </c>
      <c r="E263" s="28" t="s">
        <v>211</v>
      </c>
      <c r="F263" s="28" t="s">
        <v>1593</v>
      </c>
      <c r="G263" s="28" t="s">
        <v>1593</v>
      </c>
      <c r="H263" s="28" t="s">
        <v>208</v>
      </c>
      <c r="I263" s="28" t="e">
        <f>VLOOKUP(F263,표준용어사전!$B:$D,3,FALSE)</f>
        <v>#N/A</v>
      </c>
      <c r="J263" s="28" t="s">
        <v>718</v>
      </c>
      <c r="K263" s="27">
        <v>2000</v>
      </c>
      <c r="L263" s="29" t="s">
        <v>571</v>
      </c>
      <c r="M263" s="29" t="s">
        <v>728</v>
      </c>
      <c r="N263" s="29" t="s">
        <v>75</v>
      </c>
      <c r="O263" s="28"/>
      <c r="P263" s="28"/>
      <c r="Q263" s="28" t="s">
        <v>76</v>
      </c>
      <c r="R263" s="29"/>
      <c r="S263" s="28"/>
      <c r="T263" s="28"/>
      <c r="U263" s="28" t="s">
        <v>75</v>
      </c>
      <c r="V263" s="28" t="s">
        <v>75</v>
      </c>
      <c r="W263" s="28"/>
    </row>
    <row r="264" spans="1:23" s="12" customFormat="1" hidden="1">
      <c r="A264" s="46" t="s">
        <v>572</v>
      </c>
      <c r="B264" s="28" t="s">
        <v>1333</v>
      </c>
      <c r="C264" s="28" t="s">
        <v>88</v>
      </c>
      <c r="D264" s="28" t="s">
        <v>668</v>
      </c>
      <c r="E264" s="28" t="s">
        <v>212</v>
      </c>
      <c r="F264" s="28" t="s">
        <v>456</v>
      </c>
      <c r="G264" s="28" t="s">
        <v>456</v>
      </c>
      <c r="H264" s="28" t="s">
        <v>208</v>
      </c>
      <c r="I264" s="28" t="e">
        <f>VLOOKUP(F264,표준용어사전!$B:$D,3,FALSE)</f>
        <v>#N/A</v>
      </c>
      <c r="J264" s="28" t="s">
        <v>709</v>
      </c>
      <c r="K264" s="27">
        <v>1</v>
      </c>
      <c r="L264" s="29" t="s">
        <v>571</v>
      </c>
      <c r="M264" s="29" t="s">
        <v>722</v>
      </c>
      <c r="N264" s="29" t="s">
        <v>75</v>
      </c>
      <c r="O264" s="28"/>
      <c r="P264" s="28"/>
      <c r="Q264" s="28" t="s">
        <v>76</v>
      </c>
      <c r="R264" s="29"/>
      <c r="S264" s="28"/>
      <c r="T264" s="28" t="s">
        <v>576</v>
      </c>
      <c r="U264" s="28" t="s">
        <v>75</v>
      </c>
      <c r="V264" s="28" t="s">
        <v>75</v>
      </c>
      <c r="W264" s="28"/>
    </row>
    <row r="265" spans="1:23" s="12" customFormat="1" hidden="1">
      <c r="A265" s="46" t="s">
        <v>572</v>
      </c>
      <c r="B265" s="28" t="s">
        <v>1333</v>
      </c>
      <c r="C265" s="28" t="s">
        <v>88</v>
      </c>
      <c r="D265" s="28" t="s">
        <v>668</v>
      </c>
      <c r="E265" s="28" t="s">
        <v>840</v>
      </c>
      <c r="F265" s="28" t="s">
        <v>753</v>
      </c>
      <c r="G265" s="28" t="s">
        <v>753</v>
      </c>
      <c r="H265" s="28" t="s">
        <v>208</v>
      </c>
      <c r="I265" s="28" t="e">
        <f>VLOOKUP(F265,표준용어사전!$B:$D,3,FALSE)</f>
        <v>#N/A</v>
      </c>
      <c r="J265" s="28" t="s">
        <v>709</v>
      </c>
      <c r="K265" s="27">
        <v>1</v>
      </c>
      <c r="L265" s="29" t="s">
        <v>571</v>
      </c>
      <c r="M265" s="29" t="s">
        <v>722</v>
      </c>
      <c r="N265" s="29" t="s">
        <v>75</v>
      </c>
      <c r="O265" s="28"/>
      <c r="P265" s="28"/>
      <c r="Q265" s="28" t="s">
        <v>76</v>
      </c>
      <c r="R265" s="29"/>
      <c r="S265" s="28"/>
      <c r="T265" s="28" t="s">
        <v>576</v>
      </c>
      <c r="U265" s="28" t="s">
        <v>75</v>
      </c>
      <c r="V265" s="28" t="s">
        <v>75</v>
      </c>
      <c r="W265" s="28"/>
    </row>
    <row r="266" spans="1:23" s="12" customFormat="1" hidden="1">
      <c r="A266" s="46" t="s">
        <v>572</v>
      </c>
      <c r="B266" s="28" t="s">
        <v>1333</v>
      </c>
      <c r="C266" s="28" t="s">
        <v>88</v>
      </c>
      <c r="D266" s="28" t="s">
        <v>668</v>
      </c>
      <c r="E266" s="28" t="s">
        <v>90</v>
      </c>
      <c r="F266" s="28" t="s">
        <v>14</v>
      </c>
      <c r="G266" s="28" t="s">
        <v>14</v>
      </c>
      <c r="H266" s="28" t="s">
        <v>208</v>
      </c>
      <c r="I266" s="28" t="str">
        <f>VLOOKUP(F266,표준용어사전!$B:$D,3,FALSE)</f>
        <v>연월일시분초TS</v>
      </c>
      <c r="J266" s="28" t="s">
        <v>16</v>
      </c>
      <c r="K266" s="27" t="s">
        <v>571</v>
      </c>
      <c r="L266" s="29" t="s">
        <v>571</v>
      </c>
      <c r="M266" s="29" t="s">
        <v>726</v>
      </c>
      <c r="N266" s="29" t="s">
        <v>711</v>
      </c>
      <c r="O266" s="28"/>
      <c r="P266" s="28"/>
      <c r="Q266" s="28" t="s">
        <v>76</v>
      </c>
      <c r="R266" s="29"/>
      <c r="S266" s="28"/>
      <c r="T266" s="28" t="s">
        <v>574</v>
      </c>
      <c r="U266" s="28" t="s">
        <v>75</v>
      </c>
      <c r="V266" s="28" t="s">
        <v>75</v>
      </c>
      <c r="W266" s="28"/>
    </row>
    <row r="267" spans="1:23" s="12" customFormat="1" hidden="1">
      <c r="A267" s="46" t="s">
        <v>572</v>
      </c>
      <c r="B267" s="28" t="s">
        <v>1333</v>
      </c>
      <c r="C267" s="28" t="s">
        <v>88</v>
      </c>
      <c r="D267" s="28" t="s">
        <v>668</v>
      </c>
      <c r="E267" s="28" t="s">
        <v>91</v>
      </c>
      <c r="F267" s="28" t="s">
        <v>369</v>
      </c>
      <c r="G267" s="28" t="s">
        <v>369</v>
      </c>
      <c r="H267" s="28" t="s">
        <v>208</v>
      </c>
      <c r="I267" s="28" t="str">
        <f>VLOOKUP(F267,표준용어사전!$B:$D,3,FALSE)</f>
        <v>명V20</v>
      </c>
      <c r="J267" s="28" t="s">
        <v>78</v>
      </c>
      <c r="K267" s="27">
        <v>20</v>
      </c>
      <c r="L267" s="29" t="s">
        <v>571</v>
      </c>
      <c r="M267" s="29" t="s">
        <v>727</v>
      </c>
      <c r="N267" s="29" t="s">
        <v>75</v>
      </c>
      <c r="O267" s="28"/>
      <c r="P267" s="28"/>
      <c r="Q267" s="28" t="s">
        <v>76</v>
      </c>
      <c r="R267" s="29"/>
      <c r="S267" s="28"/>
      <c r="T267" s="28" t="s">
        <v>76</v>
      </c>
      <c r="U267" s="28" t="s">
        <v>75</v>
      </c>
      <c r="V267" s="28" t="s">
        <v>75</v>
      </c>
      <c r="W267" s="28"/>
    </row>
    <row r="268" spans="1:23" s="12" customFormat="1" hidden="1">
      <c r="A268" s="46" t="s">
        <v>572</v>
      </c>
      <c r="B268" s="28" t="s">
        <v>1333</v>
      </c>
      <c r="C268" s="28" t="s">
        <v>88</v>
      </c>
      <c r="D268" s="28" t="s">
        <v>668</v>
      </c>
      <c r="E268" s="28" t="s">
        <v>92</v>
      </c>
      <c r="F268" s="28" t="s">
        <v>15</v>
      </c>
      <c r="G268" s="28" t="s">
        <v>15</v>
      </c>
      <c r="H268" s="28" t="s">
        <v>208</v>
      </c>
      <c r="I268" s="28" t="str">
        <f>VLOOKUP(F268,표준용어사전!$B:$D,3,FALSE)</f>
        <v>연월일시분초TS</v>
      </c>
      <c r="J268" s="28" t="s">
        <v>16</v>
      </c>
      <c r="K268" s="27" t="s">
        <v>571</v>
      </c>
      <c r="L268" s="29" t="s">
        <v>571</v>
      </c>
      <c r="M268" s="29" t="s">
        <v>726</v>
      </c>
      <c r="N268" s="29" t="s">
        <v>75</v>
      </c>
      <c r="O268" s="28"/>
      <c r="P268" s="28"/>
      <c r="Q268" s="28" t="s">
        <v>76</v>
      </c>
      <c r="R268" s="29"/>
      <c r="S268" s="28"/>
      <c r="T268" s="28" t="s">
        <v>574</v>
      </c>
      <c r="U268" s="28" t="s">
        <v>75</v>
      </c>
      <c r="V268" s="28" t="s">
        <v>75</v>
      </c>
      <c r="W268" s="28"/>
    </row>
    <row r="269" spans="1:23" s="12" customFormat="1" hidden="1">
      <c r="A269" s="46" t="s">
        <v>572</v>
      </c>
      <c r="B269" s="28" t="s">
        <v>1333</v>
      </c>
      <c r="C269" s="28" t="s">
        <v>88</v>
      </c>
      <c r="D269" s="28" t="s">
        <v>668</v>
      </c>
      <c r="E269" s="28" t="s">
        <v>93</v>
      </c>
      <c r="F269" s="28" t="s">
        <v>370</v>
      </c>
      <c r="G269" s="28" t="s">
        <v>370</v>
      </c>
      <c r="H269" s="28" t="s">
        <v>208</v>
      </c>
      <c r="I269" s="28" t="str">
        <f>VLOOKUP(F269,표준용어사전!$B:$D,3,FALSE)</f>
        <v>명V20</v>
      </c>
      <c r="J269" s="28" t="s">
        <v>78</v>
      </c>
      <c r="K269" s="27">
        <v>20</v>
      </c>
      <c r="L269" s="29" t="s">
        <v>571</v>
      </c>
      <c r="M269" s="29" t="s">
        <v>727</v>
      </c>
      <c r="N269" s="29" t="s">
        <v>75</v>
      </c>
      <c r="O269" s="28"/>
      <c r="P269" s="28"/>
      <c r="Q269" s="28" t="s">
        <v>76</v>
      </c>
      <c r="R269" s="29"/>
      <c r="S269" s="28"/>
      <c r="T269" s="28" t="s">
        <v>76</v>
      </c>
      <c r="U269" s="28" t="s">
        <v>75</v>
      </c>
      <c r="V269" s="28" t="s">
        <v>75</v>
      </c>
      <c r="W269" s="28"/>
    </row>
    <row r="270" spans="1:23" s="12" customFormat="1" hidden="1">
      <c r="A270" s="46" t="s">
        <v>711</v>
      </c>
      <c r="B270" s="28" t="s">
        <v>1333</v>
      </c>
      <c r="C270" s="28" t="s">
        <v>88</v>
      </c>
      <c r="D270" s="31" t="s">
        <v>668</v>
      </c>
      <c r="E270" s="31" t="s">
        <v>1631</v>
      </c>
      <c r="F270" s="31" t="s">
        <v>1632</v>
      </c>
      <c r="G270" s="31" t="s">
        <v>1632</v>
      </c>
      <c r="H270" s="31" t="s">
        <v>1633</v>
      </c>
      <c r="I270" s="28" t="e">
        <f>VLOOKUP(F270,표준용어사전!$B:$D,3,FALSE)</f>
        <v>#N/A</v>
      </c>
      <c r="J270" s="28" t="s">
        <v>709</v>
      </c>
      <c r="K270" s="24">
        <v>4</v>
      </c>
      <c r="L270" s="29" t="s">
        <v>571</v>
      </c>
      <c r="M270" s="29" t="s">
        <v>929</v>
      </c>
      <c r="N270" s="29" t="s">
        <v>572</v>
      </c>
      <c r="O270" s="28"/>
      <c r="P270" s="28"/>
      <c r="Q270" s="28" t="s">
        <v>76</v>
      </c>
      <c r="R270" s="29"/>
      <c r="S270" s="28"/>
      <c r="T270" s="28" t="s">
        <v>1634</v>
      </c>
      <c r="U270" s="28" t="s">
        <v>75</v>
      </c>
      <c r="V270" s="28" t="s">
        <v>75</v>
      </c>
      <c r="W270" s="28"/>
    </row>
    <row r="271" spans="1:23" s="12" customFormat="1" hidden="1">
      <c r="A271" s="46" t="s">
        <v>572</v>
      </c>
      <c r="B271" s="28" t="s">
        <v>1333</v>
      </c>
      <c r="C271" s="28" t="s">
        <v>88</v>
      </c>
      <c r="D271" s="28" t="s">
        <v>633</v>
      </c>
      <c r="E271" s="28" t="s">
        <v>838</v>
      </c>
      <c r="F271" s="28" t="s">
        <v>751</v>
      </c>
      <c r="G271" s="28" t="s">
        <v>751</v>
      </c>
      <c r="H271" s="28" t="s">
        <v>207</v>
      </c>
      <c r="I271" s="28" t="e">
        <f>VLOOKUP(F271,표준용어사전!$B:$D,3,FALSE)</f>
        <v>#N/A</v>
      </c>
      <c r="J271" s="28" t="s">
        <v>718</v>
      </c>
      <c r="K271" s="24">
        <v>50</v>
      </c>
      <c r="L271" s="29" t="s">
        <v>571</v>
      </c>
      <c r="M271" s="29" t="s">
        <v>720</v>
      </c>
      <c r="N271" s="29" t="s">
        <v>711</v>
      </c>
      <c r="O271" s="28" t="s">
        <v>73</v>
      </c>
      <c r="P271" s="28"/>
      <c r="Q271" s="28" t="s">
        <v>76</v>
      </c>
      <c r="R271" s="29"/>
      <c r="S271" s="28"/>
      <c r="T271" s="28"/>
      <c r="U271" s="28" t="s">
        <v>75</v>
      </c>
      <c r="V271" s="28" t="s">
        <v>75</v>
      </c>
      <c r="W271" s="28"/>
    </row>
    <row r="272" spans="1:23" s="12" customFormat="1" hidden="1">
      <c r="A272" s="46" t="s">
        <v>572</v>
      </c>
      <c r="B272" s="28" t="s">
        <v>1333</v>
      </c>
      <c r="C272" s="28" t="s">
        <v>88</v>
      </c>
      <c r="D272" s="28" t="s">
        <v>633</v>
      </c>
      <c r="E272" s="28" t="s">
        <v>89</v>
      </c>
      <c r="F272" s="28" t="s">
        <v>501</v>
      </c>
      <c r="G272" s="28" t="s">
        <v>501</v>
      </c>
      <c r="H272" s="28" t="s">
        <v>207</v>
      </c>
      <c r="I272" s="28" t="str">
        <f>VLOOKUP(F272,표준용어사전!$B:$D,3,FALSE)</f>
        <v>명V20</v>
      </c>
      <c r="J272" s="28" t="s">
        <v>718</v>
      </c>
      <c r="K272" s="24">
        <v>50</v>
      </c>
      <c r="L272" s="29" t="s">
        <v>571</v>
      </c>
      <c r="M272" s="29" t="s">
        <v>720</v>
      </c>
      <c r="N272" s="29" t="s">
        <v>711</v>
      </c>
      <c r="O272" s="28" t="s">
        <v>573</v>
      </c>
      <c r="P272" s="28"/>
      <c r="Q272" s="28" t="s">
        <v>76</v>
      </c>
      <c r="R272" s="29"/>
      <c r="S272" s="28"/>
      <c r="T272" s="28"/>
      <c r="U272" s="28" t="s">
        <v>75</v>
      </c>
      <c r="V272" s="28" t="s">
        <v>75</v>
      </c>
      <c r="W272" s="28"/>
    </row>
    <row r="273" spans="1:23" s="12" customFormat="1" hidden="1">
      <c r="A273" s="46" t="s">
        <v>572</v>
      </c>
      <c r="B273" s="28" t="s">
        <v>1333</v>
      </c>
      <c r="C273" s="28" t="s">
        <v>88</v>
      </c>
      <c r="D273" s="28" t="s">
        <v>633</v>
      </c>
      <c r="E273" s="28" t="s">
        <v>202</v>
      </c>
      <c r="F273" s="28" t="s">
        <v>451</v>
      </c>
      <c r="G273" s="28" t="s">
        <v>451</v>
      </c>
      <c r="H273" s="28" t="s">
        <v>207</v>
      </c>
      <c r="I273" s="28" t="str">
        <f>VLOOKUP(F273,표준용어사전!$B:$D,3,FALSE)</f>
        <v>명V20</v>
      </c>
      <c r="J273" s="28" t="s">
        <v>718</v>
      </c>
      <c r="K273" s="24">
        <v>50</v>
      </c>
      <c r="L273" s="29" t="s">
        <v>571</v>
      </c>
      <c r="M273" s="29" t="s">
        <v>720</v>
      </c>
      <c r="N273" s="29" t="s">
        <v>711</v>
      </c>
      <c r="O273" s="28" t="s">
        <v>754</v>
      </c>
      <c r="P273" s="28"/>
      <c r="Q273" s="28" t="s">
        <v>1377</v>
      </c>
      <c r="R273" s="29">
        <v>1</v>
      </c>
      <c r="S273" s="28"/>
      <c r="T273" s="28"/>
      <c r="U273" s="28" t="s">
        <v>75</v>
      </c>
      <c r="V273" s="28" t="s">
        <v>75</v>
      </c>
      <c r="W273" s="28"/>
    </row>
    <row r="274" spans="1:23" s="12" customFormat="1" hidden="1">
      <c r="A274" s="46" t="s">
        <v>572</v>
      </c>
      <c r="B274" s="28" t="s">
        <v>1333</v>
      </c>
      <c r="C274" s="28" t="s">
        <v>88</v>
      </c>
      <c r="D274" s="28" t="s">
        <v>633</v>
      </c>
      <c r="E274" s="28" t="s">
        <v>90</v>
      </c>
      <c r="F274" s="28" t="s">
        <v>14</v>
      </c>
      <c r="G274" s="28" t="s">
        <v>14</v>
      </c>
      <c r="H274" s="28" t="s">
        <v>207</v>
      </c>
      <c r="I274" s="28" t="str">
        <f>VLOOKUP(F274,표준용어사전!$B:$D,3,FALSE)</f>
        <v>연월일시분초TS</v>
      </c>
      <c r="J274" s="28" t="s">
        <v>16</v>
      </c>
      <c r="K274" s="27" t="s">
        <v>571</v>
      </c>
      <c r="L274" s="29" t="s">
        <v>571</v>
      </c>
      <c r="M274" s="29" t="s">
        <v>726</v>
      </c>
      <c r="N274" s="29" t="s">
        <v>711</v>
      </c>
      <c r="O274" s="28"/>
      <c r="P274" s="28"/>
      <c r="Q274" s="28" t="s">
        <v>76</v>
      </c>
      <c r="R274" s="29"/>
      <c r="S274" s="28"/>
      <c r="T274" s="28" t="s">
        <v>574</v>
      </c>
      <c r="U274" s="28" t="s">
        <v>75</v>
      </c>
      <c r="V274" s="28" t="s">
        <v>75</v>
      </c>
      <c r="W274" s="28"/>
    </row>
    <row r="275" spans="1:23" s="12" customFormat="1" hidden="1">
      <c r="A275" s="46" t="s">
        <v>572</v>
      </c>
      <c r="B275" s="28" t="s">
        <v>1333</v>
      </c>
      <c r="C275" s="28" t="s">
        <v>88</v>
      </c>
      <c r="D275" s="28" t="s">
        <v>633</v>
      </c>
      <c r="E275" s="28" t="s">
        <v>91</v>
      </c>
      <c r="F275" s="28" t="s">
        <v>369</v>
      </c>
      <c r="G275" s="28" t="s">
        <v>369</v>
      </c>
      <c r="H275" s="28" t="s">
        <v>207</v>
      </c>
      <c r="I275" s="28" t="str">
        <f>VLOOKUP(F275,표준용어사전!$B:$D,3,FALSE)</f>
        <v>명V20</v>
      </c>
      <c r="J275" s="28" t="s">
        <v>78</v>
      </c>
      <c r="K275" s="27">
        <v>20</v>
      </c>
      <c r="L275" s="29" t="s">
        <v>571</v>
      </c>
      <c r="M275" s="29" t="s">
        <v>727</v>
      </c>
      <c r="N275" s="29" t="s">
        <v>75</v>
      </c>
      <c r="O275" s="28"/>
      <c r="P275" s="28"/>
      <c r="Q275" s="28" t="s">
        <v>76</v>
      </c>
      <c r="R275" s="29"/>
      <c r="S275" s="28"/>
      <c r="T275" s="28" t="s">
        <v>76</v>
      </c>
      <c r="U275" s="28" t="s">
        <v>75</v>
      </c>
      <c r="V275" s="28" t="s">
        <v>75</v>
      </c>
      <c r="W275" s="28"/>
    </row>
    <row r="276" spans="1:23" s="12" customFormat="1" hidden="1">
      <c r="A276" s="46" t="s">
        <v>572</v>
      </c>
      <c r="B276" s="28" t="s">
        <v>1333</v>
      </c>
      <c r="C276" s="28" t="s">
        <v>88</v>
      </c>
      <c r="D276" s="28" t="s">
        <v>633</v>
      </c>
      <c r="E276" s="28" t="s">
        <v>92</v>
      </c>
      <c r="F276" s="28" t="s">
        <v>15</v>
      </c>
      <c r="G276" s="28" t="s">
        <v>15</v>
      </c>
      <c r="H276" s="28" t="s">
        <v>207</v>
      </c>
      <c r="I276" s="28" t="str">
        <f>VLOOKUP(F276,표준용어사전!$B:$D,3,FALSE)</f>
        <v>연월일시분초TS</v>
      </c>
      <c r="J276" s="28" t="s">
        <v>16</v>
      </c>
      <c r="K276" s="27" t="s">
        <v>571</v>
      </c>
      <c r="L276" s="29" t="s">
        <v>571</v>
      </c>
      <c r="M276" s="29" t="s">
        <v>726</v>
      </c>
      <c r="N276" s="29" t="s">
        <v>75</v>
      </c>
      <c r="O276" s="28"/>
      <c r="P276" s="28"/>
      <c r="Q276" s="28" t="s">
        <v>76</v>
      </c>
      <c r="R276" s="29"/>
      <c r="S276" s="28"/>
      <c r="T276" s="28" t="s">
        <v>574</v>
      </c>
      <c r="U276" s="28" t="s">
        <v>75</v>
      </c>
      <c r="V276" s="28" t="s">
        <v>75</v>
      </c>
      <c r="W276" s="28"/>
    </row>
    <row r="277" spans="1:23" s="12" customFormat="1" hidden="1">
      <c r="A277" s="46" t="s">
        <v>572</v>
      </c>
      <c r="B277" s="28" t="s">
        <v>1333</v>
      </c>
      <c r="C277" s="28" t="s">
        <v>88</v>
      </c>
      <c r="D277" s="28" t="s">
        <v>633</v>
      </c>
      <c r="E277" s="28" t="s">
        <v>93</v>
      </c>
      <c r="F277" s="28" t="s">
        <v>370</v>
      </c>
      <c r="G277" s="28" t="s">
        <v>370</v>
      </c>
      <c r="H277" s="28" t="s">
        <v>207</v>
      </c>
      <c r="I277" s="28" t="str">
        <f>VLOOKUP(F277,표준용어사전!$B:$D,3,FALSE)</f>
        <v>명V20</v>
      </c>
      <c r="J277" s="28" t="s">
        <v>78</v>
      </c>
      <c r="K277" s="27">
        <v>20</v>
      </c>
      <c r="L277" s="29" t="s">
        <v>571</v>
      </c>
      <c r="M277" s="29" t="s">
        <v>727</v>
      </c>
      <c r="N277" s="29" t="s">
        <v>75</v>
      </c>
      <c r="O277" s="28"/>
      <c r="P277" s="28"/>
      <c r="Q277" s="28" t="s">
        <v>76</v>
      </c>
      <c r="R277" s="29"/>
      <c r="S277" s="28"/>
      <c r="T277" s="28" t="s">
        <v>76</v>
      </c>
      <c r="U277" s="28" t="s">
        <v>75</v>
      </c>
      <c r="V277" s="28" t="s">
        <v>75</v>
      </c>
      <c r="W277" s="28"/>
    </row>
    <row r="278" spans="1:23" s="12" customFormat="1" hidden="1">
      <c r="A278" s="46" t="s">
        <v>572</v>
      </c>
      <c r="B278" s="28" t="s">
        <v>1333</v>
      </c>
      <c r="C278" s="28" t="s">
        <v>88</v>
      </c>
      <c r="D278" s="28" t="s">
        <v>632</v>
      </c>
      <c r="E278" s="28" t="s">
        <v>202</v>
      </c>
      <c r="F278" s="28" t="s">
        <v>451</v>
      </c>
      <c r="G278" s="28" t="s">
        <v>451</v>
      </c>
      <c r="H278" s="28" t="s">
        <v>203</v>
      </c>
      <c r="I278" s="28" t="str">
        <f>VLOOKUP(F278,표준용어사전!$B:$D,3,FALSE)</f>
        <v>명V20</v>
      </c>
      <c r="J278" s="28" t="s">
        <v>78</v>
      </c>
      <c r="K278" s="27">
        <v>50</v>
      </c>
      <c r="L278" s="29" t="s">
        <v>571</v>
      </c>
      <c r="M278" s="29" t="s">
        <v>720</v>
      </c>
      <c r="N278" s="29" t="s">
        <v>711</v>
      </c>
      <c r="O278" s="28" t="s">
        <v>73</v>
      </c>
      <c r="P278" s="28"/>
      <c r="Q278" s="28" t="s">
        <v>76</v>
      </c>
      <c r="R278" s="29"/>
      <c r="S278" s="28"/>
      <c r="T278" s="28"/>
      <c r="U278" s="28" t="s">
        <v>75</v>
      </c>
      <c r="V278" s="28" t="s">
        <v>75</v>
      </c>
      <c r="W278" s="28"/>
    </row>
    <row r="279" spans="1:23" s="12" customFormat="1" hidden="1">
      <c r="A279" s="46" t="s">
        <v>572</v>
      </c>
      <c r="B279" s="28" t="s">
        <v>1333</v>
      </c>
      <c r="C279" s="28" t="s">
        <v>88</v>
      </c>
      <c r="D279" s="28" t="s">
        <v>632</v>
      </c>
      <c r="E279" s="28" t="s">
        <v>204</v>
      </c>
      <c r="F279" s="28" t="s">
        <v>452</v>
      </c>
      <c r="G279" s="28" t="s">
        <v>452</v>
      </c>
      <c r="H279" s="28" t="s">
        <v>203</v>
      </c>
      <c r="I279" s="28" t="e">
        <f>VLOOKUP(F279,표준용어사전!$B:$D,3,FALSE)</f>
        <v>#N/A</v>
      </c>
      <c r="J279" s="28" t="s">
        <v>713</v>
      </c>
      <c r="K279" s="27" t="s">
        <v>571</v>
      </c>
      <c r="L279" s="29" t="s">
        <v>571</v>
      </c>
      <c r="M279" s="29"/>
      <c r="N279" s="29" t="s">
        <v>75</v>
      </c>
      <c r="O279" s="28"/>
      <c r="P279" s="28"/>
      <c r="Q279" s="28" t="s">
        <v>76</v>
      </c>
      <c r="R279" s="29"/>
      <c r="S279" s="28"/>
      <c r="T279" s="28"/>
      <c r="U279" s="28" t="s">
        <v>75</v>
      </c>
      <c r="V279" s="28" t="s">
        <v>75</v>
      </c>
      <c r="W279" s="28"/>
    </row>
    <row r="280" spans="1:23" s="12" customFormat="1" hidden="1">
      <c r="A280" s="46" t="s">
        <v>572</v>
      </c>
      <c r="B280" s="28" t="s">
        <v>1333</v>
      </c>
      <c r="C280" s="28" t="s">
        <v>88</v>
      </c>
      <c r="D280" s="28" t="s">
        <v>632</v>
      </c>
      <c r="E280" s="28" t="s">
        <v>206</v>
      </c>
      <c r="F280" s="28" t="s">
        <v>454</v>
      </c>
      <c r="G280" s="28" t="s">
        <v>454</v>
      </c>
      <c r="H280" s="28" t="s">
        <v>203</v>
      </c>
      <c r="I280" s="28" t="e">
        <f>VLOOKUP(F280,표준용어사전!$B:$D,3,FALSE)</f>
        <v>#N/A</v>
      </c>
      <c r="J280" s="28" t="s">
        <v>713</v>
      </c>
      <c r="K280" s="27" t="s">
        <v>571</v>
      </c>
      <c r="L280" s="29" t="s">
        <v>571</v>
      </c>
      <c r="M280" s="29"/>
      <c r="N280" s="29" t="s">
        <v>75</v>
      </c>
      <c r="O280" s="28"/>
      <c r="P280" s="28"/>
      <c r="Q280" s="28" t="s">
        <v>76</v>
      </c>
      <c r="R280" s="29"/>
      <c r="S280" s="28"/>
      <c r="T280" s="28"/>
      <c r="U280" s="28" t="s">
        <v>75</v>
      </c>
      <c r="V280" s="28" t="s">
        <v>75</v>
      </c>
      <c r="W280" s="28"/>
    </row>
    <row r="281" spans="1:23" s="12" customFormat="1" hidden="1">
      <c r="A281" s="46" t="s">
        <v>572</v>
      </c>
      <c r="B281" s="28" t="s">
        <v>1333</v>
      </c>
      <c r="C281" s="28" t="s">
        <v>88</v>
      </c>
      <c r="D281" s="28" t="s">
        <v>632</v>
      </c>
      <c r="E281" s="28" t="s">
        <v>90</v>
      </c>
      <c r="F281" s="28" t="s">
        <v>14</v>
      </c>
      <c r="G281" s="28" t="s">
        <v>14</v>
      </c>
      <c r="H281" s="28" t="s">
        <v>203</v>
      </c>
      <c r="I281" s="28" t="str">
        <f>VLOOKUP(F281,표준용어사전!$B:$D,3,FALSE)</f>
        <v>연월일시분초TS</v>
      </c>
      <c r="J281" s="28" t="s">
        <v>16</v>
      </c>
      <c r="K281" s="27" t="s">
        <v>571</v>
      </c>
      <c r="L281" s="29" t="s">
        <v>571</v>
      </c>
      <c r="M281" s="29" t="s">
        <v>726</v>
      </c>
      <c r="N281" s="29" t="s">
        <v>711</v>
      </c>
      <c r="O281" s="28"/>
      <c r="P281" s="28"/>
      <c r="Q281" s="28" t="s">
        <v>76</v>
      </c>
      <c r="R281" s="29"/>
      <c r="S281" s="28"/>
      <c r="T281" s="28" t="s">
        <v>574</v>
      </c>
      <c r="U281" s="28" t="s">
        <v>75</v>
      </c>
      <c r="V281" s="28" t="s">
        <v>75</v>
      </c>
      <c r="W281" s="28"/>
    </row>
    <row r="282" spans="1:23" s="12" customFormat="1" hidden="1">
      <c r="A282" s="46" t="s">
        <v>572</v>
      </c>
      <c r="B282" s="28" t="s">
        <v>1333</v>
      </c>
      <c r="C282" s="28" t="s">
        <v>88</v>
      </c>
      <c r="D282" s="28" t="s">
        <v>632</v>
      </c>
      <c r="E282" s="28" t="s">
        <v>91</v>
      </c>
      <c r="F282" s="28" t="s">
        <v>369</v>
      </c>
      <c r="G282" s="28" t="s">
        <v>369</v>
      </c>
      <c r="H282" s="28" t="s">
        <v>203</v>
      </c>
      <c r="I282" s="28" t="str">
        <f>VLOOKUP(F282,표준용어사전!$B:$D,3,FALSE)</f>
        <v>명V20</v>
      </c>
      <c r="J282" s="28" t="s">
        <v>78</v>
      </c>
      <c r="K282" s="27">
        <v>20</v>
      </c>
      <c r="L282" s="29" t="s">
        <v>571</v>
      </c>
      <c r="M282" s="29" t="s">
        <v>727</v>
      </c>
      <c r="N282" s="29" t="s">
        <v>75</v>
      </c>
      <c r="O282" s="28"/>
      <c r="P282" s="28"/>
      <c r="Q282" s="28" t="s">
        <v>76</v>
      </c>
      <c r="R282" s="29"/>
      <c r="S282" s="28"/>
      <c r="T282" s="28" t="s">
        <v>76</v>
      </c>
      <c r="U282" s="28" t="s">
        <v>75</v>
      </c>
      <c r="V282" s="28" t="s">
        <v>75</v>
      </c>
      <c r="W282" s="28"/>
    </row>
    <row r="283" spans="1:23" s="12" customFormat="1" hidden="1">
      <c r="A283" s="46" t="s">
        <v>572</v>
      </c>
      <c r="B283" s="28" t="s">
        <v>1333</v>
      </c>
      <c r="C283" s="28" t="s">
        <v>88</v>
      </c>
      <c r="D283" s="28" t="s">
        <v>632</v>
      </c>
      <c r="E283" s="28" t="s">
        <v>92</v>
      </c>
      <c r="F283" s="28" t="s">
        <v>15</v>
      </c>
      <c r="G283" s="28" t="s">
        <v>15</v>
      </c>
      <c r="H283" s="28" t="s">
        <v>203</v>
      </c>
      <c r="I283" s="28" t="str">
        <f>VLOOKUP(F283,표준용어사전!$B:$D,3,FALSE)</f>
        <v>연월일시분초TS</v>
      </c>
      <c r="J283" s="28" t="s">
        <v>16</v>
      </c>
      <c r="K283" s="27" t="s">
        <v>571</v>
      </c>
      <c r="L283" s="29" t="s">
        <v>571</v>
      </c>
      <c r="M283" s="29" t="s">
        <v>726</v>
      </c>
      <c r="N283" s="29" t="s">
        <v>75</v>
      </c>
      <c r="O283" s="28"/>
      <c r="P283" s="28"/>
      <c r="Q283" s="28" t="s">
        <v>76</v>
      </c>
      <c r="R283" s="29"/>
      <c r="S283" s="28"/>
      <c r="T283" s="28" t="s">
        <v>574</v>
      </c>
      <c r="U283" s="28" t="s">
        <v>75</v>
      </c>
      <c r="V283" s="28" t="s">
        <v>75</v>
      </c>
      <c r="W283" s="28"/>
    </row>
    <row r="284" spans="1:23" s="12" customFormat="1" hidden="1">
      <c r="A284" s="46" t="s">
        <v>572</v>
      </c>
      <c r="B284" s="28" t="s">
        <v>1333</v>
      </c>
      <c r="C284" s="28" t="s">
        <v>88</v>
      </c>
      <c r="D284" s="28" t="s">
        <v>895</v>
      </c>
      <c r="E284" s="28" t="s">
        <v>93</v>
      </c>
      <c r="F284" s="28" t="s">
        <v>370</v>
      </c>
      <c r="G284" s="28" t="s">
        <v>370</v>
      </c>
      <c r="H284" s="28" t="s">
        <v>203</v>
      </c>
      <c r="I284" s="28" t="str">
        <f>VLOOKUP(F284,표준용어사전!$B:$D,3,FALSE)</f>
        <v>명V20</v>
      </c>
      <c r="J284" s="28" t="s">
        <v>78</v>
      </c>
      <c r="K284" s="27">
        <v>20</v>
      </c>
      <c r="L284" s="29" t="s">
        <v>571</v>
      </c>
      <c r="M284" s="29" t="s">
        <v>727</v>
      </c>
      <c r="N284" s="29" t="s">
        <v>75</v>
      </c>
      <c r="O284" s="28"/>
      <c r="P284" s="28"/>
      <c r="Q284" s="28" t="s">
        <v>76</v>
      </c>
      <c r="R284" s="29"/>
      <c r="S284" s="28"/>
      <c r="T284" s="28" t="s">
        <v>76</v>
      </c>
      <c r="U284" s="28" t="s">
        <v>75</v>
      </c>
      <c r="V284" s="28" t="s">
        <v>75</v>
      </c>
      <c r="W284" s="28"/>
    </row>
    <row r="285" spans="1:23" s="12" customFormat="1" hidden="1">
      <c r="A285" s="46" t="s">
        <v>572</v>
      </c>
      <c r="B285" s="28" t="s">
        <v>1333</v>
      </c>
      <c r="C285" s="28" t="s">
        <v>88</v>
      </c>
      <c r="D285" s="28" t="s">
        <v>669</v>
      </c>
      <c r="E285" s="28" t="s">
        <v>841</v>
      </c>
      <c r="F285" s="28" t="s">
        <v>755</v>
      </c>
      <c r="G285" s="28" t="s">
        <v>755</v>
      </c>
      <c r="H285" s="28" t="s">
        <v>697</v>
      </c>
      <c r="I285" s="28" t="e">
        <f>VLOOKUP(F285,표준용어사전!$B:$D,3,FALSE)</f>
        <v>#N/A</v>
      </c>
      <c r="J285" s="28" t="s">
        <v>717</v>
      </c>
      <c r="K285" s="27" t="s">
        <v>571</v>
      </c>
      <c r="L285" s="29" t="s">
        <v>571</v>
      </c>
      <c r="M285" s="29"/>
      <c r="N285" s="29" t="s">
        <v>711</v>
      </c>
      <c r="O285" s="28" t="s">
        <v>641</v>
      </c>
      <c r="P285" s="28"/>
      <c r="Q285" s="28" t="s">
        <v>76</v>
      </c>
      <c r="R285" s="29"/>
      <c r="S285" s="28"/>
      <c r="T285" s="28"/>
      <c r="U285" s="28" t="s">
        <v>75</v>
      </c>
      <c r="V285" s="28" t="s">
        <v>75</v>
      </c>
      <c r="W285" s="28"/>
    </row>
    <row r="286" spans="1:23" s="12" customFormat="1" hidden="1">
      <c r="A286" s="46" t="s">
        <v>572</v>
      </c>
      <c r="B286" s="28" t="s">
        <v>1333</v>
      </c>
      <c r="C286" s="28" t="s">
        <v>88</v>
      </c>
      <c r="D286" s="28" t="s">
        <v>669</v>
      </c>
      <c r="E286" s="28" t="s">
        <v>246</v>
      </c>
      <c r="F286" s="28" t="s">
        <v>17</v>
      </c>
      <c r="G286" s="28" t="s">
        <v>17</v>
      </c>
      <c r="H286" s="28" t="s">
        <v>697</v>
      </c>
      <c r="I286" s="28" t="str">
        <f>VLOOKUP(F286,표준용어사전!$B:$D,3,FALSE)</f>
        <v>명V20</v>
      </c>
      <c r="J286" s="28" t="s">
        <v>718</v>
      </c>
      <c r="K286" s="24">
        <v>20</v>
      </c>
      <c r="L286" s="29" t="s">
        <v>571</v>
      </c>
      <c r="M286" s="29" t="s">
        <v>727</v>
      </c>
      <c r="N286" s="29" t="s">
        <v>711</v>
      </c>
      <c r="O286" s="28"/>
      <c r="P286" s="28"/>
      <c r="Q286" s="28" t="s">
        <v>76</v>
      </c>
      <c r="R286" s="29"/>
      <c r="S286" s="28"/>
      <c r="T286" s="28"/>
      <c r="U286" s="28" t="s">
        <v>75</v>
      </c>
      <c r="V286" s="28" t="s">
        <v>75</v>
      </c>
      <c r="W286" s="28"/>
    </row>
    <row r="287" spans="1:23" s="12" customFormat="1" hidden="1">
      <c r="A287" s="46" t="s">
        <v>572</v>
      </c>
      <c r="B287" s="28" t="s">
        <v>1333</v>
      </c>
      <c r="C287" s="28" t="s">
        <v>88</v>
      </c>
      <c r="D287" s="28" t="s">
        <v>669</v>
      </c>
      <c r="E287" s="28" t="s">
        <v>202</v>
      </c>
      <c r="F287" s="28" t="s">
        <v>451</v>
      </c>
      <c r="G287" s="28" t="s">
        <v>451</v>
      </c>
      <c r="H287" s="28" t="s">
        <v>697</v>
      </c>
      <c r="I287" s="28" t="str">
        <f>VLOOKUP(F287,표준용어사전!$B:$D,3,FALSE)</f>
        <v>명V20</v>
      </c>
      <c r="J287" s="28" t="s">
        <v>718</v>
      </c>
      <c r="K287" s="24">
        <v>50</v>
      </c>
      <c r="L287" s="29" t="s">
        <v>571</v>
      </c>
      <c r="M287" s="29" t="s">
        <v>720</v>
      </c>
      <c r="N287" s="29" t="s">
        <v>711</v>
      </c>
      <c r="O287" s="28"/>
      <c r="P287" s="28"/>
      <c r="Q287" s="28" t="s">
        <v>1378</v>
      </c>
      <c r="R287" s="29">
        <v>1</v>
      </c>
      <c r="S287" s="28"/>
      <c r="T287" s="28"/>
      <c r="U287" s="28" t="s">
        <v>75</v>
      </c>
      <c r="V287" s="28" t="s">
        <v>75</v>
      </c>
      <c r="W287" s="28"/>
    </row>
    <row r="288" spans="1:23" s="12" customFormat="1" hidden="1">
      <c r="A288" s="46" t="s">
        <v>572</v>
      </c>
      <c r="B288" s="28" t="s">
        <v>1333</v>
      </c>
      <c r="C288" s="28" t="s">
        <v>88</v>
      </c>
      <c r="D288" s="28" t="s">
        <v>669</v>
      </c>
      <c r="E288" s="28" t="s">
        <v>268</v>
      </c>
      <c r="F288" s="28" t="s">
        <v>500</v>
      </c>
      <c r="G288" s="28" t="s">
        <v>763</v>
      </c>
      <c r="H288" s="28" t="s">
        <v>697</v>
      </c>
      <c r="I288" s="28" t="str">
        <f>VLOOKUP(F288,표준용어사전!$B:$D,3,FALSE)</f>
        <v>코드C1</v>
      </c>
      <c r="J288" s="28" t="s">
        <v>709</v>
      </c>
      <c r="K288" s="24">
        <v>1</v>
      </c>
      <c r="L288" s="29" t="s">
        <v>571</v>
      </c>
      <c r="M288" s="29" t="s">
        <v>722</v>
      </c>
      <c r="N288" s="29" t="s">
        <v>572</v>
      </c>
      <c r="O288" s="28"/>
      <c r="P288" s="28"/>
      <c r="Q288" s="28" t="s">
        <v>76</v>
      </c>
      <c r="R288" s="29"/>
      <c r="S288" s="28"/>
      <c r="T288" s="28"/>
      <c r="U288" s="28" t="s">
        <v>75</v>
      </c>
      <c r="V288" s="28" t="s">
        <v>75</v>
      </c>
      <c r="W288" s="28"/>
    </row>
    <row r="289" spans="1:23" s="12" customFormat="1" hidden="1">
      <c r="A289" s="46" t="s">
        <v>572</v>
      </c>
      <c r="B289" s="28" t="s">
        <v>1333</v>
      </c>
      <c r="C289" s="28" t="s">
        <v>88</v>
      </c>
      <c r="D289" s="28" t="s">
        <v>669</v>
      </c>
      <c r="E289" s="28" t="s">
        <v>252</v>
      </c>
      <c r="F289" s="28" t="s">
        <v>77</v>
      </c>
      <c r="G289" s="28" t="s">
        <v>77</v>
      </c>
      <c r="H289" s="28" t="s">
        <v>697</v>
      </c>
      <c r="I289" s="28" t="str">
        <f>VLOOKUP(F289,표준용어사전!$B:$D,3,FALSE)</f>
        <v>내용TXT</v>
      </c>
      <c r="J289" s="28" t="s">
        <v>713</v>
      </c>
      <c r="K289" s="27" t="s">
        <v>571</v>
      </c>
      <c r="L289" s="29" t="s">
        <v>571</v>
      </c>
      <c r="M289" s="29"/>
      <c r="N289" s="29" t="s">
        <v>572</v>
      </c>
      <c r="O289" s="28"/>
      <c r="P289" s="28"/>
      <c r="Q289" s="28" t="s">
        <v>76</v>
      </c>
      <c r="R289" s="29"/>
      <c r="S289" s="28"/>
      <c r="T289" s="28"/>
      <c r="U289" s="28" t="s">
        <v>75</v>
      </c>
      <c r="V289" s="28" t="s">
        <v>75</v>
      </c>
      <c r="W289" s="28"/>
    </row>
    <row r="290" spans="1:23" s="12" customFormat="1" hidden="1">
      <c r="A290" s="46" t="s">
        <v>572</v>
      </c>
      <c r="B290" s="28" t="s">
        <v>1333</v>
      </c>
      <c r="C290" s="28" t="s">
        <v>88</v>
      </c>
      <c r="D290" s="28" t="s">
        <v>669</v>
      </c>
      <c r="E290" s="28" t="s">
        <v>90</v>
      </c>
      <c r="F290" s="28" t="s">
        <v>14</v>
      </c>
      <c r="G290" s="28" t="s">
        <v>14</v>
      </c>
      <c r="H290" s="28" t="s">
        <v>697</v>
      </c>
      <c r="I290" s="28" t="str">
        <f>VLOOKUP(F290,표준용어사전!$B:$D,3,FALSE)</f>
        <v>연월일시분초TS</v>
      </c>
      <c r="J290" s="28" t="s">
        <v>16</v>
      </c>
      <c r="K290" s="27" t="s">
        <v>571</v>
      </c>
      <c r="L290" s="29" t="s">
        <v>571</v>
      </c>
      <c r="M290" s="29" t="s">
        <v>726</v>
      </c>
      <c r="N290" s="29" t="s">
        <v>711</v>
      </c>
      <c r="O290" s="28"/>
      <c r="P290" s="28"/>
      <c r="Q290" s="28" t="s">
        <v>76</v>
      </c>
      <c r="R290" s="29"/>
      <c r="S290" s="28"/>
      <c r="T290" s="28" t="s">
        <v>574</v>
      </c>
      <c r="U290" s="28" t="s">
        <v>75</v>
      </c>
      <c r="V290" s="28" t="s">
        <v>75</v>
      </c>
      <c r="W290" s="28"/>
    </row>
    <row r="291" spans="1:23" s="12" customFormat="1" hidden="1">
      <c r="A291" s="46" t="s">
        <v>572</v>
      </c>
      <c r="B291" s="28" t="s">
        <v>1333</v>
      </c>
      <c r="C291" s="28" t="s">
        <v>88</v>
      </c>
      <c r="D291" s="28" t="s">
        <v>669</v>
      </c>
      <c r="E291" s="28" t="s">
        <v>91</v>
      </c>
      <c r="F291" s="28" t="s">
        <v>369</v>
      </c>
      <c r="G291" s="28" t="s">
        <v>369</v>
      </c>
      <c r="H291" s="28" t="s">
        <v>697</v>
      </c>
      <c r="I291" s="28" t="str">
        <f>VLOOKUP(F291,표준용어사전!$B:$D,3,FALSE)</f>
        <v>명V20</v>
      </c>
      <c r="J291" s="28" t="s">
        <v>78</v>
      </c>
      <c r="K291" s="27">
        <v>20</v>
      </c>
      <c r="L291" s="29" t="s">
        <v>571</v>
      </c>
      <c r="M291" s="29" t="s">
        <v>727</v>
      </c>
      <c r="N291" s="29" t="s">
        <v>75</v>
      </c>
      <c r="O291" s="28"/>
      <c r="P291" s="28"/>
      <c r="Q291" s="28" t="s">
        <v>76</v>
      </c>
      <c r="R291" s="29"/>
      <c r="S291" s="28"/>
      <c r="T291" s="28" t="s">
        <v>76</v>
      </c>
      <c r="U291" s="28" t="s">
        <v>75</v>
      </c>
      <c r="V291" s="28" t="s">
        <v>75</v>
      </c>
      <c r="W291" s="28"/>
    </row>
    <row r="292" spans="1:23" s="12" customFormat="1" hidden="1">
      <c r="A292" s="46" t="s">
        <v>572</v>
      </c>
      <c r="B292" s="28" t="s">
        <v>1333</v>
      </c>
      <c r="C292" s="28" t="s">
        <v>88</v>
      </c>
      <c r="D292" s="28" t="s">
        <v>669</v>
      </c>
      <c r="E292" s="28" t="s">
        <v>92</v>
      </c>
      <c r="F292" s="28" t="s">
        <v>15</v>
      </c>
      <c r="G292" s="28" t="s">
        <v>15</v>
      </c>
      <c r="H292" s="28" t="s">
        <v>697</v>
      </c>
      <c r="I292" s="28" t="str">
        <f>VLOOKUP(F292,표준용어사전!$B:$D,3,FALSE)</f>
        <v>연월일시분초TS</v>
      </c>
      <c r="J292" s="28" t="s">
        <v>16</v>
      </c>
      <c r="K292" s="27" t="s">
        <v>571</v>
      </c>
      <c r="L292" s="29" t="s">
        <v>571</v>
      </c>
      <c r="M292" s="29" t="s">
        <v>726</v>
      </c>
      <c r="N292" s="29" t="s">
        <v>75</v>
      </c>
      <c r="O292" s="28"/>
      <c r="P292" s="28"/>
      <c r="Q292" s="28" t="s">
        <v>76</v>
      </c>
      <c r="R292" s="29"/>
      <c r="S292" s="28"/>
      <c r="T292" s="28" t="s">
        <v>574</v>
      </c>
      <c r="U292" s="28" t="s">
        <v>75</v>
      </c>
      <c r="V292" s="28" t="s">
        <v>75</v>
      </c>
      <c r="W292" s="28"/>
    </row>
    <row r="293" spans="1:23" s="12" customFormat="1" hidden="1">
      <c r="A293" s="46" t="s">
        <v>572</v>
      </c>
      <c r="B293" s="28" t="s">
        <v>1333</v>
      </c>
      <c r="C293" s="28" t="s">
        <v>88</v>
      </c>
      <c r="D293" s="28" t="s">
        <v>669</v>
      </c>
      <c r="E293" s="28" t="s">
        <v>93</v>
      </c>
      <c r="F293" s="28" t="s">
        <v>370</v>
      </c>
      <c r="G293" s="28" t="s">
        <v>370</v>
      </c>
      <c r="H293" s="28" t="s">
        <v>697</v>
      </c>
      <c r="I293" s="28" t="str">
        <f>VLOOKUP(F293,표준용어사전!$B:$D,3,FALSE)</f>
        <v>명V20</v>
      </c>
      <c r="J293" s="28" t="s">
        <v>78</v>
      </c>
      <c r="K293" s="27">
        <v>20</v>
      </c>
      <c r="L293" s="29" t="s">
        <v>571</v>
      </c>
      <c r="M293" s="29" t="s">
        <v>727</v>
      </c>
      <c r="N293" s="29" t="s">
        <v>75</v>
      </c>
      <c r="O293" s="28"/>
      <c r="P293" s="28"/>
      <c r="Q293" s="28" t="s">
        <v>76</v>
      </c>
      <c r="R293" s="29"/>
      <c r="S293" s="28"/>
      <c r="T293" s="28" t="s">
        <v>76</v>
      </c>
      <c r="U293" s="28" t="s">
        <v>75</v>
      </c>
      <c r="V293" s="28" t="s">
        <v>75</v>
      </c>
      <c r="W293" s="28"/>
    </row>
    <row r="294" spans="1:23" s="12" customFormat="1" hidden="1">
      <c r="A294" s="46" t="s">
        <v>572</v>
      </c>
      <c r="B294" s="28" t="s">
        <v>1334</v>
      </c>
      <c r="C294" s="28" t="s">
        <v>88</v>
      </c>
      <c r="D294" s="28" t="s">
        <v>670</v>
      </c>
      <c r="E294" s="28" t="s">
        <v>842</v>
      </c>
      <c r="F294" s="28" t="s">
        <v>1609</v>
      </c>
      <c r="G294" s="28" t="s">
        <v>1609</v>
      </c>
      <c r="H294" s="28" t="s">
        <v>1610</v>
      </c>
      <c r="I294" s="28" t="str">
        <f>VLOOKUP(F294,표준용어사전!$B:$D,3,FALSE)</f>
        <v>내용TXT</v>
      </c>
      <c r="J294" s="28" t="s">
        <v>713</v>
      </c>
      <c r="K294" s="27" t="s">
        <v>571</v>
      </c>
      <c r="L294" s="29" t="s">
        <v>571</v>
      </c>
      <c r="M294" s="29"/>
      <c r="N294" s="29" t="s">
        <v>75</v>
      </c>
      <c r="O294" s="28"/>
      <c r="P294" s="28"/>
      <c r="Q294" s="28" t="s">
        <v>76</v>
      </c>
      <c r="R294" s="29"/>
      <c r="S294" s="28"/>
      <c r="T294" s="28"/>
      <c r="U294" s="28" t="s">
        <v>75</v>
      </c>
      <c r="V294" s="28" t="s">
        <v>75</v>
      </c>
      <c r="W294" s="28"/>
    </row>
    <row r="295" spans="1:23" s="12" customFormat="1" hidden="1">
      <c r="A295" s="46" t="s">
        <v>572</v>
      </c>
      <c r="B295" s="28" t="s">
        <v>1334</v>
      </c>
      <c r="C295" s="28" t="s">
        <v>88</v>
      </c>
      <c r="D295" s="28" t="s">
        <v>670</v>
      </c>
      <c r="E295" s="28" t="s">
        <v>270</v>
      </c>
      <c r="F295" s="28" t="s">
        <v>502</v>
      </c>
      <c r="G295" s="28" t="s">
        <v>502</v>
      </c>
      <c r="H295" s="28" t="s">
        <v>1610</v>
      </c>
      <c r="I295" s="28" t="str">
        <f>VLOOKUP(F295,표준용어사전!$B:$D,3,FALSE)</f>
        <v>코드V50</v>
      </c>
      <c r="J295" s="28" t="s">
        <v>709</v>
      </c>
      <c r="K295" s="27">
        <v>50</v>
      </c>
      <c r="L295" s="29" t="s">
        <v>571</v>
      </c>
      <c r="M295" s="29" t="s">
        <v>725</v>
      </c>
      <c r="N295" s="29" t="s">
        <v>75</v>
      </c>
      <c r="O295" s="28"/>
      <c r="P295" s="28"/>
      <c r="Q295" s="28" t="s">
        <v>76</v>
      </c>
      <c r="R295" s="29"/>
      <c r="S295" s="28"/>
      <c r="T295" s="28"/>
      <c r="U295" s="28" t="s">
        <v>75</v>
      </c>
      <c r="V295" s="28" t="s">
        <v>75</v>
      </c>
      <c r="W295" s="28"/>
    </row>
    <row r="296" spans="1:23" s="12" customFormat="1" hidden="1">
      <c r="A296" s="46" t="s">
        <v>572</v>
      </c>
      <c r="B296" s="28" t="s">
        <v>1333</v>
      </c>
      <c r="C296" s="28" t="s">
        <v>88</v>
      </c>
      <c r="D296" s="28" t="s">
        <v>269</v>
      </c>
      <c r="E296" s="28" t="s">
        <v>578</v>
      </c>
      <c r="F296" s="28" t="s">
        <v>580</v>
      </c>
      <c r="G296" s="28" t="s">
        <v>580</v>
      </c>
      <c r="H296" s="28" t="s">
        <v>271</v>
      </c>
      <c r="I296" s="28" t="str">
        <f>VLOOKUP(F296,표준용어사전!$B:$D,3,FALSE)</f>
        <v>명V20</v>
      </c>
      <c r="J296" s="28" t="s">
        <v>78</v>
      </c>
      <c r="K296" s="27">
        <v>20</v>
      </c>
      <c r="L296" s="29" t="s">
        <v>571</v>
      </c>
      <c r="M296" s="29" t="s">
        <v>727</v>
      </c>
      <c r="N296" s="29" t="s">
        <v>711</v>
      </c>
      <c r="O296" s="28" t="s">
        <v>73</v>
      </c>
      <c r="P296" s="28"/>
      <c r="Q296" s="28" t="s">
        <v>76</v>
      </c>
      <c r="R296" s="29"/>
      <c r="S296" s="28"/>
      <c r="T296" s="28" t="s">
        <v>571</v>
      </c>
      <c r="U296" s="28" t="s">
        <v>75</v>
      </c>
      <c r="V296" s="28" t="s">
        <v>75</v>
      </c>
      <c r="W296" s="28"/>
    </row>
    <row r="297" spans="1:23" s="12" customFormat="1" hidden="1">
      <c r="A297" s="46" t="s">
        <v>572</v>
      </c>
      <c r="B297" s="28" t="s">
        <v>1333</v>
      </c>
      <c r="C297" s="28" t="s">
        <v>88</v>
      </c>
      <c r="D297" s="28" t="s">
        <v>269</v>
      </c>
      <c r="E297" s="28" t="s">
        <v>270</v>
      </c>
      <c r="F297" s="28" t="s">
        <v>502</v>
      </c>
      <c r="G297" s="28" t="s">
        <v>502</v>
      </c>
      <c r="H297" s="28" t="s">
        <v>271</v>
      </c>
      <c r="I297" s="28" t="str">
        <f>VLOOKUP(F297,표준용어사전!$B:$D,3,FALSE)</f>
        <v>코드V50</v>
      </c>
      <c r="J297" s="28" t="s">
        <v>570</v>
      </c>
      <c r="K297" s="27">
        <v>50</v>
      </c>
      <c r="L297" s="29" t="s">
        <v>571</v>
      </c>
      <c r="M297" s="29" t="s">
        <v>725</v>
      </c>
      <c r="N297" s="29" t="s">
        <v>75</v>
      </c>
      <c r="O297" s="28"/>
      <c r="P297" s="28"/>
      <c r="Q297" s="28" t="s">
        <v>1379</v>
      </c>
      <c r="R297" s="29">
        <v>1</v>
      </c>
      <c r="S297" s="28"/>
      <c r="T297" s="28" t="s">
        <v>626</v>
      </c>
      <c r="U297" s="28" t="s">
        <v>75</v>
      </c>
      <c r="V297" s="28" t="s">
        <v>75</v>
      </c>
      <c r="W297" s="28"/>
    </row>
    <row r="298" spans="1:23" s="12" customFormat="1" hidden="1">
      <c r="A298" s="46" t="s">
        <v>572</v>
      </c>
      <c r="B298" s="28" t="s">
        <v>1333</v>
      </c>
      <c r="C298" s="28" t="s">
        <v>88</v>
      </c>
      <c r="D298" s="28" t="s">
        <v>269</v>
      </c>
      <c r="E298" s="28" t="s">
        <v>620</v>
      </c>
      <c r="F298" s="28" t="s">
        <v>594</v>
      </c>
      <c r="G298" s="28" t="s">
        <v>594</v>
      </c>
      <c r="H298" s="28" t="s">
        <v>271</v>
      </c>
      <c r="I298" s="28" t="str">
        <f>VLOOKUP(F298,표준용어사전!$B:$D,3,FALSE)</f>
        <v>코드V50</v>
      </c>
      <c r="J298" s="28" t="s">
        <v>570</v>
      </c>
      <c r="K298" s="27">
        <v>50</v>
      </c>
      <c r="L298" s="29" t="s">
        <v>571</v>
      </c>
      <c r="M298" s="29" t="s">
        <v>725</v>
      </c>
      <c r="N298" s="29" t="s">
        <v>75</v>
      </c>
      <c r="O298" s="28"/>
      <c r="P298" s="28"/>
      <c r="Q298" s="28" t="s">
        <v>76</v>
      </c>
      <c r="R298" s="29"/>
      <c r="S298" s="28"/>
      <c r="T298" s="28" t="s">
        <v>571</v>
      </c>
      <c r="U298" s="28" t="s">
        <v>75</v>
      </c>
      <c r="V298" s="28" t="s">
        <v>75</v>
      </c>
      <c r="W298" s="28"/>
    </row>
    <row r="299" spans="1:23" s="12" customFormat="1" hidden="1">
      <c r="A299" s="46" t="s">
        <v>572</v>
      </c>
      <c r="B299" s="28" t="s">
        <v>1333</v>
      </c>
      <c r="C299" s="28" t="s">
        <v>88</v>
      </c>
      <c r="D299" s="28" t="s">
        <v>269</v>
      </c>
      <c r="E299" s="28" t="s">
        <v>272</v>
      </c>
      <c r="F299" s="28" t="s">
        <v>503</v>
      </c>
      <c r="G299" s="28" t="s">
        <v>503</v>
      </c>
      <c r="H299" s="28" t="s">
        <v>271</v>
      </c>
      <c r="I299" s="28" t="str">
        <f>VLOOKUP(F299,표준용어사전!$B:$D,3,FALSE)</f>
        <v>명V512</v>
      </c>
      <c r="J299" s="28" t="s">
        <v>78</v>
      </c>
      <c r="K299" s="27">
        <v>512</v>
      </c>
      <c r="L299" s="29" t="s">
        <v>571</v>
      </c>
      <c r="M299" s="29" t="s">
        <v>729</v>
      </c>
      <c r="N299" s="29" t="s">
        <v>75</v>
      </c>
      <c r="O299" s="28"/>
      <c r="P299" s="28"/>
      <c r="Q299" s="28" t="s">
        <v>76</v>
      </c>
      <c r="R299" s="29"/>
      <c r="S299" s="28"/>
      <c r="T299" s="28" t="s">
        <v>571</v>
      </c>
      <c r="U299" s="28" t="s">
        <v>75</v>
      </c>
      <c r="V299" s="28" t="s">
        <v>75</v>
      </c>
      <c r="W299" s="28"/>
    </row>
    <row r="300" spans="1:23" s="12" customFormat="1" hidden="1">
      <c r="A300" s="46" t="s">
        <v>572</v>
      </c>
      <c r="B300" s="28" t="s">
        <v>1333</v>
      </c>
      <c r="C300" s="28" t="s">
        <v>88</v>
      </c>
      <c r="D300" s="28" t="s">
        <v>269</v>
      </c>
      <c r="E300" s="28" t="s">
        <v>273</v>
      </c>
      <c r="F300" s="28" t="s">
        <v>504</v>
      </c>
      <c r="G300" s="28" t="s">
        <v>504</v>
      </c>
      <c r="H300" s="28" t="s">
        <v>271</v>
      </c>
      <c r="I300" s="28" t="str">
        <f>VLOOKUP(F300,표준용어사전!$B:$D,3,FALSE)</f>
        <v>명V512</v>
      </c>
      <c r="J300" s="28" t="s">
        <v>78</v>
      </c>
      <c r="K300" s="27">
        <v>512</v>
      </c>
      <c r="L300" s="29" t="s">
        <v>571</v>
      </c>
      <c r="M300" s="29" t="s">
        <v>729</v>
      </c>
      <c r="N300" s="29" t="s">
        <v>75</v>
      </c>
      <c r="O300" s="28"/>
      <c r="P300" s="28"/>
      <c r="Q300" s="28" t="s">
        <v>76</v>
      </c>
      <c r="R300" s="29"/>
      <c r="S300" s="28"/>
      <c r="T300" s="28" t="s">
        <v>571</v>
      </c>
      <c r="U300" s="28" t="s">
        <v>75</v>
      </c>
      <c r="V300" s="28" t="s">
        <v>75</v>
      </c>
      <c r="W300" s="28"/>
    </row>
    <row r="301" spans="1:23" s="12" customFormat="1" hidden="1">
      <c r="A301" s="46" t="s">
        <v>572</v>
      </c>
      <c r="B301" s="28" t="s">
        <v>1333</v>
      </c>
      <c r="C301" s="28" t="s">
        <v>88</v>
      </c>
      <c r="D301" s="28" t="s">
        <v>269</v>
      </c>
      <c r="E301" s="28" t="s">
        <v>274</v>
      </c>
      <c r="F301" s="28" t="s">
        <v>505</v>
      </c>
      <c r="G301" s="28" t="s">
        <v>505</v>
      </c>
      <c r="H301" s="28" t="s">
        <v>271</v>
      </c>
      <c r="I301" s="28" t="str">
        <f>VLOOKUP(F301,표준용어사전!$B:$D,3,FALSE)</f>
        <v>내용V2000</v>
      </c>
      <c r="J301" s="28" t="s">
        <v>78</v>
      </c>
      <c r="K301" s="27">
        <v>2000</v>
      </c>
      <c r="L301" s="29" t="s">
        <v>571</v>
      </c>
      <c r="M301" s="29" t="s">
        <v>728</v>
      </c>
      <c r="N301" s="29" t="s">
        <v>75</v>
      </c>
      <c r="O301" s="28"/>
      <c r="P301" s="28"/>
      <c r="Q301" s="28" t="s">
        <v>76</v>
      </c>
      <c r="R301" s="29"/>
      <c r="S301" s="28"/>
      <c r="T301" s="28" t="s">
        <v>571</v>
      </c>
      <c r="U301" s="28" t="s">
        <v>75</v>
      </c>
      <c r="V301" s="28" t="s">
        <v>75</v>
      </c>
      <c r="W301" s="28"/>
    </row>
    <row r="302" spans="1:23" s="12" customFormat="1" hidden="1">
      <c r="A302" s="46" t="s">
        <v>572</v>
      </c>
      <c r="B302" s="28" t="s">
        <v>1333</v>
      </c>
      <c r="C302" s="28" t="s">
        <v>88</v>
      </c>
      <c r="D302" s="28" t="s">
        <v>269</v>
      </c>
      <c r="E302" s="28" t="s">
        <v>275</v>
      </c>
      <c r="F302" s="28" t="s">
        <v>506</v>
      </c>
      <c r="G302" s="28" t="s">
        <v>506</v>
      </c>
      <c r="H302" s="28" t="s">
        <v>271</v>
      </c>
      <c r="I302" s="28" t="str">
        <f>VLOOKUP(F302,표준용어사전!$B:$D,3,FALSE)</f>
        <v>내용V2000</v>
      </c>
      <c r="J302" s="28" t="s">
        <v>78</v>
      </c>
      <c r="K302" s="27">
        <v>2000</v>
      </c>
      <c r="L302" s="29" t="s">
        <v>571</v>
      </c>
      <c r="M302" s="29" t="s">
        <v>728</v>
      </c>
      <c r="N302" s="29" t="s">
        <v>75</v>
      </c>
      <c r="O302" s="28"/>
      <c r="P302" s="28"/>
      <c r="Q302" s="28" t="s">
        <v>76</v>
      </c>
      <c r="R302" s="29"/>
      <c r="S302" s="28"/>
      <c r="T302" s="28" t="s">
        <v>571</v>
      </c>
      <c r="U302" s="28" t="s">
        <v>75</v>
      </c>
      <c r="V302" s="28" t="s">
        <v>75</v>
      </c>
      <c r="W302" s="28"/>
    </row>
    <row r="303" spans="1:23" s="12" customFormat="1" hidden="1">
      <c r="A303" s="46" t="s">
        <v>572</v>
      </c>
      <c r="B303" s="28" t="s">
        <v>1333</v>
      </c>
      <c r="C303" s="28" t="s">
        <v>88</v>
      </c>
      <c r="D303" s="28" t="s">
        <v>269</v>
      </c>
      <c r="E303" s="28" t="s">
        <v>94</v>
      </c>
      <c r="F303" s="28" t="s">
        <v>373</v>
      </c>
      <c r="G303" s="28" t="s">
        <v>373</v>
      </c>
      <c r="H303" s="28" t="s">
        <v>271</v>
      </c>
      <c r="I303" s="28" t="str">
        <f>VLOOKUP(F303,표준용어사전!$B:$D,3,FALSE)</f>
        <v>번호N10</v>
      </c>
      <c r="J303" s="28" t="s">
        <v>63</v>
      </c>
      <c r="K303" s="27">
        <v>10</v>
      </c>
      <c r="L303" s="29" t="s">
        <v>571</v>
      </c>
      <c r="M303" s="29">
        <v>9999999999</v>
      </c>
      <c r="N303" s="29" t="s">
        <v>75</v>
      </c>
      <c r="O303" s="28"/>
      <c r="P303" s="28"/>
      <c r="Q303" s="28" t="s">
        <v>76</v>
      </c>
      <c r="R303" s="29"/>
      <c r="S303" s="28"/>
      <c r="T303" s="28" t="s">
        <v>571</v>
      </c>
      <c r="U303" s="28" t="s">
        <v>75</v>
      </c>
      <c r="V303" s="28" t="s">
        <v>75</v>
      </c>
      <c r="W303" s="28"/>
    </row>
    <row r="304" spans="1:23" s="12" customFormat="1" hidden="1">
      <c r="A304" s="46" t="s">
        <v>572</v>
      </c>
      <c r="B304" s="28" t="s">
        <v>1333</v>
      </c>
      <c r="C304" s="28" t="s">
        <v>88</v>
      </c>
      <c r="D304" s="28" t="s">
        <v>269</v>
      </c>
      <c r="E304" s="28" t="s">
        <v>90</v>
      </c>
      <c r="F304" s="28" t="s">
        <v>14</v>
      </c>
      <c r="G304" s="28" t="s">
        <v>14</v>
      </c>
      <c r="H304" s="28" t="s">
        <v>271</v>
      </c>
      <c r="I304" s="28" t="str">
        <f>VLOOKUP(F304,표준용어사전!$B:$D,3,FALSE)</f>
        <v>연월일시분초TS</v>
      </c>
      <c r="J304" s="28" t="s">
        <v>16</v>
      </c>
      <c r="K304" s="27" t="s">
        <v>571</v>
      </c>
      <c r="L304" s="29" t="s">
        <v>571</v>
      </c>
      <c r="M304" s="29" t="s">
        <v>726</v>
      </c>
      <c r="N304" s="29" t="s">
        <v>711</v>
      </c>
      <c r="O304" s="28"/>
      <c r="P304" s="28"/>
      <c r="Q304" s="28" t="s">
        <v>76</v>
      </c>
      <c r="R304" s="29"/>
      <c r="S304" s="28"/>
      <c r="T304" s="28" t="s">
        <v>574</v>
      </c>
      <c r="U304" s="28" t="s">
        <v>75</v>
      </c>
      <c r="V304" s="28" t="s">
        <v>75</v>
      </c>
      <c r="W304" s="28"/>
    </row>
    <row r="305" spans="1:23" s="12" customFormat="1" hidden="1">
      <c r="A305" s="46" t="s">
        <v>572</v>
      </c>
      <c r="B305" s="28" t="s">
        <v>1333</v>
      </c>
      <c r="C305" s="28" t="s">
        <v>88</v>
      </c>
      <c r="D305" s="28" t="s">
        <v>269</v>
      </c>
      <c r="E305" s="28" t="s">
        <v>91</v>
      </c>
      <c r="F305" s="28" t="s">
        <v>369</v>
      </c>
      <c r="G305" s="28" t="s">
        <v>369</v>
      </c>
      <c r="H305" s="28" t="s">
        <v>271</v>
      </c>
      <c r="I305" s="28" t="str">
        <f>VLOOKUP(F305,표준용어사전!$B:$D,3,FALSE)</f>
        <v>명V20</v>
      </c>
      <c r="J305" s="28" t="s">
        <v>78</v>
      </c>
      <c r="K305" s="27">
        <v>20</v>
      </c>
      <c r="L305" s="29" t="s">
        <v>571</v>
      </c>
      <c r="M305" s="29" t="s">
        <v>727</v>
      </c>
      <c r="N305" s="29" t="s">
        <v>75</v>
      </c>
      <c r="O305" s="28"/>
      <c r="P305" s="28"/>
      <c r="Q305" s="28" t="s">
        <v>76</v>
      </c>
      <c r="R305" s="29"/>
      <c r="S305" s="28"/>
      <c r="T305" s="28" t="s">
        <v>571</v>
      </c>
      <c r="U305" s="28" t="s">
        <v>75</v>
      </c>
      <c r="V305" s="28" t="s">
        <v>75</v>
      </c>
      <c r="W305" s="28"/>
    </row>
    <row r="306" spans="1:23" s="12" customFormat="1" hidden="1">
      <c r="A306" s="46" t="s">
        <v>572</v>
      </c>
      <c r="B306" s="28" t="s">
        <v>1333</v>
      </c>
      <c r="C306" s="28" t="s">
        <v>88</v>
      </c>
      <c r="D306" s="28" t="s">
        <v>269</v>
      </c>
      <c r="E306" s="28" t="s">
        <v>92</v>
      </c>
      <c r="F306" s="28" t="s">
        <v>15</v>
      </c>
      <c r="G306" s="28" t="s">
        <v>15</v>
      </c>
      <c r="H306" s="28" t="s">
        <v>271</v>
      </c>
      <c r="I306" s="28" t="str">
        <f>VLOOKUP(F306,표준용어사전!$B:$D,3,FALSE)</f>
        <v>연월일시분초TS</v>
      </c>
      <c r="J306" s="28" t="s">
        <v>16</v>
      </c>
      <c r="K306" s="27" t="s">
        <v>571</v>
      </c>
      <c r="L306" s="29" t="s">
        <v>571</v>
      </c>
      <c r="M306" s="29" t="s">
        <v>726</v>
      </c>
      <c r="N306" s="29" t="s">
        <v>75</v>
      </c>
      <c r="O306" s="28"/>
      <c r="P306" s="28"/>
      <c r="Q306" s="28" t="s">
        <v>76</v>
      </c>
      <c r="R306" s="29"/>
      <c r="S306" s="28"/>
      <c r="T306" s="28" t="s">
        <v>574</v>
      </c>
      <c r="U306" s="28" t="s">
        <v>75</v>
      </c>
      <c r="V306" s="28" t="s">
        <v>75</v>
      </c>
      <c r="W306" s="28"/>
    </row>
    <row r="307" spans="1:23" s="12" customFormat="1" hidden="1">
      <c r="A307" s="46" t="s">
        <v>572</v>
      </c>
      <c r="B307" s="28" t="s">
        <v>1333</v>
      </c>
      <c r="C307" s="28" t="s">
        <v>88</v>
      </c>
      <c r="D307" s="28" t="s">
        <v>899</v>
      </c>
      <c r="E307" s="28" t="s">
        <v>93</v>
      </c>
      <c r="F307" s="28" t="s">
        <v>370</v>
      </c>
      <c r="G307" s="28" t="s">
        <v>370</v>
      </c>
      <c r="H307" s="28" t="s">
        <v>271</v>
      </c>
      <c r="I307" s="28" t="str">
        <f>VLOOKUP(F307,표준용어사전!$B:$D,3,FALSE)</f>
        <v>명V20</v>
      </c>
      <c r="J307" s="28" t="s">
        <v>78</v>
      </c>
      <c r="K307" s="27">
        <v>20</v>
      </c>
      <c r="L307" s="29" t="s">
        <v>571</v>
      </c>
      <c r="M307" s="29" t="s">
        <v>727</v>
      </c>
      <c r="N307" s="29" t="s">
        <v>75</v>
      </c>
      <c r="O307" s="28"/>
      <c r="P307" s="28"/>
      <c r="Q307" s="28" t="s">
        <v>76</v>
      </c>
      <c r="R307" s="29"/>
      <c r="S307" s="28"/>
      <c r="T307" s="28" t="s">
        <v>571</v>
      </c>
      <c r="U307" s="28" t="s">
        <v>75</v>
      </c>
      <c r="V307" s="28" t="s">
        <v>75</v>
      </c>
      <c r="W307" s="28"/>
    </row>
    <row r="308" spans="1:23" s="12" customFormat="1" hidden="1">
      <c r="A308" s="46" t="s">
        <v>572</v>
      </c>
      <c r="B308" s="28" t="s">
        <v>1333</v>
      </c>
      <c r="C308" s="28" t="s">
        <v>88</v>
      </c>
      <c r="D308" s="28" t="s">
        <v>899</v>
      </c>
      <c r="E308" s="28" t="s">
        <v>900</v>
      </c>
      <c r="F308" s="28" t="s">
        <v>907</v>
      </c>
      <c r="G308" s="28" t="s">
        <v>907</v>
      </c>
      <c r="H308" s="28" t="s">
        <v>271</v>
      </c>
      <c r="I308" s="28" t="e">
        <f>VLOOKUP(F308,표준용어사전!$B:$D,3,FALSE)</f>
        <v>#N/A</v>
      </c>
      <c r="J308" s="28" t="s">
        <v>748</v>
      </c>
      <c r="K308" s="27">
        <v>14</v>
      </c>
      <c r="L308" s="29" t="s">
        <v>571</v>
      </c>
      <c r="M308" s="29" t="s">
        <v>776</v>
      </c>
      <c r="N308" s="29" t="s">
        <v>711</v>
      </c>
      <c r="O308" s="28"/>
      <c r="P308" s="28"/>
      <c r="Q308" s="28" t="s">
        <v>76</v>
      </c>
      <c r="R308" s="29"/>
      <c r="S308" s="28"/>
      <c r="T308" s="28"/>
      <c r="U308" s="28" t="s">
        <v>75</v>
      </c>
      <c r="V308" s="28" t="s">
        <v>75</v>
      </c>
      <c r="W308" s="28"/>
    </row>
    <row r="309" spans="1:23" s="12" customFormat="1" hidden="1">
      <c r="A309" s="46" t="s">
        <v>572</v>
      </c>
      <c r="B309" s="28" t="s">
        <v>1333</v>
      </c>
      <c r="C309" s="28" t="s">
        <v>88</v>
      </c>
      <c r="D309" s="28" t="s">
        <v>899</v>
      </c>
      <c r="E309" s="28" t="s">
        <v>901</v>
      </c>
      <c r="F309" s="28" t="s">
        <v>906</v>
      </c>
      <c r="G309" s="28" t="s">
        <v>906</v>
      </c>
      <c r="H309" s="28" t="s">
        <v>271</v>
      </c>
      <c r="I309" s="28" t="e">
        <f>VLOOKUP(F309,표준용어사전!$B:$D,3,FALSE)</f>
        <v>#N/A</v>
      </c>
      <c r="J309" s="28" t="s">
        <v>748</v>
      </c>
      <c r="K309" s="27">
        <v>14</v>
      </c>
      <c r="L309" s="29" t="s">
        <v>571</v>
      </c>
      <c r="M309" s="29" t="s">
        <v>776</v>
      </c>
      <c r="N309" s="29" t="s">
        <v>711</v>
      </c>
      <c r="O309" s="28"/>
      <c r="P309" s="28"/>
      <c r="Q309" s="28" t="s">
        <v>76</v>
      </c>
      <c r="R309" s="29"/>
      <c r="S309" s="28"/>
      <c r="T309" s="28"/>
      <c r="U309" s="28" t="s">
        <v>75</v>
      </c>
      <c r="V309" s="28" t="s">
        <v>75</v>
      </c>
      <c r="W309" s="28"/>
    </row>
    <row r="310" spans="1:23" s="12" customFormat="1" hidden="1">
      <c r="A310" s="46" t="s">
        <v>572</v>
      </c>
      <c r="B310" s="28" t="s">
        <v>1333</v>
      </c>
      <c r="C310" s="28" t="s">
        <v>88</v>
      </c>
      <c r="D310" s="28" t="s">
        <v>899</v>
      </c>
      <c r="E310" s="28" t="s">
        <v>902</v>
      </c>
      <c r="F310" s="28" t="s">
        <v>908</v>
      </c>
      <c r="G310" s="28" t="s">
        <v>908</v>
      </c>
      <c r="H310" s="28" t="s">
        <v>271</v>
      </c>
      <c r="I310" s="28" t="e">
        <f>VLOOKUP(F310,표준용어사전!$B:$D,3,FALSE)</f>
        <v>#N/A</v>
      </c>
      <c r="J310" s="28" t="s">
        <v>748</v>
      </c>
      <c r="K310" s="27">
        <v>14</v>
      </c>
      <c r="L310" s="29" t="s">
        <v>571</v>
      </c>
      <c r="M310" s="29" t="s">
        <v>776</v>
      </c>
      <c r="N310" s="29" t="s">
        <v>711</v>
      </c>
      <c r="O310" s="28"/>
      <c r="P310" s="28"/>
      <c r="Q310" s="28" t="s">
        <v>76</v>
      </c>
      <c r="R310" s="29"/>
      <c r="S310" s="28"/>
      <c r="T310" s="28"/>
      <c r="U310" s="28" t="s">
        <v>75</v>
      </c>
      <c r="V310" s="28" t="s">
        <v>75</v>
      </c>
      <c r="W310" s="28"/>
    </row>
    <row r="311" spans="1:23" s="12" customFormat="1" hidden="1">
      <c r="A311" s="46" t="s">
        <v>572</v>
      </c>
      <c r="B311" s="28" t="s">
        <v>1333</v>
      </c>
      <c r="C311" s="28" t="s">
        <v>88</v>
      </c>
      <c r="D311" s="28" t="s">
        <v>899</v>
      </c>
      <c r="E311" s="28" t="s">
        <v>903</v>
      </c>
      <c r="F311" s="28" t="s">
        <v>909</v>
      </c>
      <c r="G311" s="28" t="s">
        <v>909</v>
      </c>
      <c r="H311" s="28" t="s">
        <v>271</v>
      </c>
      <c r="I311" s="28" t="e">
        <f>VLOOKUP(F311,표준용어사전!$B:$D,3,FALSE)</f>
        <v>#N/A</v>
      </c>
      <c r="J311" s="28" t="s">
        <v>748</v>
      </c>
      <c r="K311" s="27">
        <v>14</v>
      </c>
      <c r="L311" s="29" t="s">
        <v>571</v>
      </c>
      <c r="M311" s="29" t="s">
        <v>776</v>
      </c>
      <c r="N311" s="29" t="s">
        <v>711</v>
      </c>
      <c r="O311" s="28"/>
      <c r="P311" s="28"/>
      <c r="Q311" s="28" t="s">
        <v>76</v>
      </c>
      <c r="R311" s="29"/>
      <c r="S311" s="28"/>
      <c r="T311" s="28"/>
      <c r="U311" s="28" t="s">
        <v>75</v>
      </c>
      <c r="V311" s="28" t="s">
        <v>75</v>
      </c>
      <c r="W311" s="28"/>
    </row>
    <row r="312" spans="1:23" s="12" customFormat="1" hidden="1">
      <c r="A312" s="46" t="s">
        <v>572</v>
      </c>
      <c r="B312" s="28" t="s">
        <v>1333</v>
      </c>
      <c r="C312" s="28" t="s">
        <v>88</v>
      </c>
      <c r="D312" s="28" t="s">
        <v>899</v>
      </c>
      <c r="E312" s="28" t="s">
        <v>904</v>
      </c>
      <c r="F312" s="28" t="s">
        <v>910</v>
      </c>
      <c r="G312" s="28" t="s">
        <v>910</v>
      </c>
      <c r="H312" s="28" t="s">
        <v>271</v>
      </c>
      <c r="I312" s="28" t="e">
        <f>VLOOKUP(F312,표준용어사전!$B:$D,3,FALSE)</f>
        <v>#N/A</v>
      </c>
      <c r="J312" s="28" t="s">
        <v>748</v>
      </c>
      <c r="K312" s="27">
        <v>14</v>
      </c>
      <c r="L312" s="29" t="s">
        <v>571</v>
      </c>
      <c r="M312" s="29" t="s">
        <v>776</v>
      </c>
      <c r="N312" s="29" t="s">
        <v>711</v>
      </c>
      <c r="O312" s="28"/>
      <c r="P312" s="28"/>
      <c r="Q312" s="28" t="s">
        <v>76</v>
      </c>
      <c r="R312" s="29"/>
      <c r="S312" s="28"/>
      <c r="T312" s="28"/>
      <c r="U312" s="28" t="s">
        <v>75</v>
      </c>
      <c r="V312" s="28" t="s">
        <v>75</v>
      </c>
      <c r="W312" s="28"/>
    </row>
    <row r="313" spans="1:23" s="12" customFormat="1" hidden="1">
      <c r="A313" s="46" t="s">
        <v>572</v>
      </c>
      <c r="B313" s="28" t="s">
        <v>1333</v>
      </c>
      <c r="C313" s="28" t="s">
        <v>88</v>
      </c>
      <c r="D313" s="28" t="s">
        <v>899</v>
      </c>
      <c r="E313" s="28" t="s">
        <v>905</v>
      </c>
      <c r="F313" s="28" t="s">
        <v>898</v>
      </c>
      <c r="G313" s="28" t="s">
        <v>898</v>
      </c>
      <c r="H313" s="28" t="s">
        <v>271</v>
      </c>
      <c r="I313" s="28" t="e">
        <f>VLOOKUP(F313,표준용어사전!$B:$D,3,FALSE)</f>
        <v>#N/A</v>
      </c>
      <c r="J313" s="28" t="s">
        <v>748</v>
      </c>
      <c r="K313" s="27">
        <v>14</v>
      </c>
      <c r="L313" s="29" t="s">
        <v>571</v>
      </c>
      <c r="M313" s="29" t="s">
        <v>776</v>
      </c>
      <c r="N313" s="29" t="s">
        <v>711</v>
      </c>
      <c r="O313" s="28"/>
      <c r="P313" s="28"/>
      <c r="Q313" s="28" t="s">
        <v>76</v>
      </c>
      <c r="R313" s="29"/>
      <c r="S313" s="28"/>
      <c r="T313" s="28"/>
      <c r="U313" s="28" t="s">
        <v>75</v>
      </c>
      <c r="V313" s="28" t="s">
        <v>75</v>
      </c>
      <c r="W313" s="28"/>
    </row>
    <row r="314" spans="1:23" s="12" customFormat="1" hidden="1">
      <c r="A314" s="46" t="s">
        <v>572</v>
      </c>
      <c r="B314" s="28" t="s">
        <v>1331</v>
      </c>
      <c r="C314" s="28" t="s">
        <v>88</v>
      </c>
      <c r="D314" s="28" t="s">
        <v>344</v>
      </c>
      <c r="E314" s="28" t="s">
        <v>345</v>
      </c>
      <c r="F314" s="28" t="s">
        <v>556</v>
      </c>
      <c r="G314" s="28" t="s">
        <v>556</v>
      </c>
      <c r="H314" s="28" t="s">
        <v>346</v>
      </c>
      <c r="I314" s="28" t="str">
        <f>VLOOKUP(F314,표준용어사전!$B:$D,3,FALSE)</f>
        <v>연월C6</v>
      </c>
      <c r="J314" s="28" t="s">
        <v>570</v>
      </c>
      <c r="K314" s="27">
        <v>6</v>
      </c>
      <c r="L314" s="29" t="s">
        <v>571</v>
      </c>
      <c r="M314" s="29" t="s">
        <v>733</v>
      </c>
      <c r="N314" s="29" t="s">
        <v>711</v>
      </c>
      <c r="O314" s="28" t="s">
        <v>641</v>
      </c>
      <c r="P314" s="28"/>
      <c r="Q314" s="28" t="s">
        <v>76</v>
      </c>
      <c r="R314" s="29"/>
      <c r="S314" s="28"/>
      <c r="T314" s="28" t="s">
        <v>577</v>
      </c>
      <c r="U314" s="28" t="s">
        <v>75</v>
      </c>
      <c r="V314" s="28" t="s">
        <v>75</v>
      </c>
      <c r="W314" s="28"/>
    </row>
    <row r="315" spans="1:23" s="12" customFormat="1" hidden="1">
      <c r="A315" s="46" t="s">
        <v>572</v>
      </c>
      <c r="B315" s="28" t="s">
        <v>1331</v>
      </c>
      <c r="C315" s="28" t="s">
        <v>88</v>
      </c>
      <c r="D315" s="28" t="s">
        <v>344</v>
      </c>
      <c r="E315" s="28" t="s">
        <v>270</v>
      </c>
      <c r="F315" s="28" t="s">
        <v>502</v>
      </c>
      <c r="G315" s="28" t="s">
        <v>502</v>
      </c>
      <c r="H315" s="28" t="s">
        <v>346</v>
      </c>
      <c r="I315" s="28" t="str">
        <f>VLOOKUP(F315,표준용어사전!$B:$D,3,FALSE)</f>
        <v>코드V50</v>
      </c>
      <c r="J315" s="28" t="s">
        <v>570</v>
      </c>
      <c r="K315" s="27">
        <v>50</v>
      </c>
      <c r="L315" s="29" t="s">
        <v>571</v>
      </c>
      <c r="M315" s="29" t="s">
        <v>725</v>
      </c>
      <c r="N315" s="29" t="s">
        <v>711</v>
      </c>
      <c r="O315" s="28" t="s">
        <v>573</v>
      </c>
      <c r="P315" s="28"/>
      <c r="Q315" s="28" t="s">
        <v>76</v>
      </c>
      <c r="R315" s="29"/>
      <c r="S315" s="28"/>
      <c r="T315" s="28" t="s">
        <v>76</v>
      </c>
      <c r="U315" s="28" t="s">
        <v>75</v>
      </c>
      <c r="V315" s="28" t="s">
        <v>75</v>
      </c>
      <c r="W315" s="28"/>
    </row>
    <row r="316" spans="1:23" s="12" customFormat="1" hidden="1">
      <c r="A316" s="46" t="s">
        <v>572</v>
      </c>
      <c r="B316" s="28" t="s">
        <v>1331</v>
      </c>
      <c r="C316" s="28" t="s">
        <v>88</v>
      </c>
      <c r="D316" s="28" t="s">
        <v>344</v>
      </c>
      <c r="E316" s="28" t="s">
        <v>347</v>
      </c>
      <c r="F316" s="28" t="s">
        <v>557</v>
      </c>
      <c r="G316" s="28" t="s">
        <v>557</v>
      </c>
      <c r="H316" s="28" t="s">
        <v>346</v>
      </c>
      <c r="I316" s="28" t="str">
        <f>VLOOKUP(F316,표준용어사전!$B:$D,3,FALSE)</f>
        <v>수N10</v>
      </c>
      <c r="J316" s="28" t="s">
        <v>63</v>
      </c>
      <c r="K316" s="27">
        <v>10</v>
      </c>
      <c r="L316" s="29" t="s">
        <v>571</v>
      </c>
      <c r="M316" s="29">
        <v>9999999999</v>
      </c>
      <c r="N316" s="29" t="s">
        <v>75</v>
      </c>
      <c r="O316" s="28"/>
      <c r="P316" s="28"/>
      <c r="Q316" s="28" t="s">
        <v>76</v>
      </c>
      <c r="R316" s="29"/>
      <c r="S316" s="28"/>
      <c r="T316" s="28" t="s">
        <v>76</v>
      </c>
      <c r="U316" s="28" t="s">
        <v>75</v>
      </c>
      <c r="V316" s="28" t="s">
        <v>75</v>
      </c>
      <c r="W316" s="28"/>
    </row>
    <row r="317" spans="1:23" s="12" customFormat="1" hidden="1">
      <c r="A317" s="46" t="s">
        <v>572</v>
      </c>
      <c r="B317" s="28" t="s">
        <v>1331</v>
      </c>
      <c r="C317" s="28" t="s">
        <v>88</v>
      </c>
      <c r="D317" s="28" t="s">
        <v>344</v>
      </c>
      <c r="E317" s="28" t="s">
        <v>1827</v>
      </c>
      <c r="F317" s="28" t="s">
        <v>1828</v>
      </c>
      <c r="G317" s="28" t="s">
        <v>1828</v>
      </c>
      <c r="H317" s="28" t="s">
        <v>346</v>
      </c>
      <c r="I317" s="28" t="str">
        <f>VLOOKUP(F317,표준용어사전!$B:$D,3,FALSE)</f>
        <v>시분초N10</v>
      </c>
      <c r="J317" s="28" t="s">
        <v>63</v>
      </c>
      <c r="K317" s="27">
        <v>10</v>
      </c>
      <c r="L317" s="29" t="s">
        <v>571</v>
      </c>
      <c r="M317" s="29">
        <v>9999999999</v>
      </c>
      <c r="N317" s="29" t="s">
        <v>75</v>
      </c>
      <c r="O317" s="28"/>
      <c r="P317" s="28"/>
      <c r="Q317" s="28" t="s">
        <v>76</v>
      </c>
      <c r="R317" s="29"/>
      <c r="S317" s="28"/>
      <c r="T317" s="28" t="s">
        <v>76</v>
      </c>
      <c r="U317" s="28" t="s">
        <v>75</v>
      </c>
      <c r="V317" s="28" t="s">
        <v>75</v>
      </c>
      <c r="W317" s="28"/>
    </row>
    <row r="318" spans="1:23" s="12" customFormat="1" hidden="1">
      <c r="A318" s="46" t="s">
        <v>572</v>
      </c>
      <c r="B318" s="28" t="s">
        <v>1331</v>
      </c>
      <c r="C318" s="28" t="s">
        <v>88</v>
      </c>
      <c r="D318" s="28" t="s">
        <v>344</v>
      </c>
      <c r="E318" s="28" t="s">
        <v>1824</v>
      </c>
      <c r="F318" s="28" t="s">
        <v>1510</v>
      </c>
      <c r="G318" s="28" t="s">
        <v>1487</v>
      </c>
      <c r="H318" s="28" t="s">
        <v>346</v>
      </c>
      <c r="I318" s="28" t="e">
        <f>VLOOKUP(F318,표준용어사전!$B:$D,3,FALSE)</f>
        <v>#N/A</v>
      </c>
      <c r="J318" s="28" t="s">
        <v>570</v>
      </c>
      <c r="K318" s="53" t="s">
        <v>1002</v>
      </c>
      <c r="L318" s="29" t="s">
        <v>571</v>
      </c>
      <c r="M318" s="29" t="s">
        <v>725</v>
      </c>
      <c r="N318" s="29" t="s">
        <v>973</v>
      </c>
      <c r="O318" s="28" t="s">
        <v>754</v>
      </c>
      <c r="P318" s="28"/>
      <c r="Q318" s="28" t="s">
        <v>76</v>
      </c>
      <c r="R318" s="29"/>
      <c r="S318" s="28"/>
      <c r="T318" s="28" t="s">
        <v>76</v>
      </c>
      <c r="U318" s="28" t="s">
        <v>75</v>
      </c>
      <c r="V318" s="28" t="s">
        <v>75</v>
      </c>
      <c r="W318" s="28"/>
    </row>
    <row r="319" spans="1:23" s="12" customFormat="1" hidden="1">
      <c r="A319" s="46" t="s">
        <v>572</v>
      </c>
      <c r="B319" s="28" t="s">
        <v>1335</v>
      </c>
      <c r="C319" s="28" t="s">
        <v>88</v>
      </c>
      <c r="D319" s="28" t="s">
        <v>583</v>
      </c>
      <c r="E319" s="28" t="s">
        <v>89</v>
      </c>
      <c r="F319" s="28" t="s">
        <v>501</v>
      </c>
      <c r="G319" s="28" t="s">
        <v>501</v>
      </c>
      <c r="H319" s="28" t="s">
        <v>589</v>
      </c>
      <c r="I319" s="28" t="str">
        <f>VLOOKUP(F319,표준용어사전!$B:$D,3,FALSE)</f>
        <v>명V20</v>
      </c>
      <c r="J319" s="28" t="s">
        <v>718</v>
      </c>
      <c r="K319" s="24">
        <v>50</v>
      </c>
      <c r="L319" s="29" t="s">
        <v>571</v>
      </c>
      <c r="M319" s="29" t="s">
        <v>720</v>
      </c>
      <c r="N319" s="29" t="s">
        <v>711</v>
      </c>
      <c r="O319" s="28" t="s">
        <v>641</v>
      </c>
      <c r="P319" s="28"/>
      <c r="Q319" s="28" t="s">
        <v>1380</v>
      </c>
      <c r="R319" s="29">
        <v>1</v>
      </c>
      <c r="S319" s="28"/>
      <c r="T319" s="28"/>
      <c r="U319" s="28" t="s">
        <v>75</v>
      </c>
      <c r="V319" s="28" t="s">
        <v>75</v>
      </c>
      <c r="W319" s="28"/>
    </row>
    <row r="320" spans="1:23" s="12" customFormat="1" hidden="1">
      <c r="A320" s="46" t="s">
        <v>572</v>
      </c>
      <c r="B320" s="28" t="s">
        <v>1335</v>
      </c>
      <c r="C320" s="28" t="s">
        <v>88</v>
      </c>
      <c r="D320" s="28" t="s">
        <v>583</v>
      </c>
      <c r="E320" s="28" t="s">
        <v>593</v>
      </c>
      <c r="F320" s="28" t="s">
        <v>896</v>
      </c>
      <c r="G320" s="28" t="s">
        <v>738</v>
      </c>
      <c r="H320" s="28" t="s">
        <v>589</v>
      </c>
      <c r="I320" s="28" t="str">
        <f>VLOOKUP(F320,표준용어사전!$B:$D,3,FALSE)</f>
        <v>코드C4</v>
      </c>
      <c r="J320" s="28" t="s">
        <v>709</v>
      </c>
      <c r="K320" s="24">
        <v>50</v>
      </c>
      <c r="L320" s="29" t="s">
        <v>571</v>
      </c>
      <c r="M320" s="29" t="s">
        <v>725</v>
      </c>
      <c r="N320" s="29" t="s">
        <v>711</v>
      </c>
      <c r="O320" s="28" t="s">
        <v>573</v>
      </c>
      <c r="P320" s="28"/>
      <c r="Q320" s="28" t="s">
        <v>1381</v>
      </c>
      <c r="R320" s="29">
        <v>2</v>
      </c>
      <c r="S320" s="28"/>
      <c r="T320" s="28"/>
      <c r="U320" s="28" t="s">
        <v>75</v>
      </c>
      <c r="V320" s="28" t="s">
        <v>75</v>
      </c>
      <c r="W320" s="28"/>
    </row>
    <row r="321" spans="1:23" s="12" customFormat="1" hidden="1">
      <c r="A321" s="46" t="s">
        <v>572</v>
      </c>
      <c r="B321" s="28" t="s">
        <v>1335</v>
      </c>
      <c r="C321" s="28" t="s">
        <v>88</v>
      </c>
      <c r="D321" s="28" t="s">
        <v>583</v>
      </c>
      <c r="E321" s="28" t="s">
        <v>578</v>
      </c>
      <c r="F321" s="28" t="s">
        <v>580</v>
      </c>
      <c r="G321" s="28" t="s">
        <v>580</v>
      </c>
      <c r="H321" s="28" t="s">
        <v>589</v>
      </c>
      <c r="I321" s="28" t="str">
        <f>VLOOKUP(F321,표준용어사전!$B:$D,3,FALSE)</f>
        <v>명V20</v>
      </c>
      <c r="J321" s="28" t="s">
        <v>718</v>
      </c>
      <c r="K321" s="24">
        <v>20</v>
      </c>
      <c r="L321" s="29" t="s">
        <v>571</v>
      </c>
      <c r="M321" s="29" t="s">
        <v>727</v>
      </c>
      <c r="N321" s="29" t="s">
        <v>711</v>
      </c>
      <c r="O321" s="28" t="s">
        <v>754</v>
      </c>
      <c r="P321" s="28"/>
      <c r="Q321" s="28" t="s">
        <v>76</v>
      </c>
      <c r="R321" s="29"/>
      <c r="S321" s="28"/>
      <c r="T321" s="28"/>
      <c r="U321" s="28" t="s">
        <v>75</v>
      </c>
      <c r="V321" s="28" t="s">
        <v>75</v>
      </c>
      <c r="W321" s="28"/>
    </row>
    <row r="322" spans="1:23" s="12" customFormat="1" hidden="1">
      <c r="A322" s="46" t="s">
        <v>572</v>
      </c>
      <c r="B322" s="28" t="s">
        <v>1335</v>
      </c>
      <c r="C322" s="28" t="s">
        <v>88</v>
      </c>
      <c r="D322" s="28" t="s">
        <v>583</v>
      </c>
      <c r="E322" s="28" t="s">
        <v>90</v>
      </c>
      <c r="F322" s="28" t="s">
        <v>14</v>
      </c>
      <c r="G322" s="28" t="s">
        <v>14</v>
      </c>
      <c r="H322" s="28" t="s">
        <v>589</v>
      </c>
      <c r="I322" s="28" t="str">
        <f>VLOOKUP(F322,표준용어사전!$B:$D,3,FALSE)</f>
        <v>연월일시분초TS</v>
      </c>
      <c r="J322" s="28" t="s">
        <v>16</v>
      </c>
      <c r="K322" s="27" t="s">
        <v>571</v>
      </c>
      <c r="L322" s="29" t="s">
        <v>571</v>
      </c>
      <c r="M322" s="29" t="s">
        <v>726</v>
      </c>
      <c r="N322" s="29" t="s">
        <v>711</v>
      </c>
      <c r="O322" s="28"/>
      <c r="P322" s="28"/>
      <c r="Q322" s="28" t="s">
        <v>76</v>
      </c>
      <c r="R322" s="29"/>
      <c r="S322" s="28"/>
      <c r="T322" s="28" t="s">
        <v>574</v>
      </c>
      <c r="U322" s="28" t="s">
        <v>75</v>
      </c>
      <c r="V322" s="28" t="s">
        <v>75</v>
      </c>
      <c r="W322" s="28"/>
    </row>
    <row r="323" spans="1:23" s="12" customFormat="1" hidden="1">
      <c r="A323" s="46" t="s">
        <v>572</v>
      </c>
      <c r="B323" s="28" t="s">
        <v>1335</v>
      </c>
      <c r="C323" s="28" t="s">
        <v>88</v>
      </c>
      <c r="D323" s="28" t="s">
        <v>583</v>
      </c>
      <c r="E323" s="28" t="s">
        <v>91</v>
      </c>
      <c r="F323" s="28" t="s">
        <v>369</v>
      </c>
      <c r="G323" s="28" t="s">
        <v>369</v>
      </c>
      <c r="H323" s="28" t="s">
        <v>589</v>
      </c>
      <c r="I323" s="28" t="str">
        <f>VLOOKUP(F323,표준용어사전!$B:$D,3,FALSE)</f>
        <v>명V20</v>
      </c>
      <c r="J323" s="28" t="s">
        <v>78</v>
      </c>
      <c r="K323" s="27">
        <v>20</v>
      </c>
      <c r="L323" s="29" t="s">
        <v>571</v>
      </c>
      <c r="M323" s="29" t="s">
        <v>727</v>
      </c>
      <c r="N323" s="29" t="s">
        <v>75</v>
      </c>
      <c r="O323" s="28"/>
      <c r="P323" s="28"/>
      <c r="Q323" s="28" t="s">
        <v>76</v>
      </c>
      <c r="R323" s="29"/>
      <c r="S323" s="28"/>
      <c r="T323" s="28" t="s">
        <v>571</v>
      </c>
      <c r="U323" s="28" t="s">
        <v>75</v>
      </c>
      <c r="V323" s="28" t="s">
        <v>75</v>
      </c>
      <c r="W323" s="28"/>
    </row>
    <row r="324" spans="1:23" s="12" customFormat="1" hidden="1">
      <c r="A324" s="46" t="s">
        <v>572</v>
      </c>
      <c r="B324" s="28" t="s">
        <v>1335</v>
      </c>
      <c r="C324" s="28" t="s">
        <v>88</v>
      </c>
      <c r="D324" s="28" t="s">
        <v>583</v>
      </c>
      <c r="E324" s="28" t="s">
        <v>92</v>
      </c>
      <c r="F324" s="28" t="s">
        <v>15</v>
      </c>
      <c r="G324" s="28" t="s">
        <v>15</v>
      </c>
      <c r="H324" s="28" t="s">
        <v>589</v>
      </c>
      <c r="I324" s="28" t="str">
        <f>VLOOKUP(F324,표준용어사전!$B:$D,3,FALSE)</f>
        <v>연월일시분초TS</v>
      </c>
      <c r="J324" s="28" t="s">
        <v>16</v>
      </c>
      <c r="K324" s="27" t="s">
        <v>571</v>
      </c>
      <c r="L324" s="29" t="s">
        <v>571</v>
      </c>
      <c r="M324" s="29" t="s">
        <v>726</v>
      </c>
      <c r="N324" s="29" t="s">
        <v>75</v>
      </c>
      <c r="O324" s="28"/>
      <c r="P324" s="28"/>
      <c r="Q324" s="28" t="s">
        <v>76</v>
      </c>
      <c r="R324" s="29"/>
      <c r="S324" s="28"/>
      <c r="T324" s="28" t="s">
        <v>574</v>
      </c>
      <c r="U324" s="28" t="s">
        <v>75</v>
      </c>
      <c r="V324" s="28" t="s">
        <v>75</v>
      </c>
      <c r="W324" s="28"/>
    </row>
    <row r="325" spans="1:23" s="12" customFormat="1" hidden="1">
      <c r="A325" s="46" t="s">
        <v>572</v>
      </c>
      <c r="B325" s="28" t="s">
        <v>1335</v>
      </c>
      <c r="C325" s="28" t="s">
        <v>88</v>
      </c>
      <c r="D325" s="28" t="s">
        <v>583</v>
      </c>
      <c r="E325" s="28" t="s">
        <v>93</v>
      </c>
      <c r="F325" s="28" t="s">
        <v>370</v>
      </c>
      <c r="G325" s="28" t="s">
        <v>370</v>
      </c>
      <c r="H325" s="28" t="s">
        <v>589</v>
      </c>
      <c r="I325" s="28" t="str">
        <f>VLOOKUP(F325,표준용어사전!$B:$D,3,FALSE)</f>
        <v>명V20</v>
      </c>
      <c r="J325" s="28" t="s">
        <v>78</v>
      </c>
      <c r="K325" s="27">
        <v>20</v>
      </c>
      <c r="L325" s="29" t="s">
        <v>571</v>
      </c>
      <c r="M325" s="29" t="s">
        <v>727</v>
      </c>
      <c r="N325" s="29" t="s">
        <v>75</v>
      </c>
      <c r="O325" s="28"/>
      <c r="P325" s="28"/>
      <c r="Q325" s="28" t="s">
        <v>76</v>
      </c>
      <c r="R325" s="29"/>
      <c r="S325" s="28"/>
      <c r="T325" s="28" t="s">
        <v>571</v>
      </c>
      <c r="U325" s="28" t="s">
        <v>75</v>
      </c>
      <c r="V325" s="28" t="s">
        <v>75</v>
      </c>
      <c r="W325" s="28"/>
    </row>
    <row r="326" spans="1:23" s="12" customFormat="1" hidden="1">
      <c r="A326" s="46" t="s">
        <v>572</v>
      </c>
      <c r="B326" s="28" t="s">
        <v>1335</v>
      </c>
      <c r="C326" s="28" t="s">
        <v>88</v>
      </c>
      <c r="D326" s="28" t="s">
        <v>583</v>
      </c>
      <c r="E326" s="40" t="s">
        <v>954</v>
      </c>
      <c r="F326" s="28" t="s">
        <v>953</v>
      </c>
      <c r="G326" s="28" t="s">
        <v>953</v>
      </c>
      <c r="H326" s="28" t="s">
        <v>589</v>
      </c>
      <c r="I326" s="28" t="str">
        <f>VLOOKUP(F326,표준용어사전!$B:$D,3,FALSE)</f>
        <v>수N10,3</v>
      </c>
      <c r="J326" s="28" t="s">
        <v>748</v>
      </c>
      <c r="K326" s="27">
        <v>10</v>
      </c>
      <c r="L326" s="29">
        <v>3</v>
      </c>
      <c r="M326" s="29" t="s">
        <v>775</v>
      </c>
      <c r="N326" s="29" t="s">
        <v>75</v>
      </c>
      <c r="O326" s="28"/>
      <c r="P326" s="28"/>
      <c r="Q326" s="28" t="s">
        <v>76</v>
      </c>
      <c r="R326" s="29"/>
      <c r="S326" s="28"/>
      <c r="T326" s="28" t="s">
        <v>571</v>
      </c>
      <c r="U326" s="28" t="s">
        <v>75</v>
      </c>
      <c r="V326" s="28" t="s">
        <v>75</v>
      </c>
      <c r="W326" s="28"/>
    </row>
    <row r="327" spans="1:23" s="12" customFormat="1" hidden="1">
      <c r="A327" s="46" t="s">
        <v>572</v>
      </c>
      <c r="B327" s="28" t="s">
        <v>1335</v>
      </c>
      <c r="C327" s="28" t="s">
        <v>88</v>
      </c>
      <c r="D327" s="28" t="s">
        <v>586</v>
      </c>
      <c r="E327" s="28" t="s">
        <v>151</v>
      </c>
      <c r="F327" s="28" t="s">
        <v>413</v>
      </c>
      <c r="G327" s="28" t="s">
        <v>413</v>
      </c>
      <c r="H327" s="28" t="s">
        <v>591</v>
      </c>
      <c r="I327" s="28" t="str">
        <f>VLOOKUP(F327,표준용어사전!$B:$D,3,FALSE)</f>
        <v>번호N10</v>
      </c>
      <c r="J327" s="28" t="s">
        <v>748</v>
      </c>
      <c r="K327" s="27">
        <v>10</v>
      </c>
      <c r="L327" s="29" t="s">
        <v>571</v>
      </c>
      <c r="M327" s="29">
        <v>9999999999</v>
      </c>
      <c r="N327" s="29" t="s">
        <v>711</v>
      </c>
      <c r="O327" s="28" t="s">
        <v>641</v>
      </c>
      <c r="P327" s="28"/>
      <c r="Q327" s="28" t="s">
        <v>76</v>
      </c>
      <c r="R327" s="29"/>
      <c r="S327" s="28"/>
      <c r="T327" s="28"/>
      <c r="U327" s="28" t="s">
        <v>75</v>
      </c>
      <c r="V327" s="28" t="s">
        <v>75</v>
      </c>
      <c r="W327" s="28"/>
    </row>
    <row r="328" spans="1:23" s="12" customFormat="1" hidden="1">
      <c r="A328" s="46" t="s">
        <v>572</v>
      </c>
      <c r="B328" s="28" t="s">
        <v>1335</v>
      </c>
      <c r="C328" s="28" t="s">
        <v>88</v>
      </c>
      <c r="D328" s="28" t="s">
        <v>586</v>
      </c>
      <c r="E328" s="28" t="s">
        <v>593</v>
      </c>
      <c r="F328" s="28" t="s">
        <v>896</v>
      </c>
      <c r="G328" s="28" t="s">
        <v>738</v>
      </c>
      <c r="H328" s="28" t="s">
        <v>591</v>
      </c>
      <c r="I328" s="28" t="str">
        <f>VLOOKUP(F328,표준용어사전!$B:$D,3,FALSE)</f>
        <v>코드C4</v>
      </c>
      <c r="J328" s="28" t="s">
        <v>709</v>
      </c>
      <c r="K328" s="24">
        <v>50</v>
      </c>
      <c r="L328" s="29" t="s">
        <v>571</v>
      </c>
      <c r="M328" s="29" t="s">
        <v>725</v>
      </c>
      <c r="N328" s="29" t="s">
        <v>711</v>
      </c>
      <c r="O328" s="28" t="s">
        <v>573</v>
      </c>
      <c r="P328" s="28"/>
      <c r="Q328" s="28" t="s">
        <v>1382</v>
      </c>
      <c r="R328" s="29">
        <v>1</v>
      </c>
      <c r="S328" s="28"/>
      <c r="T328" s="28"/>
      <c r="U328" s="28" t="s">
        <v>75</v>
      </c>
      <c r="V328" s="28" t="s">
        <v>75</v>
      </c>
      <c r="W328" s="28"/>
    </row>
    <row r="329" spans="1:23" s="12" customFormat="1" hidden="1">
      <c r="A329" s="46" t="s">
        <v>572</v>
      </c>
      <c r="B329" s="28" t="s">
        <v>1335</v>
      </c>
      <c r="C329" s="28" t="s">
        <v>88</v>
      </c>
      <c r="D329" s="28" t="s">
        <v>586</v>
      </c>
      <c r="E329" s="28" t="s">
        <v>578</v>
      </c>
      <c r="F329" s="28" t="s">
        <v>580</v>
      </c>
      <c r="G329" s="28" t="s">
        <v>580</v>
      </c>
      <c r="H329" s="28" t="s">
        <v>591</v>
      </c>
      <c r="I329" s="28" t="str">
        <f>VLOOKUP(F329,표준용어사전!$B:$D,3,FALSE)</f>
        <v>명V20</v>
      </c>
      <c r="J329" s="28" t="s">
        <v>718</v>
      </c>
      <c r="K329" s="24">
        <v>20</v>
      </c>
      <c r="L329" s="29" t="s">
        <v>571</v>
      </c>
      <c r="M329" s="29" t="s">
        <v>727</v>
      </c>
      <c r="N329" s="29" t="s">
        <v>711</v>
      </c>
      <c r="O329" s="28" t="s">
        <v>754</v>
      </c>
      <c r="P329" s="28"/>
      <c r="Q329" s="28" t="s">
        <v>76</v>
      </c>
      <c r="R329" s="29"/>
      <c r="S329" s="28"/>
      <c r="T329" s="28"/>
      <c r="U329" s="28" t="s">
        <v>75</v>
      </c>
      <c r="V329" s="28" t="s">
        <v>75</v>
      </c>
      <c r="W329" s="28"/>
    </row>
    <row r="330" spans="1:23" s="12" customFormat="1" hidden="1">
      <c r="A330" s="46" t="s">
        <v>572</v>
      </c>
      <c r="B330" s="28" t="s">
        <v>1335</v>
      </c>
      <c r="C330" s="28" t="s">
        <v>88</v>
      </c>
      <c r="D330" s="28" t="s">
        <v>586</v>
      </c>
      <c r="E330" s="28" t="s">
        <v>90</v>
      </c>
      <c r="F330" s="28" t="s">
        <v>14</v>
      </c>
      <c r="G330" s="28" t="s">
        <v>14</v>
      </c>
      <c r="H330" s="28" t="s">
        <v>591</v>
      </c>
      <c r="I330" s="28" t="str">
        <f>VLOOKUP(F330,표준용어사전!$B:$D,3,FALSE)</f>
        <v>연월일시분초TS</v>
      </c>
      <c r="J330" s="28" t="s">
        <v>16</v>
      </c>
      <c r="K330" s="27" t="s">
        <v>571</v>
      </c>
      <c r="L330" s="29" t="s">
        <v>571</v>
      </c>
      <c r="M330" s="29" t="s">
        <v>726</v>
      </c>
      <c r="N330" s="29" t="s">
        <v>711</v>
      </c>
      <c r="O330" s="28"/>
      <c r="P330" s="28"/>
      <c r="Q330" s="28" t="s">
        <v>76</v>
      </c>
      <c r="R330" s="29"/>
      <c r="S330" s="28"/>
      <c r="T330" s="28" t="s">
        <v>574</v>
      </c>
      <c r="U330" s="28" t="s">
        <v>75</v>
      </c>
      <c r="V330" s="28" t="s">
        <v>75</v>
      </c>
      <c r="W330" s="28"/>
    </row>
    <row r="331" spans="1:23" s="12" customFormat="1" hidden="1">
      <c r="A331" s="46" t="s">
        <v>572</v>
      </c>
      <c r="B331" s="28" t="s">
        <v>1335</v>
      </c>
      <c r="C331" s="28" t="s">
        <v>88</v>
      </c>
      <c r="D331" s="28" t="s">
        <v>586</v>
      </c>
      <c r="E331" s="28" t="s">
        <v>91</v>
      </c>
      <c r="F331" s="28" t="s">
        <v>369</v>
      </c>
      <c r="G331" s="28" t="s">
        <v>369</v>
      </c>
      <c r="H331" s="28" t="s">
        <v>591</v>
      </c>
      <c r="I331" s="28" t="str">
        <f>VLOOKUP(F331,표준용어사전!$B:$D,3,FALSE)</f>
        <v>명V20</v>
      </c>
      <c r="J331" s="28" t="s">
        <v>78</v>
      </c>
      <c r="K331" s="27">
        <v>20</v>
      </c>
      <c r="L331" s="29" t="s">
        <v>571</v>
      </c>
      <c r="M331" s="29" t="s">
        <v>727</v>
      </c>
      <c r="N331" s="29" t="s">
        <v>75</v>
      </c>
      <c r="O331" s="28"/>
      <c r="P331" s="28"/>
      <c r="Q331" s="28" t="s">
        <v>76</v>
      </c>
      <c r="R331" s="29"/>
      <c r="S331" s="28"/>
      <c r="T331" s="28" t="s">
        <v>571</v>
      </c>
      <c r="U331" s="28" t="s">
        <v>75</v>
      </c>
      <c r="V331" s="28" t="s">
        <v>75</v>
      </c>
      <c r="W331" s="28"/>
    </row>
    <row r="332" spans="1:23" s="12" customFormat="1" hidden="1">
      <c r="A332" s="46" t="s">
        <v>572</v>
      </c>
      <c r="B332" s="28" t="s">
        <v>1335</v>
      </c>
      <c r="C332" s="28" t="s">
        <v>88</v>
      </c>
      <c r="D332" s="28" t="s">
        <v>586</v>
      </c>
      <c r="E332" s="28" t="s">
        <v>92</v>
      </c>
      <c r="F332" s="28" t="s">
        <v>15</v>
      </c>
      <c r="G332" s="28" t="s">
        <v>15</v>
      </c>
      <c r="H332" s="28" t="s">
        <v>591</v>
      </c>
      <c r="I332" s="28" t="str">
        <f>VLOOKUP(F332,표준용어사전!$B:$D,3,FALSE)</f>
        <v>연월일시분초TS</v>
      </c>
      <c r="J332" s="28" t="s">
        <v>16</v>
      </c>
      <c r="K332" s="27" t="s">
        <v>571</v>
      </c>
      <c r="L332" s="29" t="s">
        <v>571</v>
      </c>
      <c r="M332" s="29" t="s">
        <v>726</v>
      </c>
      <c r="N332" s="29" t="s">
        <v>75</v>
      </c>
      <c r="O332" s="28"/>
      <c r="P332" s="28"/>
      <c r="Q332" s="28" t="s">
        <v>76</v>
      </c>
      <c r="R332" s="29"/>
      <c r="S332" s="28"/>
      <c r="T332" s="28" t="s">
        <v>574</v>
      </c>
      <c r="U332" s="28" t="s">
        <v>75</v>
      </c>
      <c r="V332" s="28" t="s">
        <v>75</v>
      </c>
      <c r="W332" s="28"/>
    </row>
    <row r="333" spans="1:23" s="12" customFormat="1" hidden="1">
      <c r="A333" s="46" t="s">
        <v>572</v>
      </c>
      <c r="B333" s="28" t="s">
        <v>1335</v>
      </c>
      <c r="C333" s="28" t="s">
        <v>88</v>
      </c>
      <c r="D333" s="28" t="s">
        <v>586</v>
      </c>
      <c r="E333" s="28" t="s">
        <v>93</v>
      </c>
      <c r="F333" s="28" t="s">
        <v>370</v>
      </c>
      <c r="G333" s="28" t="s">
        <v>370</v>
      </c>
      <c r="H333" s="28" t="s">
        <v>591</v>
      </c>
      <c r="I333" s="28" t="str">
        <f>VLOOKUP(F333,표준용어사전!$B:$D,3,FALSE)</f>
        <v>명V20</v>
      </c>
      <c r="J333" s="28" t="s">
        <v>78</v>
      </c>
      <c r="K333" s="27">
        <v>20</v>
      </c>
      <c r="L333" s="29" t="s">
        <v>571</v>
      </c>
      <c r="M333" s="29" t="s">
        <v>727</v>
      </c>
      <c r="N333" s="29" t="s">
        <v>75</v>
      </c>
      <c r="O333" s="28"/>
      <c r="P333" s="28"/>
      <c r="Q333" s="28" t="s">
        <v>76</v>
      </c>
      <c r="R333" s="29"/>
      <c r="S333" s="28"/>
      <c r="T333" s="28" t="s">
        <v>571</v>
      </c>
      <c r="U333" s="28" t="s">
        <v>75</v>
      </c>
      <c r="V333" s="28" t="s">
        <v>75</v>
      </c>
      <c r="W333" s="28"/>
    </row>
    <row r="334" spans="1:23" s="12" customFormat="1" hidden="1">
      <c r="A334" s="46" t="s">
        <v>572</v>
      </c>
      <c r="B334" s="28" t="s">
        <v>1335</v>
      </c>
      <c r="C334" s="28" t="s">
        <v>88</v>
      </c>
      <c r="D334" s="28" t="s">
        <v>586</v>
      </c>
      <c r="E334" s="40" t="s">
        <v>951</v>
      </c>
      <c r="F334" s="28" t="s">
        <v>952</v>
      </c>
      <c r="G334" s="28" t="s">
        <v>952</v>
      </c>
      <c r="H334" s="28" t="s">
        <v>591</v>
      </c>
      <c r="I334" s="28" t="str">
        <f>VLOOKUP(F334,표준용어사전!$B:$D,3,FALSE)</f>
        <v>수N10,3</v>
      </c>
      <c r="J334" s="28" t="s">
        <v>748</v>
      </c>
      <c r="K334" s="27">
        <v>10</v>
      </c>
      <c r="L334" s="29">
        <v>3</v>
      </c>
      <c r="M334" s="29" t="s">
        <v>775</v>
      </c>
      <c r="N334" s="29" t="s">
        <v>75</v>
      </c>
      <c r="O334" s="28"/>
      <c r="P334" s="28"/>
      <c r="Q334" s="28" t="s">
        <v>76</v>
      </c>
      <c r="R334" s="29"/>
      <c r="S334" s="28"/>
      <c r="T334" s="28" t="s">
        <v>571</v>
      </c>
      <c r="U334" s="28" t="s">
        <v>75</v>
      </c>
      <c r="V334" s="28" t="s">
        <v>75</v>
      </c>
      <c r="W334" s="28"/>
    </row>
    <row r="335" spans="1:23" s="12" customFormat="1" hidden="1">
      <c r="A335" s="46" t="s">
        <v>572</v>
      </c>
      <c r="B335" s="28" t="s">
        <v>1333</v>
      </c>
      <c r="C335" s="28" t="s">
        <v>88</v>
      </c>
      <c r="D335" s="28" t="s">
        <v>671</v>
      </c>
      <c r="E335" s="28" t="s">
        <v>215</v>
      </c>
      <c r="F335" s="28" t="s">
        <v>458</v>
      </c>
      <c r="G335" s="28" t="s">
        <v>458</v>
      </c>
      <c r="H335" s="28" t="s">
        <v>481</v>
      </c>
      <c r="I335" s="28" t="str">
        <f>VLOOKUP(F335,표준용어사전!$B:$D,3,FALSE)</f>
        <v>번호I</v>
      </c>
      <c r="J335" s="28" t="s">
        <v>717</v>
      </c>
      <c r="K335" s="27" t="s">
        <v>571</v>
      </c>
      <c r="L335" s="29" t="s">
        <v>571</v>
      </c>
      <c r="M335" s="29"/>
      <c r="N335" s="29" t="s">
        <v>711</v>
      </c>
      <c r="O335" s="28" t="s">
        <v>641</v>
      </c>
      <c r="P335" s="28"/>
      <c r="Q335" s="28" t="s">
        <v>76</v>
      </c>
      <c r="R335" s="29"/>
      <c r="S335" s="28"/>
      <c r="T335" s="28"/>
      <c r="U335" s="28" t="s">
        <v>75</v>
      </c>
      <c r="V335" s="28" t="s">
        <v>75</v>
      </c>
      <c r="W335" s="28"/>
    </row>
    <row r="336" spans="1:23" s="12" customFormat="1" hidden="1">
      <c r="A336" s="46" t="s">
        <v>572</v>
      </c>
      <c r="B336" s="28" t="s">
        <v>1333</v>
      </c>
      <c r="C336" s="28" t="s">
        <v>88</v>
      </c>
      <c r="D336" s="28" t="s">
        <v>671</v>
      </c>
      <c r="E336" s="28" t="s">
        <v>843</v>
      </c>
      <c r="F336" s="28" t="s">
        <v>1548</v>
      </c>
      <c r="G336" s="28" t="s">
        <v>1548</v>
      </c>
      <c r="H336" s="28" t="s">
        <v>481</v>
      </c>
      <c r="I336" s="28" t="str">
        <f>VLOOKUP(F336,표준용어사전!$B:$D,3,FALSE)</f>
        <v>명V50</v>
      </c>
      <c r="J336" s="28" t="s">
        <v>718</v>
      </c>
      <c r="K336" s="27">
        <v>50</v>
      </c>
      <c r="L336" s="29" t="s">
        <v>571</v>
      </c>
      <c r="M336" s="29" t="s">
        <v>720</v>
      </c>
      <c r="N336" s="29" t="s">
        <v>711</v>
      </c>
      <c r="O336" s="28" t="s">
        <v>573</v>
      </c>
      <c r="P336" s="28"/>
      <c r="Q336" s="28" t="s">
        <v>76</v>
      </c>
      <c r="R336" s="29"/>
      <c r="S336" s="28"/>
      <c r="T336" s="28"/>
      <c r="U336" s="28" t="s">
        <v>75</v>
      </c>
      <c r="V336" s="28" t="s">
        <v>75</v>
      </c>
      <c r="W336" s="28"/>
    </row>
    <row r="337" spans="1:23" s="12" customFormat="1" hidden="1">
      <c r="A337" s="46" t="s">
        <v>572</v>
      </c>
      <c r="B337" s="28" t="s">
        <v>1333</v>
      </c>
      <c r="C337" s="28" t="s">
        <v>88</v>
      </c>
      <c r="D337" s="28" t="s">
        <v>671</v>
      </c>
      <c r="E337" s="28" t="s">
        <v>836</v>
      </c>
      <c r="F337" s="28" t="s">
        <v>749</v>
      </c>
      <c r="G337" s="28" t="s">
        <v>749</v>
      </c>
      <c r="H337" s="28" t="s">
        <v>481</v>
      </c>
      <c r="I337" s="28" t="str">
        <f>VLOOKUP(F337,표준용어사전!$B:$D,3,FALSE)</f>
        <v>명TXT</v>
      </c>
      <c r="J337" s="28" t="s">
        <v>713</v>
      </c>
      <c r="K337" s="27" t="s">
        <v>571</v>
      </c>
      <c r="L337" s="29" t="s">
        <v>571</v>
      </c>
      <c r="M337" s="29"/>
      <c r="N337" s="29" t="s">
        <v>75</v>
      </c>
      <c r="O337" s="28"/>
      <c r="P337" s="28"/>
      <c r="Q337" s="28" t="s">
        <v>76</v>
      </c>
      <c r="R337" s="29"/>
      <c r="S337" s="28"/>
      <c r="T337" s="28"/>
      <c r="U337" s="28" t="s">
        <v>75</v>
      </c>
      <c r="V337" s="28" t="s">
        <v>75</v>
      </c>
      <c r="W337" s="28"/>
    </row>
    <row r="338" spans="1:23" s="12" customFormat="1" hidden="1">
      <c r="A338" s="46" t="s">
        <v>572</v>
      </c>
      <c r="B338" s="28" t="s">
        <v>1333</v>
      </c>
      <c r="C338" s="28" t="s">
        <v>88</v>
      </c>
      <c r="D338" s="28" t="s">
        <v>671</v>
      </c>
      <c r="E338" s="28" t="s">
        <v>90</v>
      </c>
      <c r="F338" s="28" t="s">
        <v>14</v>
      </c>
      <c r="G338" s="28" t="s">
        <v>14</v>
      </c>
      <c r="H338" s="28" t="s">
        <v>481</v>
      </c>
      <c r="I338" s="28" t="str">
        <f>VLOOKUP(F338,표준용어사전!$B:$D,3,FALSE)</f>
        <v>연월일시분초TS</v>
      </c>
      <c r="J338" s="28" t="s">
        <v>16</v>
      </c>
      <c r="K338" s="27" t="s">
        <v>571</v>
      </c>
      <c r="L338" s="29" t="s">
        <v>571</v>
      </c>
      <c r="M338" s="29" t="s">
        <v>726</v>
      </c>
      <c r="N338" s="29" t="s">
        <v>711</v>
      </c>
      <c r="O338" s="28"/>
      <c r="P338" s="28"/>
      <c r="Q338" s="28" t="s">
        <v>76</v>
      </c>
      <c r="R338" s="29"/>
      <c r="S338" s="28"/>
      <c r="T338" s="28" t="s">
        <v>574</v>
      </c>
      <c r="U338" s="28" t="s">
        <v>75</v>
      </c>
      <c r="V338" s="28" t="s">
        <v>75</v>
      </c>
      <c r="W338" s="28"/>
    </row>
    <row r="339" spans="1:23" s="12" customFormat="1" hidden="1">
      <c r="A339" s="46" t="s">
        <v>572</v>
      </c>
      <c r="B339" s="28" t="s">
        <v>1333</v>
      </c>
      <c r="C339" s="28" t="s">
        <v>88</v>
      </c>
      <c r="D339" s="28" t="s">
        <v>671</v>
      </c>
      <c r="E339" s="28" t="s">
        <v>91</v>
      </c>
      <c r="F339" s="28" t="s">
        <v>369</v>
      </c>
      <c r="G339" s="28" t="s">
        <v>369</v>
      </c>
      <c r="H339" s="28" t="s">
        <v>481</v>
      </c>
      <c r="I339" s="28" t="str">
        <f>VLOOKUP(F339,표준용어사전!$B:$D,3,FALSE)</f>
        <v>명V20</v>
      </c>
      <c r="J339" s="28" t="s">
        <v>78</v>
      </c>
      <c r="K339" s="27">
        <v>20</v>
      </c>
      <c r="L339" s="29" t="s">
        <v>571</v>
      </c>
      <c r="M339" s="29" t="s">
        <v>727</v>
      </c>
      <c r="N339" s="29" t="s">
        <v>75</v>
      </c>
      <c r="O339" s="28"/>
      <c r="P339" s="28"/>
      <c r="Q339" s="28" t="s">
        <v>76</v>
      </c>
      <c r="R339" s="29"/>
      <c r="S339" s="28"/>
      <c r="T339" s="28" t="s">
        <v>571</v>
      </c>
      <c r="U339" s="28" t="s">
        <v>75</v>
      </c>
      <c r="V339" s="28" t="s">
        <v>75</v>
      </c>
      <c r="W339" s="28"/>
    </row>
    <row r="340" spans="1:23" s="12" customFormat="1" hidden="1">
      <c r="A340" s="46" t="s">
        <v>572</v>
      </c>
      <c r="B340" s="28" t="s">
        <v>1333</v>
      </c>
      <c r="C340" s="28" t="s">
        <v>88</v>
      </c>
      <c r="D340" s="28" t="s">
        <v>671</v>
      </c>
      <c r="E340" s="28" t="s">
        <v>92</v>
      </c>
      <c r="F340" s="28" t="s">
        <v>15</v>
      </c>
      <c r="G340" s="28" t="s">
        <v>15</v>
      </c>
      <c r="H340" s="28" t="s">
        <v>481</v>
      </c>
      <c r="I340" s="28" t="str">
        <f>VLOOKUP(F340,표준용어사전!$B:$D,3,FALSE)</f>
        <v>연월일시분초TS</v>
      </c>
      <c r="J340" s="28" t="s">
        <v>16</v>
      </c>
      <c r="K340" s="27" t="s">
        <v>571</v>
      </c>
      <c r="L340" s="29" t="s">
        <v>571</v>
      </c>
      <c r="M340" s="29" t="s">
        <v>726</v>
      </c>
      <c r="N340" s="29" t="s">
        <v>75</v>
      </c>
      <c r="O340" s="28"/>
      <c r="P340" s="28"/>
      <c r="Q340" s="28" t="s">
        <v>76</v>
      </c>
      <c r="R340" s="29"/>
      <c r="S340" s="28"/>
      <c r="T340" s="28" t="s">
        <v>574</v>
      </c>
      <c r="U340" s="28" t="s">
        <v>75</v>
      </c>
      <c r="V340" s="28" t="s">
        <v>75</v>
      </c>
      <c r="W340" s="28"/>
    </row>
    <row r="341" spans="1:23" s="12" customFormat="1" hidden="1">
      <c r="A341" s="46" t="s">
        <v>572</v>
      </c>
      <c r="B341" s="28" t="s">
        <v>1333</v>
      </c>
      <c r="C341" s="28" t="s">
        <v>88</v>
      </c>
      <c r="D341" s="28" t="s">
        <v>671</v>
      </c>
      <c r="E341" s="28" t="s">
        <v>93</v>
      </c>
      <c r="F341" s="28" t="s">
        <v>370</v>
      </c>
      <c r="G341" s="28" t="s">
        <v>370</v>
      </c>
      <c r="H341" s="28" t="s">
        <v>481</v>
      </c>
      <c r="I341" s="28" t="str">
        <f>VLOOKUP(F341,표준용어사전!$B:$D,3,FALSE)</f>
        <v>명V20</v>
      </c>
      <c r="J341" s="28" t="s">
        <v>78</v>
      </c>
      <c r="K341" s="27">
        <v>20</v>
      </c>
      <c r="L341" s="29" t="s">
        <v>571</v>
      </c>
      <c r="M341" s="29" t="s">
        <v>727</v>
      </c>
      <c r="N341" s="29" t="s">
        <v>75</v>
      </c>
      <c r="O341" s="28"/>
      <c r="P341" s="28"/>
      <c r="Q341" s="28" t="s">
        <v>76</v>
      </c>
      <c r="R341" s="29"/>
      <c r="S341" s="28"/>
      <c r="T341" s="28" t="s">
        <v>571</v>
      </c>
      <c r="U341" s="28" t="s">
        <v>75</v>
      </c>
      <c r="V341" s="28" t="s">
        <v>75</v>
      </c>
      <c r="W341" s="28"/>
    </row>
    <row r="342" spans="1:23" s="12" customFormat="1" hidden="1">
      <c r="A342" s="46" t="s">
        <v>572</v>
      </c>
      <c r="B342" s="28" t="s">
        <v>1333</v>
      </c>
      <c r="C342" s="28" t="s">
        <v>88</v>
      </c>
      <c r="D342" s="28" t="s">
        <v>588</v>
      </c>
      <c r="E342" s="28" t="s">
        <v>843</v>
      </c>
      <c r="F342" s="28" t="s">
        <v>1548</v>
      </c>
      <c r="G342" s="28" t="s">
        <v>1548</v>
      </c>
      <c r="H342" s="28" t="s">
        <v>1356</v>
      </c>
      <c r="I342" s="28" t="str">
        <f>VLOOKUP(F342,표준용어사전!$B:$D,3,FALSE)</f>
        <v>명V50</v>
      </c>
      <c r="J342" s="28" t="s">
        <v>718</v>
      </c>
      <c r="K342" s="27">
        <v>50</v>
      </c>
      <c r="L342" s="29"/>
      <c r="M342" s="29" t="s">
        <v>720</v>
      </c>
      <c r="N342" s="29" t="s">
        <v>711</v>
      </c>
      <c r="O342" s="28" t="s">
        <v>641</v>
      </c>
      <c r="P342" s="28"/>
      <c r="Q342" s="28" t="s">
        <v>76</v>
      </c>
      <c r="R342" s="29"/>
      <c r="S342" s="28"/>
      <c r="T342" s="28"/>
      <c r="U342" s="28" t="s">
        <v>75</v>
      </c>
      <c r="V342" s="28" t="s">
        <v>75</v>
      </c>
      <c r="W342" s="28"/>
    </row>
    <row r="343" spans="1:23" s="12" customFormat="1" hidden="1">
      <c r="A343" s="46" t="s">
        <v>572</v>
      </c>
      <c r="B343" s="28" t="s">
        <v>1333</v>
      </c>
      <c r="C343" s="28" t="s">
        <v>88</v>
      </c>
      <c r="D343" s="28" t="s">
        <v>588</v>
      </c>
      <c r="E343" s="28" t="s">
        <v>593</v>
      </c>
      <c r="F343" s="28" t="s">
        <v>896</v>
      </c>
      <c r="G343" s="28" t="s">
        <v>738</v>
      </c>
      <c r="H343" s="28" t="s">
        <v>1356</v>
      </c>
      <c r="I343" s="28" t="str">
        <f>VLOOKUP(F343,표준용어사전!$B:$D,3,FALSE)</f>
        <v>코드C4</v>
      </c>
      <c r="J343" s="28" t="s">
        <v>709</v>
      </c>
      <c r="K343" s="27">
        <v>50</v>
      </c>
      <c r="L343" s="29"/>
      <c r="M343" s="29" t="s">
        <v>725</v>
      </c>
      <c r="N343" s="29" t="s">
        <v>711</v>
      </c>
      <c r="O343" s="28" t="s">
        <v>573</v>
      </c>
      <c r="P343" s="28"/>
      <c r="Q343" s="28" t="s">
        <v>1383</v>
      </c>
      <c r="R343" s="29">
        <v>1</v>
      </c>
      <c r="S343" s="28"/>
      <c r="T343" s="28"/>
      <c r="U343" s="28" t="s">
        <v>75</v>
      </c>
      <c r="V343" s="28" t="s">
        <v>75</v>
      </c>
      <c r="W343" s="28"/>
    </row>
    <row r="344" spans="1:23" s="12" customFormat="1" hidden="1">
      <c r="A344" s="46" t="s">
        <v>572</v>
      </c>
      <c r="B344" s="28" t="s">
        <v>1333</v>
      </c>
      <c r="C344" s="28" t="s">
        <v>88</v>
      </c>
      <c r="D344" s="28" t="s">
        <v>588</v>
      </c>
      <c r="E344" s="28" t="s">
        <v>578</v>
      </c>
      <c r="F344" s="28" t="s">
        <v>580</v>
      </c>
      <c r="G344" s="28" t="s">
        <v>580</v>
      </c>
      <c r="H344" s="28" t="s">
        <v>1356</v>
      </c>
      <c r="I344" s="28" t="str">
        <f>VLOOKUP(F344,표준용어사전!$B:$D,3,FALSE)</f>
        <v>명V20</v>
      </c>
      <c r="J344" s="28" t="s">
        <v>718</v>
      </c>
      <c r="K344" s="27">
        <v>20</v>
      </c>
      <c r="L344" s="29"/>
      <c r="M344" s="29" t="s">
        <v>727</v>
      </c>
      <c r="N344" s="29" t="s">
        <v>711</v>
      </c>
      <c r="O344" s="28" t="s">
        <v>754</v>
      </c>
      <c r="P344" s="28"/>
      <c r="Q344" s="28" t="s">
        <v>76</v>
      </c>
      <c r="R344" s="29"/>
      <c r="S344" s="28"/>
      <c r="T344" s="28"/>
      <c r="U344" s="28" t="s">
        <v>75</v>
      </c>
      <c r="V344" s="28" t="s">
        <v>75</v>
      </c>
      <c r="W344" s="28"/>
    </row>
    <row r="345" spans="1:23" s="12" customFormat="1" hidden="1">
      <c r="A345" s="46" t="s">
        <v>572</v>
      </c>
      <c r="B345" s="28" t="s">
        <v>1333</v>
      </c>
      <c r="C345" s="28" t="s">
        <v>88</v>
      </c>
      <c r="D345" s="28" t="s">
        <v>588</v>
      </c>
      <c r="E345" s="28" t="s">
        <v>90</v>
      </c>
      <c r="F345" s="28" t="s">
        <v>14</v>
      </c>
      <c r="G345" s="28" t="s">
        <v>14</v>
      </c>
      <c r="H345" s="28" t="s">
        <v>1356</v>
      </c>
      <c r="I345" s="28" t="str">
        <f>VLOOKUP(F345,표준용어사전!$B:$D,3,FALSE)</f>
        <v>연월일시분초TS</v>
      </c>
      <c r="J345" s="28" t="s">
        <v>16</v>
      </c>
      <c r="K345" s="27" t="s">
        <v>571</v>
      </c>
      <c r="L345" s="29" t="s">
        <v>571</v>
      </c>
      <c r="M345" s="29" t="s">
        <v>726</v>
      </c>
      <c r="N345" s="29" t="s">
        <v>711</v>
      </c>
      <c r="O345" s="28"/>
      <c r="P345" s="28"/>
      <c r="Q345" s="28" t="s">
        <v>76</v>
      </c>
      <c r="R345" s="29"/>
      <c r="S345" s="28"/>
      <c r="T345" s="28" t="s">
        <v>574</v>
      </c>
      <c r="U345" s="28" t="s">
        <v>75</v>
      </c>
      <c r="V345" s="28" t="s">
        <v>75</v>
      </c>
      <c r="W345" s="28"/>
    </row>
    <row r="346" spans="1:23" s="12" customFormat="1" hidden="1">
      <c r="A346" s="46" t="s">
        <v>572</v>
      </c>
      <c r="B346" s="28" t="s">
        <v>1333</v>
      </c>
      <c r="C346" s="28" t="s">
        <v>88</v>
      </c>
      <c r="D346" s="28" t="s">
        <v>588</v>
      </c>
      <c r="E346" s="28" t="s">
        <v>91</v>
      </c>
      <c r="F346" s="28" t="s">
        <v>369</v>
      </c>
      <c r="G346" s="28" t="s">
        <v>369</v>
      </c>
      <c r="H346" s="28" t="s">
        <v>1356</v>
      </c>
      <c r="I346" s="28" t="str">
        <f>VLOOKUP(F346,표준용어사전!$B:$D,3,FALSE)</f>
        <v>명V20</v>
      </c>
      <c r="J346" s="28" t="s">
        <v>78</v>
      </c>
      <c r="K346" s="27">
        <v>20</v>
      </c>
      <c r="L346" s="29" t="s">
        <v>571</v>
      </c>
      <c r="M346" s="29" t="s">
        <v>727</v>
      </c>
      <c r="N346" s="29" t="s">
        <v>75</v>
      </c>
      <c r="O346" s="28"/>
      <c r="P346" s="28"/>
      <c r="Q346" s="28" t="s">
        <v>76</v>
      </c>
      <c r="R346" s="29"/>
      <c r="S346" s="28"/>
      <c r="T346" s="28" t="s">
        <v>571</v>
      </c>
      <c r="U346" s="28" t="s">
        <v>75</v>
      </c>
      <c r="V346" s="28" t="s">
        <v>75</v>
      </c>
      <c r="W346" s="28"/>
    </row>
    <row r="347" spans="1:23" s="12" customFormat="1" hidden="1">
      <c r="A347" s="46" t="s">
        <v>572</v>
      </c>
      <c r="B347" s="28" t="s">
        <v>1333</v>
      </c>
      <c r="C347" s="28" t="s">
        <v>88</v>
      </c>
      <c r="D347" s="28" t="s">
        <v>588</v>
      </c>
      <c r="E347" s="28" t="s">
        <v>92</v>
      </c>
      <c r="F347" s="28" t="s">
        <v>15</v>
      </c>
      <c r="G347" s="28" t="s">
        <v>15</v>
      </c>
      <c r="H347" s="28" t="s">
        <v>1356</v>
      </c>
      <c r="I347" s="28" t="str">
        <f>VLOOKUP(F347,표준용어사전!$B:$D,3,FALSE)</f>
        <v>연월일시분초TS</v>
      </c>
      <c r="J347" s="28" t="s">
        <v>16</v>
      </c>
      <c r="K347" s="27" t="s">
        <v>571</v>
      </c>
      <c r="L347" s="29" t="s">
        <v>571</v>
      </c>
      <c r="M347" s="29" t="s">
        <v>726</v>
      </c>
      <c r="N347" s="29" t="s">
        <v>75</v>
      </c>
      <c r="O347" s="28"/>
      <c r="P347" s="28"/>
      <c r="Q347" s="28" t="s">
        <v>76</v>
      </c>
      <c r="R347" s="29"/>
      <c r="S347" s="28"/>
      <c r="T347" s="28" t="s">
        <v>574</v>
      </c>
      <c r="U347" s="28" t="s">
        <v>75</v>
      </c>
      <c r="V347" s="28" t="s">
        <v>75</v>
      </c>
      <c r="W347" s="28"/>
    </row>
    <row r="348" spans="1:23" s="12" customFormat="1" hidden="1">
      <c r="A348" s="46" t="s">
        <v>572</v>
      </c>
      <c r="B348" s="28" t="s">
        <v>1333</v>
      </c>
      <c r="C348" s="28" t="s">
        <v>88</v>
      </c>
      <c r="D348" s="28" t="s">
        <v>588</v>
      </c>
      <c r="E348" s="28" t="s">
        <v>93</v>
      </c>
      <c r="F348" s="28" t="s">
        <v>370</v>
      </c>
      <c r="G348" s="28" t="s">
        <v>370</v>
      </c>
      <c r="H348" s="28" t="s">
        <v>1356</v>
      </c>
      <c r="I348" s="28" t="str">
        <f>VLOOKUP(F348,표준용어사전!$B:$D,3,FALSE)</f>
        <v>명V20</v>
      </c>
      <c r="J348" s="28" t="s">
        <v>78</v>
      </c>
      <c r="K348" s="27">
        <v>20</v>
      </c>
      <c r="L348" s="29" t="s">
        <v>571</v>
      </c>
      <c r="M348" s="29" t="s">
        <v>727</v>
      </c>
      <c r="N348" s="29" t="s">
        <v>75</v>
      </c>
      <c r="O348" s="28"/>
      <c r="P348" s="28"/>
      <c r="Q348" s="28" t="s">
        <v>76</v>
      </c>
      <c r="R348" s="29"/>
      <c r="S348" s="28"/>
      <c r="T348" s="28" t="s">
        <v>571</v>
      </c>
      <c r="U348" s="28" t="s">
        <v>75</v>
      </c>
      <c r="V348" s="28" t="s">
        <v>75</v>
      </c>
      <c r="W348" s="28"/>
    </row>
    <row r="349" spans="1:23" s="12" customFormat="1" hidden="1">
      <c r="A349" s="46" t="s">
        <v>572</v>
      </c>
      <c r="B349" s="28" t="s">
        <v>1333</v>
      </c>
      <c r="C349" s="28" t="s">
        <v>88</v>
      </c>
      <c r="D349" s="28" t="s">
        <v>588</v>
      </c>
      <c r="E349" s="40" t="s">
        <v>1344</v>
      </c>
      <c r="F349" s="28" t="s">
        <v>1416</v>
      </c>
      <c r="G349" s="28" t="s">
        <v>1416</v>
      </c>
      <c r="H349" s="28" t="s">
        <v>1356</v>
      </c>
      <c r="I349" s="28" t="str">
        <f>VLOOKUP(F349,표준용어사전!$B:$D,3,FALSE)</f>
        <v>수N10,3</v>
      </c>
      <c r="J349" s="28" t="s">
        <v>748</v>
      </c>
      <c r="K349" s="27">
        <v>10</v>
      </c>
      <c r="L349" s="29">
        <v>3</v>
      </c>
      <c r="M349" s="29" t="s">
        <v>775</v>
      </c>
      <c r="N349" s="29" t="s">
        <v>75</v>
      </c>
      <c r="O349" s="28"/>
      <c r="P349" s="28"/>
      <c r="Q349" s="28" t="s">
        <v>76</v>
      </c>
      <c r="R349" s="29"/>
      <c r="S349" s="28"/>
      <c r="T349" s="28" t="s">
        <v>571</v>
      </c>
      <c r="U349" s="28" t="s">
        <v>75</v>
      </c>
      <c r="V349" s="28" t="s">
        <v>75</v>
      </c>
      <c r="W349" s="28"/>
    </row>
    <row r="350" spans="1:23" s="12" customFormat="1" hidden="1">
      <c r="A350" s="46" t="s">
        <v>572</v>
      </c>
      <c r="B350" s="28" t="s">
        <v>1333</v>
      </c>
      <c r="C350" s="28" t="s">
        <v>88</v>
      </c>
      <c r="D350" s="28" t="s">
        <v>672</v>
      </c>
      <c r="E350" s="28" t="s">
        <v>213</v>
      </c>
      <c r="F350" s="28" t="s">
        <v>457</v>
      </c>
      <c r="G350" s="28" t="s">
        <v>457</v>
      </c>
      <c r="H350" s="28" t="s">
        <v>480</v>
      </c>
      <c r="I350" s="28" t="str">
        <f>VLOOKUP(F350,표준용어사전!$B:$D,3,FALSE)</f>
        <v>번호I</v>
      </c>
      <c r="J350" s="28" t="s">
        <v>717</v>
      </c>
      <c r="K350" s="27" t="s">
        <v>571</v>
      </c>
      <c r="L350" s="29" t="s">
        <v>571</v>
      </c>
      <c r="M350" s="29"/>
      <c r="N350" s="29" t="s">
        <v>711</v>
      </c>
      <c r="O350" s="28" t="s">
        <v>641</v>
      </c>
      <c r="P350" s="28"/>
      <c r="Q350" s="28" t="s">
        <v>76</v>
      </c>
      <c r="R350" s="29"/>
      <c r="S350" s="28"/>
      <c r="T350" s="28"/>
      <c r="U350" s="28" t="s">
        <v>75</v>
      </c>
      <c r="V350" s="28" t="s">
        <v>75</v>
      </c>
      <c r="W350" s="28"/>
    </row>
    <row r="351" spans="1:23" s="12" customFormat="1" hidden="1">
      <c r="A351" s="46" t="s">
        <v>572</v>
      </c>
      <c r="B351" s="28" t="s">
        <v>1333</v>
      </c>
      <c r="C351" s="28" t="s">
        <v>88</v>
      </c>
      <c r="D351" s="28" t="s">
        <v>672</v>
      </c>
      <c r="E351" s="28" t="s">
        <v>843</v>
      </c>
      <c r="F351" s="28" t="s">
        <v>1548</v>
      </c>
      <c r="G351" s="28" t="s">
        <v>1548</v>
      </c>
      <c r="H351" s="28" t="s">
        <v>480</v>
      </c>
      <c r="I351" s="28" t="str">
        <f>VLOOKUP(F351,표준용어사전!$B:$D,3,FALSE)</f>
        <v>명V50</v>
      </c>
      <c r="J351" s="28" t="s">
        <v>718</v>
      </c>
      <c r="K351" s="27">
        <v>50</v>
      </c>
      <c r="L351" s="29" t="s">
        <v>571</v>
      </c>
      <c r="M351" s="29" t="s">
        <v>720</v>
      </c>
      <c r="N351" s="29" t="s">
        <v>711</v>
      </c>
      <c r="O351" s="28" t="s">
        <v>573</v>
      </c>
      <c r="P351" s="28"/>
      <c r="Q351" s="28" t="s">
        <v>76</v>
      </c>
      <c r="R351" s="29"/>
      <c r="S351" s="28"/>
      <c r="T351" s="28"/>
      <c r="U351" s="28" t="s">
        <v>75</v>
      </c>
      <c r="V351" s="28" t="s">
        <v>75</v>
      </c>
      <c r="W351" s="28"/>
    </row>
    <row r="352" spans="1:23" s="12" customFormat="1" hidden="1">
      <c r="A352" s="46" t="s">
        <v>572</v>
      </c>
      <c r="B352" s="28" t="s">
        <v>1333</v>
      </c>
      <c r="C352" s="28" t="s">
        <v>88</v>
      </c>
      <c r="D352" s="28" t="s">
        <v>672</v>
      </c>
      <c r="E352" s="28" t="s">
        <v>242</v>
      </c>
      <c r="F352" s="28" t="s">
        <v>479</v>
      </c>
      <c r="G352" s="28" t="s">
        <v>479</v>
      </c>
      <c r="H352" s="28" t="s">
        <v>480</v>
      </c>
      <c r="I352" s="28" t="str">
        <f>VLOOKUP(F352,표준용어사전!$B:$D,3,FALSE)</f>
        <v>명TXT</v>
      </c>
      <c r="J352" s="28" t="s">
        <v>713</v>
      </c>
      <c r="K352" s="27" t="s">
        <v>571</v>
      </c>
      <c r="L352" s="29" t="s">
        <v>571</v>
      </c>
      <c r="M352" s="29"/>
      <c r="N352" s="29" t="s">
        <v>75</v>
      </c>
      <c r="O352" s="28"/>
      <c r="P352" s="28"/>
      <c r="Q352" s="28" t="s">
        <v>76</v>
      </c>
      <c r="R352" s="29"/>
      <c r="S352" s="28"/>
      <c r="T352" s="28"/>
      <c r="U352" s="28" t="s">
        <v>75</v>
      </c>
      <c r="V352" s="28" t="s">
        <v>75</v>
      </c>
      <c r="W352" s="28"/>
    </row>
    <row r="353" spans="1:23" s="12" customFormat="1" hidden="1">
      <c r="A353" s="46" t="s">
        <v>572</v>
      </c>
      <c r="B353" s="28" t="s">
        <v>1333</v>
      </c>
      <c r="C353" s="28" t="s">
        <v>88</v>
      </c>
      <c r="D353" s="28" t="s">
        <v>672</v>
      </c>
      <c r="E353" s="28" t="s">
        <v>90</v>
      </c>
      <c r="F353" s="28" t="s">
        <v>14</v>
      </c>
      <c r="G353" s="28" t="s">
        <v>14</v>
      </c>
      <c r="H353" s="28" t="s">
        <v>480</v>
      </c>
      <c r="I353" s="28" t="str">
        <f>VLOOKUP(F353,표준용어사전!$B:$D,3,FALSE)</f>
        <v>연월일시분초TS</v>
      </c>
      <c r="J353" s="28" t="s">
        <v>16</v>
      </c>
      <c r="K353" s="27" t="s">
        <v>571</v>
      </c>
      <c r="L353" s="29" t="s">
        <v>571</v>
      </c>
      <c r="M353" s="29" t="s">
        <v>726</v>
      </c>
      <c r="N353" s="29" t="s">
        <v>711</v>
      </c>
      <c r="O353" s="28"/>
      <c r="P353" s="28"/>
      <c r="Q353" s="28" t="s">
        <v>76</v>
      </c>
      <c r="R353" s="29"/>
      <c r="S353" s="28"/>
      <c r="T353" s="28" t="s">
        <v>574</v>
      </c>
      <c r="U353" s="28" t="s">
        <v>75</v>
      </c>
      <c r="V353" s="28" t="s">
        <v>75</v>
      </c>
      <c r="W353" s="28"/>
    </row>
    <row r="354" spans="1:23" s="12" customFormat="1" hidden="1">
      <c r="A354" s="46" t="s">
        <v>572</v>
      </c>
      <c r="B354" s="28" t="s">
        <v>1333</v>
      </c>
      <c r="C354" s="28" t="s">
        <v>88</v>
      </c>
      <c r="D354" s="28" t="s">
        <v>672</v>
      </c>
      <c r="E354" s="28" t="s">
        <v>91</v>
      </c>
      <c r="F354" s="28" t="s">
        <v>369</v>
      </c>
      <c r="G354" s="28" t="s">
        <v>369</v>
      </c>
      <c r="H354" s="28" t="s">
        <v>480</v>
      </c>
      <c r="I354" s="28" t="str">
        <f>VLOOKUP(F354,표준용어사전!$B:$D,3,FALSE)</f>
        <v>명V20</v>
      </c>
      <c r="J354" s="28" t="s">
        <v>78</v>
      </c>
      <c r="K354" s="27">
        <v>20</v>
      </c>
      <c r="L354" s="29" t="s">
        <v>571</v>
      </c>
      <c r="M354" s="29" t="s">
        <v>727</v>
      </c>
      <c r="N354" s="29" t="s">
        <v>75</v>
      </c>
      <c r="O354" s="28"/>
      <c r="P354" s="28"/>
      <c r="Q354" s="28" t="s">
        <v>76</v>
      </c>
      <c r="R354" s="29"/>
      <c r="S354" s="28"/>
      <c r="T354" s="28" t="s">
        <v>571</v>
      </c>
      <c r="U354" s="28" t="s">
        <v>75</v>
      </c>
      <c r="V354" s="28" t="s">
        <v>75</v>
      </c>
      <c r="W354" s="28"/>
    </row>
    <row r="355" spans="1:23" s="12" customFormat="1" hidden="1">
      <c r="A355" s="46" t="s">
        <v>572</v>
      </c>
      <c r="B355" s="28" t="s">
        <v>1333</v>
      </c>
      <c r="C355" s="28" t="s">
        <v>88</v>
      </c>
      <c r="D355" s="28" t="s">
        <v>672</v>
      </c>
      <c r="E355" s="28" t="s">
        <v>92</v>
      </c>
      <c r="F355" s="28" t="s">
        <v>15</v>
      </c>
      <c r="G355" s="28" t="s">
        <v>15</v>
      </c>
      <c r="H355" s="28" t="s">
        <v>480</v>
      </c>
      <c r="I355" s="28" t="str">
        <f>VLOOKUP(F355,표준용어사전!$B:$D,3,FALSE)</f>
        <v>연월일시분초TS</v>
      </c>
      <c r="J355" s="28" t="s">
        <v>16</v>
      </c>
      <c r="K355" s="27" t="s">
        <v>571</v>
      </c>
      <c r="L355" s="29" t="s">
        <v>571</v>
      </c>
      <c r="M355" s="29" t="s">
        <v>726</v>
      </c>
      <c r="N355" s="29" t="s">
        <v>75</v>
      </c>
      <c r="O355" s="28"/>
      <c r="P355" s="28"/>
      <c r="Q355" s="28" t="s">
        <v>76</v>
      </c>
      <c r="R355" s="29"/>
      <c r="S355" s="28"/>
      <c r="T355" s="28" t="s">
        <v>574</v>
      </c>
      <c r="U355" s="28" t="s">
        <v>75</v>
      </c>
      <c r="V355" s="28" t="s">
        <v>75</v>
      </c>
      <c r="W355" s="28"/>
    </row>
    <row r="356" spans="1:23" s="12" customFormat="1" hidden="1">
      <c r="A356" s="46" t="s">
        <v>572</v>
      </c>
      <c r="B356" s="28" t="s">
        <v>1333</v>
      </c>
      <c r="C356" s="28" t="s">
        <v>88</v>
      </c>
      <c r="D356" s="28" t="s">
        <v>672</v>
      </c>
      <c r="E356" s="28" t="s">
        <v>93</v>
      </c>
      <c r="F356" s="28" t="s">
        <v>370</v>
      </c>
      <c r="G356" s="28" t="s">
        <v>370</v>
      </c>
      <c r="H356" s="28" t="s">
        <v>480</v>
      </c>
      <c r="I356" s="28" t="str">
        <f>VLOOKUP(F356,표준용어사전!$B:$D,3,FALSE)</f>
        <v>명V20</v>
      </c>
      <c r="J356" s="28" t="s">
        <v>78</v>
      </c>
      <c r="K356" s="27">
        <v>20</v>
      </c>
      <c r="L356" s="29" t="s">
        <v>571</v>
      </c>
      <c r="M356" s="29" t="s">
        <v>727</v>
      </c>
      <c r="N356" s="29" t="s">
        <v>75</v>
      </c>
      <c r="O356" s="28"/>
      <c r="P356" s="28"/>
      <c r="Q356" s="28" t="s">
        <v>76</v>
      </c>
      <c r="R356" s="29"/>
      <c r="S356" s="28"/>
      <c r="T356" s="28" t="s">
        <v>571</v>
      </c>
      <c r="U356" s="28" t="s">
        <v>75</v>
      </c>
      <c r="V356" s="28" t="s">
        <v>75</v>
      </c>
      <c r="W356" s="28"/>
    </row>
    <row r="357" spans="1:23" s="12" customFormat="1" hidden="1">
      <c r="A357" s="46" t="s">
        <v>572</v>
      </c>
      <c r="B357" s="28" t="s">
        <v>1333</v>
      </c>
      <c r="C357" s="28" t="s">
        <v>88</v>
      </c>
      <c r="D357" s="28" t="s">
        <v>673</v>
      </c>
      <c r="E357" s="28" t="s">
        <v>843</v>
      </c>
      <c r="F357" s="28" t="s">
        <v>1548</v>
      </c>
      <c r="G357" s="28" t="s">
        <v>1548</v>
      </c>
      <c r="H357" s="28" t="s">
        <v>698</v>
      </c>
      <c r="I357" s="28" t="str">
        <f>VLOOKUP(F357,표준용어사전!$B:$D,3,FALSE)</f>
        <v>명V50</v>
      </c>
      <c r="J357" s="28" t="s">
        <v>718</v>
      </c>
      <c r="K357" s="27">
        <v>50</v>
      </c>
      <c r="L357" s="29" t="s">
        <v>571</v>
      </c>
      <c r="M357" s="29" t="s">
        <v>720</v>
      </c>
      <c r="N357" s="29" t="s">
        <v>711</v>
      </c>
      <c r="O357" s="28" t="s">
        <v>641</v>
      </c>
      <c r="P357" s="28"/>
      <c r="Q357" s="28" t="s">
        <v>76</v>
      </c>
      <c r="R357" s="29"/>
      <c r="S357" s="28"/>
      <c r="T357" s="28"/>
      <c r="U357" s="28" t="s">
        <v>75</v>
      </c>
      <c r="V357" s="28" t="s">
        <v>75</v>
      </c>
      <c r="W357" s="28"/>
    </row>
    <row r="358" spans="1:23" s="12" customFormat="1" hidden="1">
      <c r="A358" s="46" t="s">
        <v>572</v>
      </c>
      <c r="B358" s="28" t="s">
        <v>1333</v>
      </c>
      <c r="C358" s="28" t="s">
        <v>88</v>
      </c>
      <c r="D358" s="28" t="s">
        <v>673</v>
      </c>
      <c r="E358" s="28" t="s">
        <v>209</v>
      </c>
      <c r="F358" s="28" t="s">
        <v>44</v>
      </c>
      <c r="G358" s="28" t="s">
        <v>44</v>
      </c>
      <c r="H358" s="28" t="s">
        <v>698</v>
      </c>
      <c r="I358" s="28" t="e">
        <f>VLOOKUP(F358,표준용어사전!$B:$D,3,FALSE)</f>
        <v>#N/A</v>
      </c>
      <c r="J358" s="28" t="s">
        <v>718</v>
      </c>
      <c r="K358" s="27">
        <v>2000</v>
      </c>
      <c r="L358" s="29" t="s">
        <v>571</v>
      </c>
      <c r="M358" s="29" t="s">
        <v>728</v>
      </c>
      <c r="N358" s="29" t="s">
        <v>75</v>
      </c>
      <c r="O358" s="28"/>
      <c r="P358" s="28"/>
      <c r="Q358" s="28" t="s">
        <v>1846</v>
      </c>
      <c r="R358" s="29">
        <v>1</v>
      </c>
      <c r="S358" s="28"/>
      <c r="T358" s="28"/>
      <c r="U358" s="28" t="s">
        <v>75</v>
      </c>
      <c r="V358" s="28" t="s">
        <v>75</v>
      </c>
      <c r="W358" s="28"/>
    </row>
    <row r="359" spans="1:23" s="12" customFormat="1" hidden="1">
      <c r="A359" s="46" t="s">
        <v>572</v>
      </c>
      <c r="B359" s="28" t="s">
        <v>1333</v>
      </c>
      <c r="C359" s="28" t="s">
        <v>88</v>
      </c>
      <c r="D359" s="28" t="s">
        <v>673</v>
      </c>
      <c r="E359" s="28" t="s">
        <v>210</v>
      </c>
      <c r="F359" s="28" t="s">
        <v>455</v>
      </c>
      <c r="G359" s="28" t="s">
        <v>455</v>
      </c>
      <c r="H359" s="28" t="s">
        <v>698</v>
      </c>
      <c r="I359" s="28" t="e">
        <f>VLOOKUP(F359,표준용어사전!$B:$D,3,FALSE)</f>
        <v>#N/A</v>
      </c>
      <c r="J359" s="28" t="s">
        <v>713</v>
      </c>
      <c r="K359" s="27" t="s">
        <v>571</v>
      </c>
      <c r="L359" s="29" t="s">
        <v>571</v>
      </c>
      <c r="M359" s="29"/>
      <c r="N359" s="29" t="s">
        <v>75</v>
      </c>
      <c r="O359" s="28"/>
      <c r="P359" s="28"/>
      <c r="Q359" s="28" t="s">
        <v>76</v>
      </c>
      <c r="R359" s="29"/>
      <c r="S359" s="28"/>
      <c r="T359" s="28"/>
      <c r="U359" s="28" t="s">
        <v>75</v>
      </c>
      <c r="V359" s="28" t="s">
        <v>75</v>
      </c>
      <c r="W359" s="28"/>
    </row>
    <row r="360" spans="1:23" s="12" customFormat="1" hidden="1">
      <c r="A360" s="46" t="s">
        <v>572</v>
      </c>
      <c r="B360" s="28" t="s">
        <v>1333</v>
      </c>
      <c r="C360" s="28" t="s">
        <v>88</v>
      </c>
      <c r="D360" s="28" t="s">
        <v>673</v>
      </c>
      <c r="E360" s="28" t="s">
        <v>205</v>
      </c>
      <c r="F360" s="28" t="s">
        <v>453</v>
      </c>
      <c r="G360" s="28" t="s">
        <v>453</v>
      </c>
      <c r="H360" s="28" t="s">
        <v>698</v>
      </c>
      <c r="I360" s="28" t="e">
        <f>VLOOKUP(F360,표준용어사전!$B:$D,3,FALSE)</f>
        <v>#N/A</v>
      </c>
      <c r="J360" s="28" t="s">
        <v>713</v>
      </c>
      <c r="K360" s="27" t="s">
        <v>571</v>
      </c>
      <c r="L360" s="29" t="s">
        <v>571</v>
      </c>
      <c r="M360" s="29"/>
      <c r="N360" s="29" t="s">
        <v>75</v>
      </c>
      <c r="O360" s="28"/>
      <c r="P360" s="28"/>
      <c r="Q360" s="28" t="s">
        <v>76</v>
      </c>
      <c r="R360" s="29"/>
      <c r="S360" s="28"/>
      <c r="T360" s="28"/>
      <c r="U360" s="28" t="s">
        <v>75</v>
      </c>
      <c r="V360" s="28" t="s">
        <v>75</v>
      </c>
      <c r="W360" s="28"/>
    </row>
    <row r="361" spans="1:23" s="12" customFormat="1" hidden="1">
      <c r="A361" s="46" t="s">
        <v>572</v>
      </c>
      <c r="B361" s="28" t="s">
        <v>1333</v>
      </c>
      <c r="C361" s="28" t="s">
        <v>88</v>
      </c>
      <c r="D361" s="28" t="s">
        <v>673</v>
      </c>
      <c r="E361" s="28" t="s">
        <v>204</v>
      </c>
      <c r="F361" s="28" t="s">
        <v>452</v>
      </c>
      <c r="G361" s="28" t="s">
        <v>452</v>
      </c>
      <c r="H361" s="28" t="s">
        <v>698</v>
      </c>
      <c r="I361" s="28" t="e">
        <f>VLOOKUP(F361,표준용어사전!$B:$D,3,FALSE)</f>
        <v>#N/A</v>
      </c>
      <c r="J361" s="28" t="s">
        <v>713</v>
      </c>
      <c r="K361" s="27" t="s">
        <v>571</v>
      </c>
      <c r="L361" s="29" t="s">
        <v>571</v>
      </c>
      <c r="M361" s="29"/>
      <c r="N361" s="29" t="s">
        <v>75</v>
      </c>
      <c r="O361" s="28"/>
      <c r="P361" s="28"/>
      <c r="Q361" s="28" t="s">
        <v>76</v>
      </c>
      <c r="R361" s="29"/>
      <c r="S361" s="28"/>
      <c r="T361" s="28"/>
      <c r="U361" s="28" t="s">
        <v>75</v>
      </c>
      <c r="V361" s="28" t="s">
        <v>75</v>
      </c>
      <c r="W361" s="28"/>
    </row>
    <row r="362" spans="1:23" s="12" customFormat="1" hidden="1">
      <c r="A362" s="46" t="s">
        <v>572</v>
      </c>
      <c r="B362" s="28" t="s">
        <v>1333</v>
      </c>
      <c r="C362" s="28" t="s">
        <v>88</v>
      </c>
      <c r="D362" s="28" t="s">
        <v>673</v>
      </c>
      <c r="E362" s="28" t="s">
        <v>211</v>
      </c>
      <c r="F362" s="28" t="s">
        <v>1593</v>
      </c>
      <c r="G362" s="28" t="s">
        <v>1593</v>
      </c>
      <c r="H362" s="28" t="s">
        <v>698</v>
      </c>
      <c r="I362" s="28" t="e">
        <f>VLOOKUP(F362,표준용어사전!$B:$D,3,FALSE)</f>
        <v>#N/A</v>
      </c>
      <c r="J362" s="28" t="s">
        <v>718</v>
      </c>
      <c r="K362" s="27">
        <v>2000</v>
      </c>
      <c r="L362" s="29" t="s">
        <v>571</v>
      </c>
      <c r="M362" s="29" t="s">
        <v>728</v>
      </c>
      <c r="N362" s="29" t="s">
        <v>75</v>
      </c>
      <c r="O362" s="28"/>
      <c r="P362" s="28"/>
      <c r="Q362" s="28" t="s">
        <v>76</v>
      </c>
      <c r="R362" s="29"/>
      <c r="S362" s="28"/>
      <c r="T362" s="28"/>
      <c r="U362" s="28" t="s">
        <v>75</v>
      </c>
      <c r="V362" s="28" t="s">
        <v>75</v>
      </c>
      <c r="W362" s="28"/>
    </row>
    <row r="363" spans="1:23" s="12" customFormat="1" hidden="1">
      <c r="A363" s="46" t="s">
        <v>572</v>
      </c>
      <c r="B363" s="28" t="s">
        <v>1333</v>
      </c>
      <c r="C363" s="28" t="s">
        <v>88</v>
      </c>
      <c r="D363" s="28" t="s">
        <v>673</v>
      </c>
      <c r="E363" s="28" t="s">
        <v>212</v>
      </c>
      <c r="F363" s="28" t="s">
        <v>456</v>
      </c>
      <c r="G363" s="28" t="s">
        <v>456</v>
      </c>
      <c r="H363" s="28" t="s">
        <v>698</v>
      </c>
      <c r="I363" s="28" t="e">
        <f>VLOOKUP(F363,표준용어사전!$B:$D,3,FALSE)</f>
        <v>#N/A</v>
      </c>
      <c r="J363" s="28" t="s">
        <v>709</v>
      </c>
      <c r="K363" s="27">
        <v>1</v>
      </c>
      <c r="L363" s="29" t="s">
        <v>571</v>
      </c>
      <c r="M363" s="29" t="s">
        <v>722</v>
      </c>
      <c r="N363" s="29" t="s">
        <v>75</v>
      </c>
      <c r="O363" s="28"/>
      <c r="P363" s="28"/>
      <c r="Q363" s="28" t="s">
        <v>76</v>
      </c>
      <c r="R363" s="29"/>
      <c r="S363" s="28"/>
      <c r="T363" s="28" t="s">
        <v>576</v>
      </c>
      <c r="U363" s="28" t="s">
        <v>75</v>
      </c>
      <c r="V363" s="28" t="s">
        <v>75</v>
      </c>
      <c r="W363" s="28"/>
    </row>
    <row r="364" spans="1:23" s="12" customFormat="1" hidden="1">
      <c r="A364" s="46" t="s">
        <v>572</v>
      </c>
      <c r="B364" s="28" t="s">
        <v>1333</v>
      </c>
      <c r="C364" s="28" t="s">
        <v>88</v>
      </c>
      <c r="D364" s="28" t="s">
        <v>673</v>
      </c>
      <c r="E364" s="28" t="s">
        <v>90</v>
      </c>
      <c r="F364" s="28" t="s">
        <v>14</v>
      </c>
      <c r="G364" s="28" t="s">
        <v>14</v>
      </c>
      <c r="H364" s="28" t="s">
        <v>698</v>
      </c>
      <c r="I364" s="28" t="str">
        <f>VLOOKUP(F364,표준용어사전!$B:$D,3,FALSE)</f>
        <v>연월일시분초TS</v>
      </c>
      <c r="J364" s="28" t="s">
        <v>16</v>
      </c>
      <c r="K364" s="27" t="s">
        <v>571</v>
      </c>
      <c r="L364" s="29" t="s">
        <v>571</v>
      </c>
      <c r="M364" s="29" t="s">
        <v>726</v>
      </c>
      <c r="N364" s="29" t="s">
        <v>711</v>
      </c>
      <c r="O364" s="28"/>
      <c r="P364" s="28"/>
      <c r="Q364" s="28" t="s">
        <v>76</v>
      </c>
      <c r="R364" s="29"/>
      <c r="S364" s="28"/>
      <c r="T364" s="28" t="s">
        <v>574</v>
      </c>
      <c r="U364" s="28" t="s">
        <v>75</v>
      </c>
      <c r="V364" s="28" t="s">
        <v>75</v>
      </c>
      <c r="W364" s="28"/>
    </row>
    <row r="365" spans="1:23" s="12" customFormat="1" hidden="1">
      <c r="A365" s="46" t="s">
        <v>572</v>
      </c>
      <c r="B365" s="28" t="s">
        <v>1333</v>
      </c>
      <c r="C365" s="28" t="s">
        <v>88</v>
      </c>
      <c r="D365" s="28" t="s">
        <v>673</v>
      </c>
      <c r="E365" s="28" t="s">
        <v>91</v>
      </c>
      <c r="F365" s="28" t="s">
        <v>369</v>
      </c>
      <c r="G365" s="28" t="s">
        <v>369</v>
      </c>
      <c r="H365" s="28" t="s">
        <v>698</v>
      </c>
      <c r="I365" s="28" t="str">
        <f>VLOOKUP(F365,표준용어사전!$B:$D,3,FALSE)</f>
        <v>명V20</v>
      </c>
      <c r="J365" s="28" t="s">
        <v>78</v>
      </c>
      <c r="K365" s="27">
        <v>20</v>
      </c>
      <c r="L365" s="29" t="s">
        <v>571</v>
      </c>
      <c r="M365" s="29" t="s">
        <v>727</v>
      </c>
      <c r="N365" s="29" t="s">
        <v>75</v>
      </c>
      <c r="O365" s="28"/>
      <c r="P365" s="28"/>
      <c r="Q365" s="28" t="s">
        <v>76</v>
      </c>
      <c r="R365" s="29"/>
      <c r="S365" s="28"/>
      <c r="T365" s="28" t="s">
        <v>571</v>
      </c>
      <c r="U365" s="28" t="s">
        <v>75</v>
      </c>
      <c r="V365" s="28" t="s">
        <v>75</v>
      </c>
      <c r="W365" s="28"/>
    </row>
    <row r="366" spans="1:23" s="12" customFormat="1" hidden="1">
      <c r="A366" s="46" t="s">
        <v>572</v>
      </c>
      <c r="B366" s="28" t="s">
        <v>1333</v>
      </c>
      <c r="C366" s="28" t="s">
        <v>88</v>
      </c>
      <c r="D366" s="28" t="s">
        <v>673</v>
      </c>
      <c r="E366" s="28" t="s">
        <v>92</v>
      </c>
      <c r="F366" s="28" t="s">
        <v>15</v>
      </c>
      <c r="G366" s="28" t="s">
        <v>15</v>
      </c>
      <c r="H366" s="28" t="s">
        <v>698</v>
      </c>
      <c r="I366" s="28" t="str">
        <f>VLOOKUP(F366,표준용어사전!$B:$D,3,FALSE)</f>
        <v>연월일시분초TS</v>
      </c>
      <c r="J366" s="28" t="s">
        <v>16</v>
      </c>
      <c r="K366" s="27" t="s">
        <v>571</v>
      </c>
      <c r="L366" s="29" t="s">
        <v>571</v>
      </c>
      <c r="M366" s="29" t="s">
        <v>726</v>
      </c>
      <c r="N366" s="29" t="s">
        <v>75</v>
      </c>
      <c r="O366" s="28"/>
      <c r="P366" s="28"/>
      <c r="Q366" s="28" t="s">
        <v>76</v>
      </c>
      <c r="R366" s="29"/>
      <c r="S366" s="28"/>
      <c r="T366" s="28" t="s">
        <v>574</v>
      </c>
      <c r="U366" s="28" t="s">
        <v>75</v>
      </c>
      <c r="V366" s="28" t="s">
        <v>75</v>
      </c>
      <c r="W366" s="28"/>
    </row>
    <row r="367" spans="1:23" s="12" customFormat="1" hidden="1">
      <c r="A367" s="46" t="s">
        <v>572</v>
      </c>
      <c r="B367" s="28" t="s">
        <v>1333</v>
      </c>
      <c r="C367" s="28" t="s">
        <v>88</v>
      </c>
      <c r="D367" s="28" t="s">
        <v>673</v>
      </c>
      <c r="E367" s="28" t="s">
        <v>93</v>
      </c>
      <c r="F367" s="28" t="s">
        <v>370</v>
      </c>
      <c r="G367" s="28" t="s">
        <v>370</v>
      </c>
      <c r="H367" s="28" t="s">
        <v>698</v>
      </c>
      <c r="I367" s="28" t="str">
        <f>VLOOKUP(F367,표준용어사전!$B:$D,3,FALSE)</f>
        <v>명V20</v>
      </c>
      <c r="J367" s="28" t="s">
        <v>78</v>
      </c>
      <c r="K367" s="27">
        <v>20</v>
      </c>
      <c r="L367" s="29" t="s">
        <v>571</v>
      </c>
      <c r="M367" s="29" t="s">
        <v>727</v>
      </c>
      <c r="N367" s="29" t="s">
        <v>75</v>
      </c>
      <c r="O367" s="28"/>
      <c r="P367" s="28"/>
      <c r="Q367" s="28" t="s">
        <v>76</v>
      </c>
      <c r="R367" s="29"/>
      <c r="S367" s="28"/>
      <c r="T367" s="28" t="s">
        <v>571</v>
      </c>
      <c r="U367" s="28" t="s">
        <v>75</v>
      </c>
      <c r="V367" s="28" t="s">
        <v>75</v>
      </c>
      <c r="W367" s="28"/>
    </row>
    <row r="368" spans="1:23" s="12" customFormat="1" hidden="1">
      <c r="A368" s="46" t="s">
        <v>572</v>
      </c>
      <c r="B368" s="28" t="s">
        <v>1333</v>
      </c>
      <c r="C368" s="28" t="s">
        <v>88</v>
      </c>
      <c r="D368" s="28" t="s">
        <v>673</v>
      </c>
      <c r="E368" s="28" t="s">
        <v>844</v>
      </c>
      <c r="F368" s="28" t="s">
        <v>756</v>
      </c>
      <c r="G368" s="28" t="s">
        <v>756</v>
      </c>
      <c r="H368" s="28" t="s">
        <v>698</v>
      </c>
      <c r="I368" s="28" t="e">
        <f>VLOOKUP(F368,표준용어사전!$B:$D,3,FALSE)</f>
        <v>#N/A</v>
      </c>
      <c r="J368" s="28" t="s">
        <v>709</v>
      </c>
      <c r="K368" s="27">
        <v>1</v>
      </c>
      <c r="L368" s="29" t="s">
        <v>571</v>
      </c>
      <c r="M368" s="29" t="s">
        <v>722</v>
      </c>
      <c r="N368" s="29" t="s">
        <v>75</v>
      </c>
      <c r="O368" s="28"/>
      <c r="P368" s="28"/>
      <c r="Q368" s="28" t="s">
        <v>76</v>
      </c>
      <c r="R368" s="29"/>
      <c r="S368" s="28"/>
      <c r="T368" s="28" t="s">
        <v>576</v>
      </c>
      <c r="U368" s="28" t="s">
        <v>75</v>
      </c>
      <c r="V368" s="28" t="s">
        <v>75</v>
      </c>
      <c r="W368" s="28"/>
    </row>
    <row r="369" spans="1:23" s="12" customFormat="1" hidden="1">
      <c r="A369" s="46" t="s">
        <v>711</v>
      </c>
      <c r="B369" s="28" t="s">
        <v>1410</v>
      </c>
      <c r="C369" s="28" t="s">
        <v>88</v>
      </c>
      <c r="D369" s="31" t="s">
        <v>1635</v>
      </c>
      <c r="E369" s="31" t="s">
        <v>1908</v>
      </c>
      <c r="F369" s="31" t="s">
        <v>1632</v>
      </c>
      <c r="G369" s="31" t="s">
        <v>1632</v>
      </c>
      <c r="H369" s="31" t="s">
        <v>1636</v>
      </c>
      <c r="I369" s="28" t="e">
        <f>VLOOKUP(F369,표준용어사전!$B:$D,3,FALSE)</f>
        <v>#N/A</v>
      </c>
      <c r="J369" s="28" t="s">
        <v>709</v>
      </c>
      <c r="K369" s="24">
        <v>4</v>
      </c>
      <c r="L369" s="29" t="s">
        <v>571</v>
      </c>
      <c r="M369" s="29" t="s">
        <v>929</v>
      </c>
      <c r="N369" s="29" t="s">
        <v>572</v>
      </c>
      <c r="O369" s="28"/>
      <c r="P369" s="28"/>
      <c r="Q369" s="28" t="s">
        <v>76</v>
      </c>
      <c r="R369" s="29"/>
      <c r="S369" s="28"/>
      <c r="T369" s="28" t="s">
        <v>1634</v>
      </c>
      <c r="U369" s="28" t="s">
        <v>75</v>
      </c>
      <c r="V369" s="28" t="s">
        <v>75</v>
      </c>
      <c r="W369" s="28"/>
    </row>
    <row r="370" spans="1:23" s="12" customFormat="1" hidden="1">
      <c r="A370" s="46" t="s">
        <v>572</v>
      </c>
      <c r="B370" s="28" t="s">
        <v>1333</v>
      </c>
      <c r="C370" s="28" t="s">
        <v>88</v>
      </c>
      <c r="D370" s="28" t="s">
        <v>674</v>
      </c>
      <c r="E370" s="28" t="s">
        <v>89</v>
      </c>
      <c r="F370" s="28" t="s">
        <v>501</v>
      </c>
      <c r="G370" s="28" t="s">
        <v>501</v>
      </c>
      <c r="H370" s="28" t="s">
        <v>699</v>
      </c>
      <c r="I370" s="28" t="str">
        <f>VLOOKUP(F370,표준용어사전!$B:$D,3,FALSE)</f>
        <v>명V20</v>
      </c>
      <c r="J370" s="28" t="s">
        <v>718</v>
      </c>
      <c r="K370" s="27">
        <v>50</v>
      </c>
      <c r="L370" s="29" t="s">
        <v>571</v>
      </c>
      <c r="M370" s="29" t="s">
        <v>720</v>
      </c>
      <c r="N370" s="29" t="s">
        <v>711</v>
      </c>
      <c r="O370" s="28" t="s">
        <v>641</v>
      </c>
      <c r="P370" s="28"/>
      <c r="Q370" s="28" t="s">
        <v>76</v>
      </c>
      <c r="R370" s="29"/>
      <c r="S370" s="28"/>
      <c r="T370" s="28"/>
      <c r="U370" s="28" t="s">
        <v>75</v>
      </c>
      <c r="V370" s="28" t="s">
        <v>75</v>
      </c>
      <c r="W370" s="28"/>
    </row>
    <row r="371" spans="1:23" s="12" customFormat="1" hidden="1">
      <c r="A371" s="46" t="s">
        <v>572</v>
      </c>
      <c r="B371" s="28" t="s">
        <v>1333</v>
      </c>
      <c r="C371" s="28" t="s">
        <v>88</v>
      </c>
      <c r="D371" s="28" t="s">
        <v>674</v>
      </c>
      <c r="E371" s="28" t="s">
        <v>843</v>
      </c>
      <c r="F371" s="28" t="s">
        <v>1548</v>
      </c>
      <c r="G371" s="28" t="s">
        <v>1548</v>
      </c>
      <c r="H371" s="28" t="s">
        <v>699</v>
      </c>
      <c r="I371" s="28" t="str">
        <f>VLOOKUP(F371,표준용어사전!$B:$D,3,FALSE)</f>
        <v>명V50</v>
      </c>
      <c r="J371" s="28" t="s">
        <v>718</v>
      </c>
      <c r="K371" s="27">
        <v>50</v>
      </c>
      <c r="L371" s="29" t="s">
        <v>571</v>
      </c>
      <c r="M371" s="29" t="s">
        <v>720</v>
      </c>
      <c r="N371" s="29" t="s">
        <v>711</v>
      </c>
      <c r="O371" s="28" t="s">
        <v>573</v>
      </c>
      <c r="P371" s="28"/>
      <c r="Q371" s="28" t="s">
        <v>1384</v>
      </c>
      <c r="R371" s="29">
        <v>1</v>
      </c>
      <c r="S371" s="28"/>
      <c r="T371" s="28"/>
      <c r="U371" s="28" t="s">
        <v>75</v>
      </c>
      <c r="V371" s="28" t="s">
        <v>75</v>
      </c>
      <c r="W371" s="28"/>
    </row>
    <row r="372" spans="1:23" s="12" customFormat="1" hidden="1">
      <c r="A372" s="46" t="s">
        <v>572</v>
      </c>
      <c r="B372" s="28" t="s">
        <v>1333</v>
      </c>
      <c r="C372" s="28" t="s">
        <v>88</v>
      </c>
      <c r="D372" s="28" t="s">
        <v>674</v>
      </c>
      <c r="E372" s="28" t="s">
        <v>845</v>
      </c>
      <c r="F372" s="28" t="s">
        <v>757</v>
      </c>
      <c r="G372" s="28" t="s">
        <v>757</v>
      </c>
      <c r="H372" s="28" t="s">
        <v>699</v>
      </c>
      <c r="I372" s="28" t="str">
        <f>VLOOKUP(F372,표준용어사전!$B:$D,3,FALSE)</f>
        <v>여부C1</v>
      </c>
      <c r="J372" s="28" t="s">
        <v>709</v>
      </c>
      <c r="K372" s="27">
        <v>1</v>
      </c>
      <c r="L372" s="29" t="s">
        <v>571</v>
      </c>
      <c r="M372" s="29" t="s">
        <v>722</v>
      </c>
      <c r="N372" s="29" t="s">
        <v>572</v>
      </c>
      <c r="O372" s="28"/>
      <c r="P372" s="28"/>
      <c r="Q372" s="28" t="s">
        <v>1385</v>
      </c>
      <c r="R372" s="29">
        <v>2</v>
      </c>
      <c r="S372" s="28"/>
      <c r="T372" s="28" t="s">
        <v>576</v>
      </c>
      <c r="U372" s="28" t="s">
        <v>75</v>
      </c>
      <c r="V372" s="28" t="s">
        <v>75</v>
      </c>
      <c r="W372" s="28"/>
    </row>
    <row r="373" spans="1:23" s="12" customFormat="1" hidden="1">
      <c r="A373" s="46" t="s">
        <v>572</v>
      </c>
      <c r="B373" s="28" t="s">
        <v>1333</v>
      </c>
      <c r="C373" s="28" t="s">
        <v>88</v>
      </c>
      <c r="D373" s="28" t="s">
        <v>674</v>
      </c>
      <c r="E373" s="28" t="s">
        <v>90</v>
      </c>
      <c r="F373" s="28" t="s">
        <v>14</v>
      </c>
      <c r="G373" s="28" t="s">
        <v>14</v>
      </c>
      <c r="H373" s="28" t="s">
        <v>699</v>
      </c>
      <c r="I373" s="28" t="str">
        <f>VLOOKUP(F373,표준용어사전!$B:$D,3,FALSE)</f>
        <v>연월일시분초TS</v>
      </c>
      <c r="J373" s="28" t="s">
        <v>16</v>
      </c>
      <c r="K373" s="27" t="s">
        <v>571</v>
      </c>
      <c r="L373" s="29" t="s">
        <v>571</v>
      </c>
      <c r="M373" s="29" t="s">
        <v>726</v>
      </c>
      <c r="N373" s="29" t="s">
        <v>711</v>
      </c>
      <c r="O373" s="28"/>
      <c r="P373" s="28"/>
      <c r="Q373" s="28" t="s">
        <v>76</v>
      </c>
      <c r="R373" s="29"/>
      <c r="S373" s="28"/>
      <c r="T373" s="28" t="s">
        <v>574</v>
      </c>
      <c r="U373" s="28" t="s">
        <v>75</v>
      </c>
      <c r="V373" s="28" t="s">
        <v>75</v>
      </c>
      <c r="W373" s="28"/>
    </row>
    <row r="374" spans="1:23" s="12" customFormat="1" hidden="1">
      <c r="A374" s="46" t="s">
        <v>572</v>
      </c>
      <c r="B374" s="28" t="s">
        <v>1333</v>
      </c>
      <c r="C374" s="28" t="s">
        <v>88</v>
      </c>
      <c r="D374" s="28" t="s">
        <v>674</v>
      </c>
      <c r="E374" s="28" t="s">
        <v>91</v>
      </c>
      <c r="F374" s="28" t="s">
        <v>369</v>
      </c>
      <c r="G374" s="28" t="s">
        <v>369</v>
      </c>
      <c r="H374" s="28" t="s">
        <v>699</v>
      </c>
      <c r="I374" s="28" t="str">
        <f>VLOOKUP(F374,표준용어사전!$B:$D,3,FALSE)</f>
        <v>명V20</v>
      </c>
      <c r="J374" s="28" t="s">
        <v>78</v>
      </c>
      <c r="K374" s="27">
        <v>20</v>
      </c>
      <c r="L374" s="29" t="s">
        <v>571</v>
      </c>
      <c r="M374" s="29" t="s">
        <v>727</v>
      </c>
      <c r="N374" s="29" t="s">
        <v>75</v>
      </c>
      <c r="O374" s="28"/>
      <c r="P374" s="28"/>
      <c r="Q374" s="28" t="s">
        <v>76</v>
      </c>
      <c r="R374" s="29"/>
      <c r="S374" s="28"/>
      <c r="T374" s="28" t="s">
        <v>571</v>
      </c>
      <c r="U374" s="28" t="s">
        <v>75</v>
      </c>
      <c r="V374" s="28" t="s">
        <v>75</v>
      </c>
      <c r="W374" s="28"/>
    </row>
    <row r="375" spans="1:23" s="12" customFormat="1" hidden="1">
      <c r="A375" s="46" t="s">
        <v>572</v>
      </c>
      <c r="B375" s="28" t="s">
        <v>1333</v>
      </c>
      <c r="C375" s="28" t="s">
        <v>88</v>
      </c>
      <c r="D375" s="28" t="s">
        <v>674</v>
      </c>
      <c r="E375" s="28" t="s">
        <v>92</v>
      </c>
      <c r="F375" s="28" t="s">
        <v>15</v>
      </c>
      <c r="G375" s="28" t="s">
        <v>15</v>
      </c>
      <c r="H375" s="28" t="s">
        <v>699</v>
      </c>
      <c r="I375" s="28" t="str">
        <f>VLOOKUP(F375,표준용어사전!$B:$D,3,FALSE)</f>
        <v>연월일시분초TS</v>
      </c>
      <c r="J375" s="28" t="s">
        <v>16</v>
      </c>
      <c r="K375" s="27" t="s">
        <v>571</v>
      </c>
      <c r="L375" s="29" t="s">
        <v>571</v>
      </c>
      <c r="M375" s="29" t="s">
        <v>726</v>
      </c>
      <c r="N375" s="29" t="s">
        <v>75</v>
      </c>
      <c r="O375" s="28"/>
      <c r="P375" s="28"/>
      <c r="Q375" s="28" t="s">
        <v>76</v>
      </c>
      <c r="R375" s="29"/>
      <c r="S375" s="28"/>
      <c r="T375" s="28" t="s">
        <v>574</v>
      </c>
      <c r="U375" s="28" t="s">
        <v>75</v>
      </c>
      <c r="V375" s="28" t="s">
        <v>75</v>
      </c>
      <c r="W375" s="28"/>
    </row>
    <row r="376" spans="1:23" s="12" customFormat="1" hidden="1">
      <c r="A376" s="46" t="s">
        <v>572</v>
      </c>
      <c r="B376" s="28" t="s">
        <v>1333</v>
      </c>
      <c r="C376" s="28" t="s">
        <v>88</v>
      </c>
      <c r="D376" s="28" t="s">
        <v>674</v>
      </c>
      <c r="E376" s="28" t="s">
        <v>93</v>
      </c>
      <c r="F376" s="28" t="s">
        <v>370</v>
      </c>
      <c r="G376" s="28" t="s">
        <v>370</v>
      </c>
      <c r="H376" s="28" t="s">
        <v>699</v>
      </c>
      <c r="I376" s="28" t="str">
        <f>VLOOKUP(F376,표준용어사전!$B:$D,3,FALSE)</f>
        <v>명V20</v>
      </c>
      <c r="J376" s="28" t="s">
        <v>78</v>
      </c>
      <c r="K376" s="27">
        <v>20</v>
      </c>
      <c r="L376" s="29" t="s">
        <v>571</v>
      </c>
      <c r="M376" s="29" t="s">
        <v>727</v>
      </c>
      <c r="N376" s="29" t="s">
        <v>75</v>
      </c>
      <c r="O376" s="28"/>
      <c r="P376" s="28"/>
      <c r="Q376" s="28" t="s">
        <v>76</v>
      </c>
      <c r="R376" s="29"/>
      <c r="S376" s="28"/>
      <c r="T376" s="28" t="s">
        <v>571</v>
      </c>
      <c r="U376" s="28" t="s">
        <v>75</v>
      </c>
      <c r="V376" s="28" t="s">
        <v>75</v>
      </c>
      <c r="W376" s="28"/>
    </row>
    <row r="377" spans="1:23" s="12" customFormat="1" hidden="1">
      <c r="A377" s="46" t="s">
        <v>572</v>
      </c>
      <c r="B377" s="28" t="s">
        <v>1333</v>
      </c>
      <c r="C377" s="28" t="s">
        <v>88</v>
      </c>
      <c r="D377" s="28" t="s">
        <v>675</v>
      </c>
      <c r="E377" s="28" t="s">
        <v>846</v>
      </c>
      <c r="F377" s="28" t="s">
        <v>1549</v>
      </c>
      <c r="G377" s="28" t="s">
        <v>1549</v>
      </c>
      <c r="H377" s="28" t="s">
        <v>1550</v>
      </c>
      <c r="I377" s="28" t="e">
        <f>VLOOKUP(F377,표준용어사전!$B:$D,3,FALSE)</f>
        <v>#N/A</v>
      </c>
      <c r="J377" s="28" t="s">
        <v>717</v>
      </c>
      <c r="K377" s="27" t="s">
        <v>571</v>
      </c>
      <c r="L377" s="29" t="s">
        <v>571</v>
      </c>
      <c r="M377" s="29"/>
      <c r="N377" s="29" t="s">
        <v>711</v>
      </c>
      <c r="O377" s="28" t="s">
        <v>73</v>
      </c>
      <c r="P377" s="28"/>
      <c r="Q377" s="28" t="s">
        <v>76</v>
      </c>
      <c r="R377" s="29"/>
      <c r="S377" s="28"/>
      <c r="T377" s="28"/>
      <c r="U377" s="28" t="s">
        <v>75</v>
      </c>
      <c r="V377" s="28" t="s">
        <v>75</v>
      </c>
      <c r="W377" s="28"/>
    </row>
    <row r="378" spans="1:23" s="12" customFormat="1" hidden="1">
      <c r="A378" s="46" t="s">
        <v>572</v>
      </c>
      <c r="B378" s="28" t="s">
        <v>1333</v>
      </c>
      <c r="C378" s="28" t="s">
        <v>88</v>
      </c>
      <c r="D378" s="28" t="s">
        <v>675</v>
      </c>
      <c r="E378" s="28" t="s">
        <v>246</v>
      </c>
      <c r="F378" s="28" t="s">
        <v>17</v>
      </c>
      <c r="G378" s="28" t="s">
        <v>17</v>
      </c>
      <c r="H378" s="28" t="s">
        <v>1550</v>
      </c>
      <c r="I378" s="28" t="str">
        <f>VLOOKUP(F378,표준용어사전!$B:$D,3,FALSE)</f>
        <v>명V20</v>
      </c>
      <c r="J378" s="28" t="s">
        <v>718</v>
      </c>
      <c r="K378" s="27">
        <v>20</v>
      </c>
      <c r="L378" s="29" t="s">
        <v>571</v>
      </c>
      <c r="M378" s="29" t="s">
        <v>727</v>
      </c>
      <c r="N378" s="29" t="s">
        <v>711</v>
      </c>
      <c r="O378" s="28"/>
      <c r="P378" s="28"/>
      <c r="Q378" s="28" t="s">
        <v>76</v>
      </c>
      <c r="R378" s="29"/>
      <c r="S378" s="28"/>
      <c r="T378" s="28"/>
      <c r="U378" s="28" t="s">
        <v>75</v>
      </c>
      <c r="V378" s="28" t="s">
        <v>75</v>
      </c>
      <c r="W378" s="28"/>
    </row>
    <row r="379" spans="1:23" s="12" customFormat="1" hidden="1">
      <c r="A379" s="46" t="s">
        <v>572</v>
      </c>
      <c r="B379" s="28" t="s">
        <v>1333</v>
      </c>
      <c r="C379" s="28" t="s">
        <v>88</v>
      </c>
      <c r="D379" s="28" t="s">
        <v>675</v>
      </c>
      <c r="E379" s="28" t="s">
        <v>89</v>
      </c>
      <c r="F379" s="28" t="s">
        <v>501</v>
      </c>
      <c r="G379" s="28" t="s">
        <v>501</v>
      </c>
      <c r="H379" s="28" t="s">
        <v>1550</v>
      </c>
      <c r="I379" s="28" t="str">
        <f>VLOOKUP(F379,표준용어사전!$B:$D,3,FALSE)</f>
        <v>명V20</v>
      </c>
      <c r="J379" s="28" t="s">
        <v>718</v>
      </c>
      <c r="K379" s="27">
        <v>50</v>
      </c>
      <c r="L379" s="29" t="s">
        <v>571</v>
      </c>
      <c r="M379" s="29" t="s">
        <v>720</v>
      </c>
      <c r="N379" s="29" t="s">
        <v>711</v>
      </c>
      <c r="O379" s="28"/>
      <c r="P379" s="28"/>
      <c r="Q379" s="28" t="s">
        <v>1845</v>
      </c>
      <c r="R379" s="29">
        <v>2</v>
      </c>
      <c r="S379" s="28"/>
      <c r="T379" s="28"/>
      <c r="U379" s="28" t="s">
        <v>75</v>
      </c>
      <c r="V379" s="28" t="s">
        <v>75</v>
      </c>
      <c r="W379" s="28"/>
    </row>
    <row r="380" spans="1:23" s="12" customFormat="1" hidden="1">
      <c r="A380" s="46" t="s">
        <v>572</v>
      </c>
      <c r="B380" s="28" t="s">
        <v>1333</v>
      </c>
      <c r="C380" s="28" t="s">
        <v>88</v>
      </c>
      <c r="D380" s="28" t="s">
        <v>675</v>
      </c>
      <c r="E380" s="28" t="s">
        <v>268</v>
      </c>
      <c r="F380" s="28" t="s">
        <v>500</v>
      </c>
      <c r="G380" s="28" t="s">
        <v>763</v>
      </c>
      <c r="H380" s="28" t="s">
        <v>1550</v>
      </c>
      <c r="I380" s="28" t="str">
        <f>VLOOKUP(F380,표준용어사전!$B:$D,3,FALSE)</f>
        <v>코드C1</v>
      </c>
      <c r="J380" s="28" t="s">
        <v>709</v>
      </c>
      <c r="K380" s="27">
        <v>1</v>
      </c>
      <c r="L380" s="29" t="s">
        <v>571</v>
      </c>
      <c r="M380" s="29" t="s">
        <v>722</v>
      </c>
      <c r="N380" s="29" t="s">
        <v>572</v>
      </c>
      <c r="O380" s="28"/>
      <c r="P380" s="28"/>
      <c r="Q380" s="28" t="s">
        <v>1386</v>
      </c>
      <c r="R380" s="29">
        <v>1</v>
      </c>
      <c r="S380" s="28"/>
      <c r="T380" s="28"/>
      <c r="U380" s="28" t="s">
        <v>75</v>
      </c>
      <c r="V380" s="28" t="s">
        <v>75</v>
      </c>
      <c r="W380" s="28"/>
    </row>
    <row r="381" spans="1:23" s="12" customFormat="1" hidden="1">
      <c r="A381" s="46" t="s">
        <v>572</v>
      </c>
      <c r="B381" s="28" t="s">
        <v>1333</v>
      </c>
      <c r="C381" s="28" t="s">
        <v>88</v>
      </c>
      <c r="D381" s="28" t="s">
        <v>675</v>
      </c>
      <c r="E381" s="28" t="s">
        <v>252</v>
      </c>
      <c r="F381" s="28" t="s">
        <v>77</v>
      </c>
      <c r="G381" s="28" t="s">
        <v>77</v>
      </c>
      <c r="H381" s="28" t="s">
        <v>1550</v>
      </c>
      <c r="I381" s="28" t="str">
        <f>VLOOKUP(F381,표준용어사전!$B:$D,3,FALSE)</f>
        <v>내용TXT</v>
      </c>
      <c r="J381" s="28" t="s">
        <v>713</v>
      </c>
      <c r="K381" s="27" t="s">
        <v>571</v>
      </c>
      <c r="L381" s="29" t="s">
        <v>571</v>
      </c>
      <c r="M381" s="29"/>
      <c r="N381" s="29" t="s">
        <v>572</v>
      </c>
      <c r="O381" s="28"/>
      <c r="P381" s="28"/>
      <c r="Q381" s="28" t="s">
        <v>76</v>
      </c>
      <c r="R381" s="29"/>
      <c r="S381" s="28"/>
      <c r="T381" s="28"/>
      <c r="U381" s="28" t="s">
        <v>75</v>
      </c>
      <c r="V381" s="28" t="s">
        <v>75</v>
      </c>
      <c r="W381" s="28"/>
    </row>
    <row r="382" spans="1:23" s="12" customFormat="1" hidden="1">
      <c r="A382" s="46" t="s">
        <v>572</v>
      </c>
      <c r="B382" s="28" t="s">
        <v>1333</v>
      </c>
      <c r="C382" s="28" t="s">
        <v>88</v>
      </c>
      <c r="D382" s="28" t="s">
        <v>675</v>
      </c>
      <c r="E382" s="28" t="s">
        <v>90</v>
      </c>
      <c r="F382" s="28" t="s">
        <v>14</v>
      </c>
      <c r="G382" s="28" t="s">
        <v>14</v>
      </c>
      <c r="H382" s="28" t="s">
        <v>1550</v>
      </c>
      <c r="I382" s="28" t="str">
        <f>VLOOKUP(F382,표준용어사전!$B:$D,3,FALSE)</f>
        <v>연월일시분초TS</v>
      </c>
      <c r="J382" s="28" t="s">
        <v>16</v>
      </c>
      <c r="K382" s="27" t="s">
        <v>571</v>
      </c>
      <c r="L382" s="29" t="s">
        <v>571</v>
      </c>
      <c r="M382" s="29" t="s">
        <v>726</v>
      </c>
      <c r="N382" s="29" t="s">
        <v>711</v>
      </c>
      <c r="O382" s="28"/>
      <c r="P382" s="28"/>
      <c r="Q382" s="28" t="s">
        <v>76</v>
      </c>
      <c r="R382" s="29"/>
      <c r="S382" s="28"/>
      <c r="T382" s="28" t="s">
        <v>574</v>
      </c>
      <c r="U382" s="28" t="s">
        <v>75</v>
      </c>
      <c r="V382" s="28" t="s">
        <v>75</v>
      </c>
      <c r="W382" s="28"/>
    </row>
    <row r="383" spans="1:23" s="12" customFormat="1" hidden="1">
      <c r="A383" s="46" t="s">
        <v>572</v>
      </c>
      <c r="B383" s="28" t="s">
        <v>1333</v>
      </c>
      <c r="C383" s="28" t="s">
        <v>88</v>
      </c>
      <c r="D383" s="28" t="s">
        <v>675</v>
      </c>
      <c r="E383" s="28" t="s">
        <v>91</v>
      </c>
      <c r="F383" s="28" t="s">
        <v>369</v>
      </c>
      <c r="G383" s="28" t="s">
        <v>369</v>
      </c>
      <c r="H383" s="28" t="s">
        <v>1550</v>
      </c>
      <c r="I383" s="28" t="str">
        <f>VLOOKUP(F383,표준용어사전!$B:$D,3,FALSE)</f>
        <v>명V20</v>
      </c>
      <c r="J383" s="28" t="s">
        <v>78</v>
      </c>
      <c r="K383" s="27">
        <v>20</v>
      </c>
      <c r="L383" s="29" t="s">
        <v>571</v>
      </c>
      <c r="M383" s="29" t="s">
        <v>727</v>
      </c>
      <c r="N383" s="29" t="s">
        <v>75</v>
      </c>
      <c r="O383" s="28"/>
      <c r="P383" s="28"/>
      <c r="Q383" s="28" t="s">
        <v>76</v>
      </c>
      <c r="R383" s="29"/>
      <c r="S383" s="28"/>
      <c r="T383" s="28" t="s">
        <v>571</v>
      </c>
      <c r="U383" s="28" t="s">
        <v>75</v>
      </c>
      <c r="V383" s="28" t="s">
        <v>75</v>
      </c>
      <c r="W383" s="28"/>
    </row>
    <row r="384" spans="1:23" s="12" customFormat="1" hidden="1">
      <c r="A384" s="46" t="s">
        <v>572</v>
      </c>
      <c r="B384" s="28" t="s">
        <v>1333</v>
      </c>
      <c r="C384" s="28" t="s">
        <v>88</v>
      </c>
      <c r="D384" s="28" t="s">
        <v>675</v>
      </c>
      <c r="E384" s="28" t="s">
        <v>92</v>
      </c>
      <c r="F384" s="28" t="s">
        <v>15</v>
      </c>
      <c r="G384" s="28" t="s">
        <v>15</v>
      </c>
      <c r="H384" s="28" t="s">
        <v>1550</v>
      </c>
      <c r="I384" s="28" t="str">
        <f>VLOOKUP(F384,표준용어사전!$B:$D,3,FALSE)</f>
        <v>연월일시분초TS</v>
      </c>
      <c r="J384" s="28" t="s">
        <v>16</v>
      </c>
      <c r="K384" s="27" t="s">
        <v>571</v>
      </c>
      <c r="L384" s="29" t="s">
        <v>571</v>
      </c>
      <c r="M384" s="29" t="s">
        <v>726</v>
      </c>
      <c r="N384" s="29" t="s">
        <v>75</v>
      </c>
      <c r="O384" s="28"/>
      <c r="P384" s="28"/>
      <c r="Q384" s="28" t="s">
        <v>76</v>
      </c>
      <c r="R384" s="29"/>
      <c r="S384" s="28"/>
      <c r="T384" s="28" t="s">
        <v>574</v>
      </c>
      <c r="U384" s="28" t="s">
        <v>75</v>
      </c>
      <c r="V384" s="28" t="s">
        <v>75</v>
      </c>
      <c r="W384" s="28"/>
    </row>
    <row r="385" spans="1:23" s="12" customFormat="1" hidden="1">
      <c r="A385" s="46" t="s">
        <v>572</v>
      </c>
      <c r="B385" s="28" t="s">
        <v>1333</v>
      </c>
      <c r="C385" s="28" t="s">
        <v>88</v>
      </c>
      <c r="D385" s="28" t="s">
        <v>675</v>
      </c>
      <c r="E385" s="28" t="s">
        <v>93</v>
      </c>
      <c r="F385" s="28" t="s">
        <v>370</v>
      </c>
      <c r="G385" s="28" t="s">
        <v>370</v>
      </c>
      <c r="H385" s="28" t="s">
        <v>1550</v>
      </c>
      <c r="I385" s="28" t="str">
        <f>VLOOKUP(F385,표준용어사전!$B:$D,3,FALSE)</f>
        <v>명V20</v>
      </c>
      <c r="J385" s="28" t="s">
        <v>78</v>
      </c>
      <c r="K385" s="27">
        <v>20</v>
      </c>
      <c r="L385" s="29" t="s">
        <v>571</v>
      </c>
      <c r="M385" s="29" t="s">
        <v>727</v>
      </c>
      <c r="N385" s="29" t="s">
        <v>75</v>
      </c>
      <c r="O385" s="28"/>
      <c r="P385" s="28"/>
      <c r="Q385" s="28" t="s">
        <v>76</v>
      </c>
      <c r="R385" s="29"/>
      <c r="S385" s="28"/>
      <c r="T385" s="28" t="s">
        <v>571</v>
      </c>
      <c r="U385" s="28" t="s">
        <v>75</v>
      </c>
      <c r="V385" s="28" t="s">
        <v>75</v>
      </c>
      <c r="W385" s="28"/>
    </row>
    <row r="386" spans="1:23" s="12" customFormat="1" hidden="1">
      <c r="A386" s="46" t="s">
        <v>572</v>
      </c>
      <c r="B386" s="28" t="s">
        <v>1333</v>
      </c>
      <c r="C386" s="28" t="s">
        <v>88</v>
      </c>
      <c r="D386" s="28" t="s">
        <v>676</v>
      </c>
      <c r="E386" s="28" t="s">
        <v>847</v>
      </c>
      <c r="F386" s="28" t="s">
        <v>758</v>
      </c>
      <c r="G386" s="28" t="s">
        <v>758</v>
      </c>
      <c r="H386" s="28" t="s">
        <v>700</v>
      </c>
      <c r="I386" s="28" t="e">
        <f>VLOOKUP(F386,표준용어사전!$B:$D,3,FALSE)</f>
        <v>#N/A</v>
      </c>
      <c r="J386" s="28" t="s">
        <v>717</v>
      </c>
      <c r="K386" s="27" t="s">
        <v>927</v>
      </c>
      <c r="L386" s="29" t="s">
        <v>571</v>
      </c>
      <c r="M386" s="29"/>
      <c r="N386" s="29" t="s">
        <v>711</v>
      </c>
      <c r="O386" s="28" t="s">
        <v>641</v>
      </c>
      <c r="P386" s="28"/>
      <c r="Q386" s="28" t="s">
        <v>76</v>
      </c>
      <c r="R386" s="29"/>
      <c r="S386" s="28"/>
      <c r="T386" s="28"/>
      <c r="U386" s="28" t="s">
        <v>75</v>
      </c>
      <c r="V386" s="28" t="s">
        <v>75</v>
      </c>
      <c r="W386" s="28"/>
    </row>
    <row r="387" spans="1:23" s="12" customFormat="1" hidden="1">
      <c r="A387" s="46" t="s">
        <v>572</v>
      </c>
      <c r="B387" s="28" t="s">
        <v>1333</v>
      </c>
      <c r="C387" s="28" t="s">
        <v>88</v>
      </c>
      <c r="D387" s="28" t="s">
        <v>676</v>
      </c>
      <c r="E387" s="28" t="s">
        <v>246</v>
      </c>
      <c r="F387" s="28" t="s">
        <v>17</v>
      </c>
      <c r="G387" s="28" t="s">
        <v>17</v>
      </c>
      <c r="H387" s="28" t="s">
        <v>700</v>
      </c>
      <c r="I387" s="28" t="str">
        <f>VLOOKUP(F387,표준용어사전!$B:$D,3,FALSE)</f>
        <v>명V20</v>
      </c>
      <c r="J387" s="28" t="s">
        <v>718</v>
      </c>
      <c r="K387" s="24">
        <v>20</v>
      </c>
      <c r="L387" s="29" t="s">
        <v>571</v>
      </c>
      <c r="M387" s="29" t="s">
        <v>727</v>
      </c>
      <c r="N387" s="29" t="s">
        <v>711</v>
      </c>
      <c r="O387" s="28"/>
      <c r="P387" s="28"/>
      <c r="Q387" s="28" t="s">
        <v>76</v>
      </c>
      <c r="R387" s="29"/>
      <c r="S387" s="28"/>
      <c r="T387" s="28"/>
      <c r="U387" s="28" t="s">
        <v>75</v>
      </c>
      <c r="V387" s="28" t="s">
        <v>75</v>
      </c>
      <c r="W387" s="28"/>
    </row>
    <row r="388" spans="1:23" s="12" customFormat="1" hidden="1">
      <c r="A388" s="46" t="s">
        <v>572</v>
      </c>
      <c r="B388" s="28" t="s">
        <v>1333</v>
      </c>
      <c r="C388" s="28" t="s">
        <v>88</v>
      </c>
      <c r="D388" s="28" t="s">
        <v>676</v>
      </c>
      <c r="E388" s="28" t="s">
        <v>843</v>
      </c>
      <c r="F388" s="28" t="s">
        <v>1548</v>
      </c>
      <c r="G388" s="28" t="s">
        <v>1548</v>
      </c>
      <c r="H388" s="28" t="s">
        <v>700</v>
      </c>
      <c r="I388" s="28" t="str">
        <f>VLOOKUP(F388,표준용어사전!$B:$D,3,FALSE)</f>
        <v>명V50</v>
      </c>
      <c r="J388" s="28" t="s">
        <v>718</v>
      </c>
      <c r="K388" s="24">
        <v>50</v>
      </c>
      <c r="L388" s="29" t="s">
        <v>571</v>
      </c>
      <c r="M388" s="29" t="s">
        <v>720</v>
      </c>
      <c r="N388" s="29" t="s">
        <v>711</v>
      </c>
      <c r="O388" s="28"/>
      <c r="P388" s="28"/>
      <c r="Q388" s="28" t="s">
        <v>919</v>
      </c>
      <c r="R388" s="29">
        <v>1</v>
      </c>
      <c r="S388" s="28"/>
      <c r="T388" s="28"/>
      <c r="U388" s="28" t="s">
        <v>75</v>
      </c>
      <c r="V388" s="28" t="s">
        <v>75</v>
      </c>
      <c r="W388" s="28"/>
    </row>
    <row r="389" spans="1:23" s="12" customFormat="1" hidden="1">
      <c r="A389" s="46" t="s">
        <v>572</v>
      </c>
      <c r="B389" s="28" t="s">
        <v>1333</v>
      </c>
      <c r="C389" s="28" t="s">
        <v>88</v>
      </c>
      <c r="D389" s="28" t="s">
        <v>676</v>
      </c>
      <c r="E389" s="28" t="s">
        <v>268</v>
      </c>
      <c r="F389" s="28" t="s">
        <v>500</v>
      </c>
      <c r="G389" s="28" t="s">
        <v>763</v>
      </c>
      <c r="H389" s="28" t="s">
        <v>700</v>
      </c>
      <c r="I389" s="28" t="str">
        <f>VLOOKUP(F389,표준용어사전!$B:$D,3,FALSE)</f>
        <v>코드C1</v>
      </c>
      <c r="J389" s="28" t="s">
        <v>709</v>
      </c>
      <c r="K389" s="24">
        <v>1</v>
      </c>
      <c r="L389" s="29" t="s">
        <v>571</v>
      </c>
      <c r="M389" s="29" t="s">
        <v>722</v>
      </c>
      <c r="N389" s="29" t="s">
        <v>75</v>
      </c>
      <c r="O389" s="28"/>
      <c r="P389" s="28"/>
      <c r="Q389" s="28" t="s">
        <v>76</v>
      </c>
      <c r="R389" s="29"/>
      <c r="S389" s="28"/>
      <c r="T389" s="28"/>
      <c r="U389" s="28" t="s">
        <v>75</v>
      </c>
      <c r="V389" s="28" t="s">
        <v>75</v>
      </c>
      <c r="W389" s="28"/>
    </row>
    <row r="390" spans="1:23" s="12" customFormat="1" hidden="1">
      <c r="A390" s="46" t="s">
        <v>572</v>
      </c>
      <c r="B390" s="28" t="s">
        <v>1333</v>
      </c>
      <c r="C390" s="28" t="s">
        <v>88</v>
      </c>
      <c r="D390" s="28" t="s">
        <v>676</v>
      </c>
      <c r="E390" s="28" t="s">
        <v>252</v>
      </c>
      <c r="F390" s="28" t="s">
        <v>77</v>
      </c>
      <c r="G390" s="28" t="s">
        <v>77</v>
      </c>
      <c r="H390" s="28" t="s">
        <v>700</v>
      </c>
      <c r="I390" s="28" t="str">
        <f>VLOOKUP(F390,표준용어사전!$B:$D,3,FALSE)</f>
        <v>내용TXT</v>
      </c>
      <c r="J390" s="28" t="s">
        <v>713</v>
      </c>
      <c r="K390" s="27" t="s">
        <v>571</v>
      </c>
      <c r="L390" s="29" t="s">
        <v>571</v>
      </c>
      <c r="M390" s="29"/>
      <c r="N390" s="29" t="s">
        <v>75</v>
      </c>
      <c r="O390" s="28"/>
      <c r="P390" s="28"/>
      <c r="Q390" s="28" t="s">
        <v>76</v>
      </c>
      <c r="R390" s="29"/>
      <c r="S390" s="28"/>
      <c r="T390" s="28"/>
      <c r="U390" s="28" t="s">
        <v>75</v>
      </c>
      <c r="V390" s="28" t="s">
        <v>75</v>
      </c>
      <c r="W390" s="28"/>
    </row>
    <row r="391" spans="1:23" s="12" customFormat="1" hidden="1">
      <c r="A391" s="46" t="s">
        <v>572</v>
      </c>
      <c r="B391" s="28" t="s">
        <v>1333</v>
      </c>
      <c r="C391" s="28" t="s">
        <v>88</v>
      </c>
      <c r="D391" s="28" t="s">
        <v>676</v>
      </c>
      <c r="E391" s="28" t="s">
        <v>90</v>
      </c>
      <c r="F391" s="28" t="s">
        <v>14</v>
      </c>
      <c r="G391" s="28" t="s">
        <v>14</v>
      </c>
      <c r="H391" s="28" t="s">
        <v>700</v>
      </c>
      <c r="I391" s="28" t="str">
        <f>VLOOKUP(F391,표준용어사전!$B:$D,3,FALSE)</f>
        <v>연월일시분초TS</v>
      </c>
      <c r="J391" s="28" t="s">
        <v>16</v>
      </c>
      <c r="K391" s="27" t="s">
        <v>571</v>
      </c>
      <c r="L391" s="29" t="s">
        <v>571</v>
      </c>
      <c r="M391" s="29" t="s">
        <v>726</v>
      </c>
      <c r="N391" s="29" t="s">
        <v>711</v>
      </c>
      <c r="O391" s="28"/>
      <c r="P391" s="28"/>
      <c r="Q391" s="28" t="s">
        <v>76</v>
      </c>
      <c r="R391" s="29"/>
      <c r="S391" s="28"/>
      <c r="T391" s="28" t="s">
        <v>574</v>
      </c>
      <c r="U391" s="28" t="s">
        <v>75</v>
      </c>
      <c r="V391" s="28" t="s">
        <v>75</v>
      </c>
      <c r="W391" s="28"/>
    </row>
    <row r="392" spans="1:23" s="12" customFormat="1" hidden="1">
      <c r="A392" s="46" t="s">
        <v>572</v>
      </c>
      <c r="B392" s="28" t="s">
        <v>1333</v>
      </c>
      <c r="C392" s="28" t="s">
        <v>88</v>
      </c>
      <c r="D392" s="28" t="s">
        <v>676</v>
      </c>
      <c r="E392" s="28" t="s">
        <v>91</v>
      </c>
      <c r="F392" s="28" t="s">
        <v>369</v>
      </c>
      <c r="G392" s="28" t="s">
        <v>369</v>
      </c>
      <c r="H392" s="28" t="s">
        <v>700</v>
      </c>
      <c r="I392" s="28" t="str">
        <f>VLOOKUP(F392,표준용어사전!$B:$D,3,FALSE)</f>
        <v>명V20</v>
      </c>
      <c r="J392" s="28" t="s">
        <v>78</v>
      </c>
      <c r="K392" s="27">
        <v>20</v>
      </c>
      <c r="L392" s="29" t="s">
        <v>571</v>
      </c>
      <c r="M392" s="29" t="s">
        <v>727</v>
      </c>
      <c r="N392" s="29" t="s">
        <v>75</v>
      </c>
      <c r="O392" s="28"/>
      <c r="P392" s="28"/>
      <c r="Q392" s="28" t="s">
        <v>76</v>
      </c>
      <c r="R392" s="29"/>
      <c r="S392" s="28"/>
      <c r="T392" s="28" t="s">
        <v>571</v>
      </c>
      <c r="U392" s="28" t="s">
        <v>75</v>
      </c>
      <c r="V392" s="28" t="s">
        <v>75</v>
      </c>
      <c r="W392" s="28"/>
    </row>
    <row r="393" spans="1:23" s="12" customFormat="1" hidden="1">
      <c r="A393" s="46" t="s">
        <v>572</v>
      </c>
      <c r="B393" s="28" t="s">
        <v>1333</v>
      </c>
      <c r="C393" s="28" t="s">
        <v>88</v>
      </c>
      <c r="D393" s="28" t="s">
        <v>676</v>
      </c>
      <c r="E393" s="28" t="s">
        <v>92</v>
      </c>
      <c r="F393" s="28" t="s">
        <v>15</v>
      </c>
      <c r="G393" s="28" t="s">
        <v>15</v>
      </c>
      <c r="H393" s="28" t="s">
        <v>700</v>
      </c>
      <c r="I393" s="28" t="str">
        <f>VLOOKUP(F393,표준용어사전!$B:$D,3,FALSE)</f>
        <v>연월일시분초TS</v>
      </c>
      <c r="J393" s="28" t="s">
        <v>16</v>
      </c>
      <c r="K393" s="27" t="s">
        <v>571</v>
      </c>
      <c r="L393" s="29" t="s">
        <v>571</v>
      </c>
      <c r="M393" s="29" t="s">
        <v>726</v>
      </c>
      <c r="N393" s="29" t="s">
        <v>75</v>
      </c>
      <c r="O393" s="28"/>
      <c r="P393" s="28"/>
      <c r="Q393" s="28" t="s">
        <v>76</v>
      </c>
      <c r="R393" s="29"/>
      <c r="S393" s="28"/>
      <c r="T393" s="28" t="s">
        <v>574</v>
      </c>
      <c r="U393" s="28" t="s">
        <v>75</v>
      </c>
      <c r="V393" s="28" t="s">
        <v>75</v>
      </c>
      <c r="W393" s="28"/>
    </row>
    <row r="394" spans="1:23" s="12" customFormat="1" hidden="1">
      <c r="A394" s="46" t="s">
        <v>572</v>
      </c>
      <c r="B394" s="28" t="s">
        <v>1333</v>
      </c>
      <c r="C394" s="28" t="s">
        <v>88</v>
      </c>
      <c r="D394" s="28" t="s">
        <v>676</v>
      </c>
      <c r="E394" s="28" t="s">
        <v>93</v>
      </c>
      <c r="F394" s="28" t="s">
        <v>370</v>
      </c>
      <c r="G394" s="28" t="s">
        <v>370</v>
      </c>
      <c r="H394" s="28" t="s">
        <v>700</v>
      </c>
      <c r="I394" s="28" t="str">
        <f>VLOOKUP(F394,표준용어사전!$B:$D,3,FALSE)</f>
        <v>명V20</v>
      </c>
      <c r="J394" s="28" t="s">
        <v>78</v>
      </c>
      <c r="K394" s="27">
        <v>20</v>
      </c>
      <c r="L394" s="29" t="s">
        <v>571</v>
      </c>
      <c r="M394" s="29" t="s">
        <v>727</v>
      </c>
      <c r="N394" s="29" t="s">
        <v>75</v>
      </c>
      <c r="O394" s="28"/>
      <c r="P394" s="28"/>
      <c r="Q394" s="28" t="s">
        <v>76</v>
      </c>
      <c r="R394" s="29"/>
      <c r="S394" s="28"/>
      <c r="T394" s="28" t="s">
        <v>571</v>
      </c>
      <c r="U394" s="28" t="s">
        <v>75</v>
      </c>
      <c r="V394" s="28" t="s">
        <v>75</v>
      </c>
      <c r="W394" s="28"/>
    </row>
    <row r="395" spans="1:23" s="12" customFormat="1" hidden="1">
      <c r="A395" s="46" t="s">
        <v>572</v>
      </c>
      <c r="B395" s="28" t="s">
        <v>1333</v>
      </c>
      <c r="C395" s="28" t="s">
        <v>88</v>
      </c>
      <c r="D395" s="28" t="s">
        <v>289</v>
      </c>
      <c r="E395" s="28" t="s">
        <v>578</v>
      </c>
      <c r="F395" s="28" t="s">
        <v>580</v>
      </c>
      <c r="G395" s="28" t="s">
        <v>580</v>
      </c>
      <c r="H395" s="28" t="s">
        <v>291</v>
      </c>
      <c r="I395" s="28" t="str">
        <f>VLOOKUP(F395,표준용어사전!$B:$D,3,FALSE)</f>
        <v>명V20</v>
      </c>
      <c r="J395" s="28" t="s">
        <v>78</v>
      </c>
      <c r="K395" s="27">
        <v>20</v>
      </c>
      <c r="L395" s="29" t="s">
        <v>571</v>
      </c>
      <c r="M395" s="29" t="s">
        <v>727</v>
      </c>
      <c r="N395" s="29" t="s">
        <v>711</v>
      </c>
      <c r="O395" s="28" t="s">
        <v>73</v>
      </c>
      <c r="P395" s="28"/>
      <c r="Q395" s="28" t="s">
        <v>76</v>
      </c>
      <c r="R395" s="29"/>
      <c r="S395" s="28"/>
      <c r="T395" s="28" t="s">
        <v>571</v>
      </c>
      <c r="U395" s="28" t="s">
        <v>75</v>
      </c>
      <c r="V395" s="28" t="s">
        <v>75</v>
      </c>
      <c r="W395" s="28"/>
    </row>
    <row r="396" spans="1:23" s="12" customFormat="1" hidden="1">
      <c r="A396" s="46" t="s">
        <v>572</v>
      </c>
      <c r="B396" s="28" t="s">
        <v>1333</v>
      </c>
      <c r="C396" s="28" t="s">
        <v>88</v>
      </c>
      <c r="D396" s="28" t="s">
        <v>289</v>
      </c>
      <c r="E396" s="28" t="s">
        <v>290</v>
      </c>
      <c r="F396" s="28" t="s">
        <v>514</v>
      </c>
      <c r="G396" s="28" t="s">
        <v>514</v>
      </c>
      <c r="H396" s="28" t="s">
        <v>291</v>
      </c>
      <c r="I396" s="28" t="str">
        <f>VLOOKUP(F396,표준용어사전!$B:$D,3,FALSE)</f>
        <v>코드V50</v>
      </c>
      <c r="J396" s="28" t="s">
        <v>570</v>
      </c>
      <c r="K396" s="27">
        <v>50</v>
      </c>
      <c r="L396" s="29" t="s">
        <v>571</v>
      </c>
      <c r="M396" s="29" t="s">
        <v>725</v>
      </c>
      <c r="N396" s="29" t="s">
        <v>711</v>
      </c>
      <c r="O396" s="28"/>
      <c r="P396" s="28"/>
      <c r="Q396" s="28" t="s">
        <v>1387</v>
      </c>
      <c r="R396" s="29">
        <v>1</v>
      </c>
      <c r="S396" s="28"/>
      <c r="T396" s="28" t="s">
        <v>626</v>
      </c>
      <c r="U396" s="28" t="s">
        <v>75</v>
      </c>
      <c r="V396" s="28" t="s">
        <v>75</v>
      </c>
      <c r="W396" s="28"/>
    </row>
    <row r="397" spans="1:23" s="12" customFormat="1" hidden="1">
      <c r="A397" s="46" t="s">
        <v>572</v>
      </c>
      <c r="B397" s="28" t="s">
        <v>1333</v>
      </c>
      <c r="C397" s="28" t="s">
        <v>88</v>
      </c>
      <c r="D397" s="28" t="s">
        <v>289</v>
      </c>
      <c r="E397" s="28" t="s">
        <v>621</v>
      </c>
      <c r="F397" s="28" t="s">
        <v>595</v>
      </c>
      <c r="G397" s="28" t="s">
        <v>595</v>
      </c>
      <c r="H397" s="28" t="s">
        <v>291</v>
      </c>
      <c r="I397" s="28" t="str">
        <f>VLOOKUP(F397,표준용어사전!$B:$D,3,FALSE)</f>
        <v>코드V50</v>
      </c>
      <c r="J397" s="28" t="s">
        <v>570</v>
      </c>
      <c r="K397" s="27">
        <v>50</v>
      </c>
      <c r="L397" s="29" t="s">
        <v>571</v>
      </c>
      <c r="M397" s="29" t="s">
        <v>725</v>
      </c>
      <c r="N397" s="29" t="s">
        <v>75</v>
      </c>
      <c r="O397" s="28"/>
      <c r="P397" s="28"/>
      <c r="Q397" s="28" t="s">
        <v>76</v>
      </c>
      <c r="R397" s="29"/>
      <c r="S397" s="28"/>
      <c r="T397" s="28" t="s">
        <v>571</v>
      </c>
      <c r="U397" s="28" t="s">
        <v>75</v>
      </c>
      <c r="V397" s="28" t="s">
        <v>75</v>
      </c>
      <c r="W397" s="28"/>
    </row>
    <row r="398" spans="1:23" s="12" customFormat="1" hidden="1">
      <c r="A398" s="46" t="s">
        <v>572</v>
      </c>
      <c r="B398" s="28" t="s">
        <v>1333</v>
      </c>
      <c r="C398" s="28" t="s">
        <v>88</v>
      </c>
      <c r="D398" s="28" t="s">
        <v>289</v>
      </c>
      <c r="E398" s="28" t="s">
        <v>292</v>
      </c>
      <c r="F398" s="28" t="s">
        <v>515</v>
      </c>
      <c r="G398" s="28" t="s">
        <v>515</v>
      </c>
      <c r="H398" s="28" t="s">
        <v>291</v>
      </c>
      <c r="I398" s="28" t="str">
        <f>VLOOKUP(F398,표준용어사전!$B:$D,3,FALSE)</f>
        <v>명V200</v>
      </c>
      <c r="J398" s="28" t="s">
        <v>78</v>
      </c>
      <c r="K398" s="27">
        <v>200</v>
      </c>
      <c r="L398" s="29" t="s">
        <v>571</v>
      </c>
      <c r="M398" s="29" t="s">
        <v>715</v>
      </c>
      <c r="N398" s="29" t="s">
        <v>75</v>
      </c>
      <c r="O398" s="28"/>
      <c r="P398" s="28"/>
      <c r="Q398" s="28" t="s">
        <v>76</v>
      </c>
      <c r="R398" s="29"/>
      <c r="S398" s="28"/>
      <c r="T398" s="28" t="s">
        <v>571</v>
      </c>
      <c r="U398" s="28" t="s">
        <v>75</v>
      </c>
      <c r="V398" s="28" t="s">
        <v>75</v>
      </c>
      <c r="W398" s="28"/>
    </row>
    <row r="399" spans="1:23" s="12" customFormat="1" hidden="1">
      <c r="A399" s="46" t="s">
        <v>572</v>
      </c>
      <c r="B399" s="28" t="s">
        <v>1333</v>
      </c>
      <c r="C399" s="28" t="s">
        <v>88</v>
      </c>
      <c r="D399" s="28" t="s">
        <v>289</v>
      </c>
      <c r="E399" s="28" t="s">
        <v>293</v>
      </c>
      <c r="F399" s="28" t="s">
        <v>516</v>
      </c>
      <c r="G399" s="28" t="s">
        <v>516</v>
      </c>
      <c r="H399" s="28" t="s">
        <v>291</v>
      </c>
      <c r="I399" s="28" t="str">
        <f>VLOOKUP(F399,표준용어사전!$B:$D,3,FALSE)</f>
        <v>명V200</v>
      </c>
      <c r="J399" s="28" t="s">
        <v>78</v>
      </c>
      <c r="K399" s="27">
        <v>200</v>
      </c>
      <c r="L399" s="29" t="s">
        <v>571</v>
      </c>
      <c r="M399" s="29" t="s">
        <v>715</v>
      </c>
      <c r="N399" s="29" t="s">
        <v>75</v>
      </c>
      <c r="O399" s="28"/>
      <c r="P399" s="28"/>
      <c r="Q399" s="28" t="s">
        <v>76</v>
      </c>
      <c r="R399" s="29"/>
      <c r="S399" s="28"/>
      <c r="T399" s="28" t="s">
        <v>571</v>
      </c>
      <c r="U399" s="28" t="s">
        <v>75</v>
      </c>
      <c r="V399" s="28" t="s">
        <v>75</v>
      </c>
      <c r="W399" s="28"/>
    </row>
    <row r="400" spans="1:23" s="12" customFormat="1" hidden="1">
      <c r="A400" s="46" t="s">
        <v>572</v>
      </c>
      <c r="B400" s="28" t="s">
        <v>1333</v>
      </c>
      <c r="C400" s="28" t="s">
        <v>88</v>
      </c>
      <c r="D400" s="28" t="s">
        <v>289</v>
      </c>
      <c r="E400" s="28" t="s">
        <v>90</v>
      </c>
      <c r="F400" s="28" t="s">
        <v>14</v>
      </c>
      <c r="G400" s="28" t="s">
        <v>14</v>
      </c>
      <c r="H400" s="28" t="s">
        <v>291</v>
      </c>
      <c r="I400" s="28" t="str">
        <f>VLOOKUP(F400,표준용어사전!$B:$D,3,FALSE)</f>
        <v>연월일시분초TS</v>
      </c>
      <c r="J400" s="28" t="s">
        <v>16</v>
      </c>
      <c r="K400" s="27" t="s">
        <v>571</v>
      </c>
      <c r="L400" s="29" t="s">
        <v>571</v>
      </c>
      <c r="M400" s="29" t="s">
        <v>726</v>
      </c>
      <c r="N400" s="29" t="s">
        <v>711</v>
      </c>
      <c r="O400" s="28"/>
      <c r="P400" s="28"/>
      <c r="Q400" s="28" t="s">
        <v>76</v>
      </c>
      <c r="R400" s="29"/>
      <c r="S400" s="28"/>
      <c r="T400" s="28" t="s">
        <v>574</v>
      </c>
      <c r="U400" s="28" t="s">
        <v>75</v>
      </c>
      <c r="V400" s="28" t="s">
        <v>75</v>
      </c>
      <c r="W400" s="28"/>
    </row>
    <row r="401" spans="1:23" s="12" customFormat="1" hidden="1">
      <c r="A401" s="46" t="s">
        <v>572</v>
      </c>
      <c r="B401" s="28" t="s">
        <v>1333</v>
      </c>
      <c r="C401" s="28" t="s">
        <v>88</v>
      </c>
      <c r="D401" s="28" t="s">
        <v>289</v>
      </c>
      <c r="E401" s="28" t="s">
        <v>91</v>
      </c>
      <c r="F401" s="28" t="s">
        <v>369</v>
      </c>
      <c r="G401" s="28" t="s">
        <v>369</v>
      </c>
      <c r="H401" s="28" t="s">
        <v>291</v>
      </c>
      <c r="I401" s="28" t="str">
        <f>VLOOKUP(F401,표준용어사전!$B:$D,3,FALSE)</f>
        <v>명V20</v>
      </c>
      <c r="J401" s="28" t="s">
        <v>78</v>
      </c>
      <c r="K401" s="27">
        <v>20</v>
      </c>
      <c r="L401" s="29" t="s">
        <v>571</v>
      </c>
      <c r="M401" s="29" t="s">
        <v>727</v>
      </c>
      <c r="N401" s="29" t="s">
        <v>75</v>
      </c>
      <c r="O401" s="28"/>
      <c r="P401" s="28"/>
      <c r="Q401" s="28" t="s">
        <v>76</v>
      </c>
      <c r="R401" s="29"/>
      <c r="S401" s="28"/>
      <c r="T401" s="28" t="s">
        <v>571</v>
      </c>
      <c r="U401" s="28" t="s">
        <v>75</v>
      </c>
      <c r="V401" s="28" t="s">
        <v>75</v>
      </c>
      <c r="W401" s="28"/>
    </row>
    <row r="402" spans="1:23" s="12" customFormat="1" hidden="1">
      <c r="A402" s="46" t="s">
        <v>572</v>
      </c>
      <c r="B402" s="28" t="s">
        <v>1333</v>
      </c>
      <c r="C402" s="28" t="s">
        <v>88</v>
      </c>
      <c r="D402" s="28" t="s">
        <v>289</v>
      </c>
      <c r="E402" s="28" t="s">
        <v>92</v>
      </c>
      <c r="F402" s="28" t="s">
        <v>15</v>
      </c>
      <c r="G402" s="28" t="s">
        <v>15</v>
      </c>
      <c r="H402" s="28" t="s">
        <v>291</v>
      </c>
      <c r="I402" s="28" t="str">
        <f>VLOOKUP(F402,표준용어사전!$B:$D,3,FALSE)</f>
        <v>연월일시분초TS</v>
      </c>
      <c r="J402" s="28" t="s">
        <v>16</v>
      </c>
      <c r="K402" s="27" t="s">
        <v>571</v>
      </c>
      <c r="L402" s="29" t="s">
        <v>571</v>
      </c>
      <c r="M402" s="29" t="s">
        <v>726</v>
      </c>
      <c r="N402" s="29" t="s">
        <v>75</v>
      </c>
      <c r="O402" s="28"/>
      <c r="P402" s="28"/>
      <c r="Q402" s="28" t="s">
        <v>76</v>
      </c>
      <c r="R402" s="29"/>
      <c r="S402" s="28"/>
      <c r="T402" s="28" t="s">
        <v>574</v>
      </c>
      <c r="U402" s="28" t="s">
        <v>75</v>
      </c>
      <c r="V402" s="28" t="s">
        <v>75</v>
      </c>
      <c r="W402" s="28"/>
    </row>
    <row r="403" spans="1:23" s="12" customFormat="1" hidden="1">
      <c r="A403" s="46" t="s">
        <v>572</v>
      </c>
      <c r="B403" s="28" t="s">
        <v>1333</v>
      </c>
      <c r="C403" s="28" t="s">
        <v>88</v>
      </c>
      <c r="D403" s="28" t="s">
        <v>289</v>
      </c>
      <c r="E403" s="28" t="s">
        <v>93</v>
      </c>
      <c r="F403" s="28" t="s">
        <v>370</v>
      </c>
      <c r="G403" s="28" t="s">
        <v>370</v>
      </c>
      <c r="H403" s="28" t="s">
        <v>291</v>
      </c>
      <c r="I403" s="28" t="str">
        <f>VLOOKUP(F403,표준용어사전!$B:$D,3,FALSE)</f>
        <v>명V20</v>
      </c>
      <c r="J403" s="28" t="s">
        <v>78</v>
      </c>
      <c r="K403" s="27">
        <v>20</v>
      </c>
      <c r="L403" s="29" t="s">
        <v>571</v>
      </c>
      <c r="M403" s="29" t="s">
        <v>727</v>
      </c>
      <c r="N403" s="29" t="s">
        <v>75</v>
      </c>
      <c r="O403" s="28"/>
      <c r="P403" s="28"/>
      <c r="Q403" s="28" t="s">
        <v>76</v>
      </c>
      <c r="R403" s="29"/>
      <c r="S403" s="28"/>
      <c r="T403" s="28" t="s">
        <v>571</v>
      </c>
      <c r="U403" s="28" t="s">
        <v>75</v>
      </c>
      <c r="V403" s="28" t="s">
        <v>75</v>
      </c>
      <c r="W403" s="28"/>
    </row>
    <row r="404" spans="1:23" s="12" customFormat="1" hidden="1">
      <c r="A404" s="46" t="s">
        <v>572</v>
      </c>
      <c r="B404" s="28" t="s">
        <v>1333</v>
      </c>
      <c r="C404" s="28" t="s">
        <v>88</v>
      </c>
      <c r="D404" s="28" t="s">
        <v>289</v>
      </c>
      <c r="E404" s="28" t="s">
        <v>900</v>
      </c>
      <c r="F404" s="28" t="s">
        <v>907</v>
      </c>
      <c r="G404" s="28" t="s">
        <v>907</v>
      </c>
      <c r="H404" s="28" t="s">
        <v>291</v>
      </c>
      <c r="I404" s="28" t="e">
        <f>VLOOKUP(F404,표준용어사전!$B:$D,3,FALSE)</f>
        <v>#N/A</v>
      </c>
      <c r="J404" s="28" t="s">
        <v>748</v>
      </c>
      <c r="K404" s="27">
        <v>14</v>
      </c>
      <c r="L404" s="29" t="s">
        <v>571</v>
      </c>
      <c r="M404" s="29" t="s">
        <v>776</v>
      </c>
      <c r="N404" s="29" t="s">
        <v>711</v>
      </c>
      <c r="O404" s="28"/>
      <c r="P404" s="28"/>
      <c r="Q404" s="28" t="s">
        <v>76</v>
      </c>
      <c r="R404" s="29"/>
      <c r="S404" s="28"/>
      <c r="T404" s="28"/>
      <c r="U404" s="28" t="s">
        <v>75</v>
      </c>
      <c r="V404" s="28" t="s">
        <v>75</v>
      </c>
      <c r="W404" s="28"/>
    </row>
    <row r="405" spans="1:23" s="12" customFormat="1" hidden="1">
      <c r="A405" s="46" t="s">
        <v>572</v>
      </c>
      <c r="B405" s="28" t="s">
        <v>1333</v>
      </c>
      <c r="C405" s="28" t="s">
        <v>88</v>
      </c>
      <c r="D405" s="28" t="s">
        <v>289</v>
      </c>
      <c r="E405" s="28" t="s">
        <v>901</v>
      </c>
      <c r="F405" s="28" t="s">
        <v>906</v>
      </c>
      <c r="G405" s="28" t="s">
        <v>906</v>
      </c>
      <c r="H405" s="28" t="s">
        <v>291</v>
      </c>
      <c r="I405" s="28" t="e">
        <f>VLOOKUP(F405,표준용어사전!$B:$D,3,FALSE)</f>
        <v>#N/A</v>
      </c>
      <c r="J405" s="28" t="s">
        <v>748</v>
      </c>
      <c r="K405" s="27">
        <v>14</v>
      </c>
      <c r="L405" s="29" t="s">
        <v>571</v>
      </c>
      <c r="M405" s="29" t="s">
        <v>776</v>
      </c>
      <c r="N405" s="29" t="s">
        <v>711</v>
      </c>
      <c r="O405" s="28"/>
      <c r="P405" s="28"/>
      <c r="Q405" s="28" t="s">
        <v>76</v>
      </c>
      <c r="R405" s="29"/>
      <c r="S405" s="28"/>
      <c r="T405" s="28"/>
      <c r="U405" s="28" t="s">
        <v>75</v>
      </c>
      <c r="V405" s="28" t="s">
        <v>75</v>
      </c>
      <c r="W405" s="28"/>
    </row>
    <row r="406" spans="1:23" s="12" customFormat="1" hidden="1">
      <c r="A406" s="46" t="s">
        <v>572</v>
      </c>
      <c r="B406" s="28" t="s">
        <v>1333</v>
      </c>
      <c r="C406" s="28" t="s">
        <v>88</v>
      </c>
      <c r="D406" s="28" t="s">
        <v>289</v>
      </c>
      <c r="E406" s="28" t="s">
        <v>902</v>
      </c>
      <c r="F406" s="28" t="s">
        <v>908</v>
      </c>
      <c r="G406" s="28" t="s">
        <v>908</v>
      </c>
      <c r="H406" s="28" t="s">
        <v>291</v>
      </c>
      <c r="I406" s="28" t="e">
        <f>VLOOKUP(F406,표준용어사전!$B:$D,3,FALSE)</f>
        <v>#N/A</v>
      </c>
      <c r="J406" s="28" t="s">
        <v>748</v>
      </c>
      <c r="K406" s="27">
        <v>14</v>
      </c>
      <c r="L406" s="29" t="s">
        <v>571</v>
      </c>
      <c r="M406" s="29" t="s">
        <v>776</v>
      </c>
      <c r="N406" s="29" t="s">
        <v>711</v>
      </c>
      <c r="O406" s="28"/>
      <c r="P406" s="28"/>
      <c r="Q406" s="28" t="s">
        <v>76</v>
      </c>
      <c r="R406" s="29"/>
      <c r="S406" s="28"/>
      <c r="T406" s="28"/>
      <c r="U406" s="28" t="s">
        <v>75</v>
      </c>
      <c r="V406" s="28" t="s">
        <v>75</v>
      </c>
      <c r="W406" s="28"/>
    </row>
    <row r="407" spans="1:23" s="12" customFormat="1" hidden="1">
      <c r="A407" s="46" t="s">
        <v>572</v>
      </c>
      <c r="B407" s="28" t="s">
        <v>1333</v>
      </c>
      <c r="C407" s="28" t="s">
        <v>88</v>
      </c>
      <c r="D407" s="28" t="s">
        <v>289</v>
      </c>
      <c r="E407" s="28" t="s">
        <v>903</v>
      </c>
      <c r="F407" s="28" t="s">
        <v>909</v>
      </c>
      <c r="G407" s="28" t="s">
        <v>909</v>
      </c>
      <c r="H407" s="28" t="s">
        <v>291</v>
      </c>
      <c r="I407" s="28" t="e">
        <f>VLOOKUP(F407,표준용어사전!$B:$D,3,FALSE)</f>
        <v>#N/A</v>
      </c>
      <c r="J407" s="28" t="s">
        <v>748</v>
      </c>
      <c r="K407" s="27">
        <v>14</v>
      </c>
      <c r="L407" s="29" t="s">
        <v>571</v>
      </c>
      <c r="M407" s="29" t="s">
        <v>776</v>
      </c>
      <c r="N407" s="29" t="s">
        <v>711</v>
      </c>
      <c r="O407" s="28"/>
      <c r="P407" s="28"/>
      <c r="Q407" s="28" t="s">
        <v>76</v>
      </c>
      <c r="R407" s="29"/>
      <c r="S407" s="28"/>
      <c r="T407" s="28"/>
      <c r="U407" s="28" t="s">
        <v>75</v>
      </c>
      <c r="V407" s="28" t="s">
        <v>75</v>
      </c>
      <c r="W407" s="28"/>
    </row>
    <row r="408" spans="1:23" s="12" customFormat="1" hidden="1">
      <c r="A408" s="46" t="s">
        <v>572</v>
      </c>
      <c r="B408" s="28" t="s">
        <v>1333</v>
      </c>
      <c r="C408" s="28" t="s">
        <v>88</v>
      </c>
      <c r="D408" s="28" t="s">
        <v>289</v>
      </c>
      <c r="E408" s="28" t="s">
        <v>904</v>
      </c>
      <c r="F408" s="28" t="s">
        <v>910</v>
      </c>
      <c r="G408" s="28" t="s">
        <v>910</v>
      </c>
      <c r="H408" s="28" t="s">
        <v>291</v>
      </c>
      <c r="I408" s="28" t="e">
        <f>VLOOKUP(F408,표준용어사전!$B:$D,3,FALSE)</f>
        <v>#N/A</v>
      </c>
      <c r="J408" s="28" t="s">
        <v>748</v>
      </c>
      <c r="K408" s="27">
        <v>14</v>
      </c>
      <c r="L408" s="29" t="s">
        <v>571</v>
      </c>
      <c r="M408" s="29" t="s">
        <v>776</v>
      </c>
      <c r="N408" s="29" t="s">
        <v>711</v>
      </c>
      <c r="O408" s="28"/>
      <c r="P408" s="28"/>
      <c r="Q408" s="28" t="s">
        <v>76</v>
      </c>
      <c r="R408" s="29"/>
      <c r="S408" s="28"/>
      <c r="T408" s="28"/>
      <c r="U408" s="28" t="s">
        <v>75</v>
      </c>
      <c r="V408" s="28" t="s">
        <v>75</v>
      </c>
      <c r="W408" s="28"/>
    </row>
    <row r="409" spans="1:23" s="12" customFormat="1" hidden="1">
      <c r="A409" s="46" t="s">
        <v>572</v>
      </c>
      <c r="B409" s="28" t="s">
        <v>1333</v>
      </c>
      <c r="C409" s="28" t="s">
        <v>88</v>
      </c>
      <c r="D409" s="28" t="s">
        <v>289</v>
      </c>
      <c r="E409" s="28" t="s">
        <v>905</v>
      </c>
      <c r="F409" s="28" t="s">
        <v>898</v>
      </c>
      <c r="G409" s="28" t="s">
        <v>898</v>
      </c>
      <c r="H409" s="28" t="s">
        <v>291</v>
      </c>
      <c r="I409" s="28" t="e">
        <f>VLOOKUP(F409,표준용어사전!$B:$D,3,FALSE)</f>
        <v>#N/A</v>
      </c>
      <c r="J409" s="28" t="s">
        <v>748</v>
      </c>
      <c r="K409" s="27">
        <v>14</v>
      </c>
      <c r="L409" s="29" t="s">
        <v>571</v>
      </c>
      <c r="M409" s="29" t="s">
        <v>776</v>
      </c>
      <c r="N409" s="29" t="s">
        <v>711</v>
      </c>
      <c r="O409" s="28"/>
      <c r="P409" s="28"/>
      <c r="Q409" s="28" t="s">
        <v>76</v>
      </c>
      <c r="R409" s="29"/>
      <c r="S409" s="28"/>
      <c r="T409" s="28"/>
      <c r="U409" s="28" t="s">
        <v>75</v>
      </c>
      <c r="V409" s="28" t="s">
        <v>75</v>
      </c>
      <c r="W409" s="28"/>
    </row>
    <row r="410" spans="1:23" s="12" customFormat="1" hidden="1">
      <c r="A410" s="46" t="s">
        <v>572</v>
      </c>
      <c r="B410" s="28" t="s">
        <v>1331</v>
      </c>
      <c r="C410" s="28" t="s">
        <v>88</v>
      </c>
      <c r="D410" s="28" t="s">
        <v>359</v>
      </c>
      <c r="E410" s="28" t="s">
        <v>360</v>
      </c>
      <c r="F410" s="28" t="s">
        <v>564</v>
      </c>
      <c r="G410" s="28" t="s">
        <v>564</v>
      </c>
      <c r="H410" s="28" t="s">
        <v>361</v>
      </c>
      <c r="I410" s="28" t="str">
        <f>VLOOKUP(F410,표준용어사전!$B:$D,3,FALSE)</f>
        <v>연월C6</v>
      </c>
      <c r="J410" s="28" t="s">
        <v>570</v>
      </c>
      <c r="K410" s="27">
        <v>6</v>
      </c>
      <c r="L410" s="29" t="s">
        <v>571</v>
      </c>
      <c r="M410" s="29" t="s">
        <v>733</v>
      </c>
      <c r="N410" s="29" t="s">
        <v>711</v>
      </c>
      <c r="O410" s="28" t="s">
        <v>641</v>
      </c>
      <c r="P410" s="28"/>
      <c r="Q410" s="28" t="s">
        <v>76</v>
      </c>
      <c r="R410" s="29"/>
      <c r="S410" s="28"/>
      <c r="T410" s="28" t="s">
        <v>577</v>
      </c>
      <c r="U410" s="28" t="s">
        <v>75</v>
      </c>
      <c r="V410" s="28" t="s">
        <v>75</v>
      </c>
      <c r="W410" s="28"/>
    </row>
    <row r="411" spans="1:23" s="12" customFormat="1" hidden="1">
      <c r="A411" s="46" t="s">
        <v>572</v>
      </c>
      <c r="B411" s="28" t="s">
        <v>1331</v>
      </c>
      <c r="C411" s="28" t="s">
        <v>88</v>
      </c>
      <c r="D411" s="28" t="s">
        <v>359</v>
      </c>
      <c r="E411" s="28" t="s">
        <v>290</v>
      </c>
      <c r="F411" s="28" t="s">
        <v>514</v>
      </c>
      <c r="G411" s="28" t="s">
        <v>514</v>
      </c>
      <c r="H411" s="28" t="s">
        <v>361</v>
      </c>
      <c r="I411" s="28" t="str">
        <f>VLOOKUP(F411,표준용어사전!$B:$D,3,FALSE)</f>
        <v>코드V50</v>
      </c>
      <c r="J411" s="28" t="s">
        <v>570</v>
      </c>
      <c r="K411" s="27">
        <v>50</v>
      </c>
      <c r="L411" s="29" t="s">
        <v>571</v>
      </c>
      <c r="M411" s="29" t="s">
        <v>725</v>
      </c>
      <c r="N411" s="29" t="s">
        <v>711</v>
      </c>
      <c r="O411" s="28" t="s">
        <v>573</v>
      </c>
      <c r="P411" s="28"/>
      <c r="Q411" s="28" t="s">
        <v>76</v>
      </c>
      <c r="R411" s="29"/>
      <c r="S411" s="28"/>
      <c r="T411" s="28" t="s">
        <v>76</v>
      </c>
      <c r="U411" s="28" t="s">
        <v>75</v>
      </c>
      <c r="V411" s="28" t="s">
        <v>75</v>
      </c>
      <c r="W411" s="28"/>
    </row>
    <row r="412" spans="1:23" s="12" customFormat="1" hidden="1">
      <c r="A412" s="46" t="s">
        <v>572</v>
      </c>
      <c r="B412" s="28" t="s">
        <v>1331</v>
      </c>
      <c r="C412" s="28" t="s">
        <v>88</v>
      </c>
      <c r="D412" s="28" t="s">
        <v>359</v>
      </c>
      <c r="E412" s="28" t="s">
        <v>362</v>
      </c>
      <c r="F412" s="28" t="s">
        <v>565</v>
      </c>
      <c r="G412" s="28" t="s">
        <v>565</v>
      </c>
      <c r="H412" s="28" t="s">
        <v>361</v>
      </c>
      <c r="I412" s="28" t="str">
        <f>VLOOKUP(F412,표준용어사전!$B:$D,3,FALSE)</f>
        <v>수N10</v>
      </c>
      <c r="J412" s="28" t="s">
        <v>63</v>
      </c>
      <c r="K412" s="27">
        <v>10</v>
      </c>
      <c r="L412" s="29" t="s">
        <v>571</v>
      </c>
      <c r="M412" s="29">
        <v>9999999999</v>
      </c>
      <c r="N412" s="29" t="s">
        <v>75</v>
      </c>
      <c r="O412" s="28"/>
      <c r="P412" s="28"/>
      <c r="Q412" s="28" t="s">
        <v>76</v>
      </c>
      <c r="R412" s="29"/>
      <c r="S412" s="28"/>
      <c r="T412" s="28" t="s">
        <v>76</v>
      </c>
      <c r="U412" s="28" t="s">
        <v>75</v>
      </c>
      <c r="V412" s="28" t="s">
        <v>75</v>
      </c>
      <c r="W412" s="28"/>
    </row>
    <row r="413" spans="1:23" s="51" customFormat="1" hidden="1">
      <c r="A413" s="47" t="s">
        <v>572</v>
      </c>
      <c r="B413" s="48" t="s">
        <v>1331</v>
      </c>
      <c r="C413" s="48" t="s">
        <v>88</v>
      </c>
      <c r="D413" s="48" t="s">
        <v>359</v>
      </c>
      <c r="E413" s="48" t="s">
        <v>1823</v>
      </c>
      <c r="F413" s="48" t="s">
        <v>1825</v>
      </c>
      <c r="G413" s="48" t="s">
        <v>1825</v>
      </c>
      <c r="H413" s="48" t="s">
        <v>361</v>
      </c>
      <c r="I413" s="48" t="str">
        <f>VLOOKUP(F413,표준용어사전!$B:$D,3,FALSE)</f>
        <v>시분초N10</v>
      </c>
      <c r="J413" s="48" t="s">
        <v>63</v>
      </c>
      <c r="K413" s="49">
        <v>10</v>
      </c>
      <c r="L413" s="50" t="s">
        <v>571</v>
      </c>
      <c r="M413" s="50">
        <v>9999999999</v>
      </c>
      <c r="N413" s="29" t="s">
        <v>75</v>
      </c>
      <c r="O413" s="48"/>
      <c r="P413" s="48"/>
      <c r="Q413" s="48" t="s">
        <v>76</v>
      </c>
      <c r="R413" s="50"/>
      <c r="S413" s="48"/>
      <c r="T413" s="48" t="s">
        <v>76</v>
      </c>
      <c r="U413" s="48" t="s">
        <v>75</v>
      </c>
      <c r="V413" s="48" t="s">
        <v>75</v>
      </c>
      <c r="W413" s="48"/>
    </row>
    <row r="414" spans="1:23" s="51" customFormat="1" hidden="1">
      <c r="A414" s="47" t="s">
        <v>572</v>
      </c>
      <c r="B414" s="48" t="s">
        <v>1331</v>
      </c>
      <c r="C414" s="48" t="s">
        <v>88</v>
      </c>
      <c r="D414" s="48" t="s">
        <v>359</v>
      </c>
      <c r="E414" s="48" t="s">
        <v>1824</v>
      </c>
      <c r="F414" s="48" t="s">
        <v>1510</v>
      </c>
      <c r="G414" s="48" t="s">
        <v>1487</v>
      </c>
      <c r="H414" s="48" t="s">
        <v>361</v>
      </c>
      <c r="I414" s="48" t="e">
        <f>VLOOKUP(F414,표준용어사전!$B:$D,3,FALSE)</f>
        <v>#N/A</v>
      </c>
      <c r="J414" s="28" t="s">
        <v>570</v>
      </c>
      <c r="K414" s="27">
        <v>50</v>
      </c>
      <c r="L414" s="29" t="s">
        <v>571</v>
      </c>
      <c r="M414" s="29" t="s">
        <v>725</v>
      </c>
      <c r="N414" s="50" t="s">
        <v>973</v>
      </c>
      <c r="O414" s="48" t="s">
        <v>754</v>
      </c>
      <c r="P414" s="48"/>
      <c r="Q414" s="48" t="s">
        <v>76</v>
      </c>
      <c r="R414" s="50"/>
      <c r="S414" s="48"/>
      <c r="T414" s="48" t="s">
        <v>76</v>
      </c>
      <c r="U414" s="48" t="s">
        <v>75</v>
      </c>
      <c r="V414" s="48" t="s">
        <v>75</v>
      </c>
      <c r="W414" s="48"/>
    </row>
    <row r="415" spans="1:23" s="12" customFormat="1" hidden="1">
      <c r="A415" s="46" t="s">
        <v>572</v>
      </c>
      <c r="B415" s="28" t="s">
        <v>1333</v>
      </c>
      <c r="C415" s="28" t="s">
        <v>88</v>
      </c>
      <c r="D415" s="28" t="s">
        <v>677</v>
      </c>
      <c r="E415" s="28" t="s">
        <v>848</v>
      </c>
      <c r="F415" s="28" t="s">
        <v>759</v>
      </c>
      <c r="G415" s="28" t="s">
        <v>759</v>
      </c>
      <c r="H415" s="28" t="s">
        <v>701</v>
      </c>
      <c r="I415" s="28" t="str">
        <f>VLOOKUP(F415,표준용어사전!$B:$D,3,FALSE)</f>
        <v>번호I</v>
      </c>
      <c r="J415" s="28" t="s">
        <v>717</v>
      </c>
      <c r="K415" s="27" t="s">
        <v>927</v>
      </c>
      <c r="L415" s="29" t="s">
        <v>571</v>
      </c>
      <c r="M415" s="29"/>
      <c r="N415" s="29" t="s">
        <v>711</v>
      </c>
      <c r="O415" s="28" t="s">
        <v>641</v>
      </c>
      <c r="P415" s="28"/>
      <c r="Q415" s="28" t="s">
        <v>76</v>
      </c>
      <c r="R415" s="29"/>
      <c r="S415" s="28"/>
      <c r="T415" s="28"/>
      <c r="U415" s="28" t="s">
        <v>75</v>
      </c>
      <c r="V415" s="28" t="s">
        <v>75</v>
      </c>
      <c r="W415" s="28"/>
    </row>
    <row r="416" spans="1:23" s="12" customFormat="1" hidden="1">
      <c r="A416" s="46" t="s">
        <v>572</v>
      </c>
      <c r="B416" s="28" t="s">
        <v>1333</v>
      </c>
      <c r="C416" s="28" t="s">
        <v>88</v>
      </c>
      <c r="D416" s="28" t="s">
        <v>677</v>
      </c>
      <c r="E416" s="28" t="s">
        <v>246</v>
      </c>
      <c r="F416" s="28" t="s">
        <v>17</v>
      </c>
      <c r="G416" s="28" t="s">
        <v>17</v>
      </c>
      <c r="H416" s="28" t="s">
        <v>701</v>
      </c>
      <c r="I416" s="28" t="str">
        <f>VLOOKUP(F416,표준용어사전!$B:$D,3,FALSE)</f>
        <v>명V20</v>
      </c>
      <c r="J416" s="28" t="s">
        <v>718</v>
      </c>
      <c r="K416" s="27">
        <v>20</v>
      </c>
      <c r="L416" s="29" t="s">
        <v>571</v>
      </c>
      <c r="M416" s="29" t="s">
        <v>727</v>
      </c>
      <c r="N416" s="29" t="s">
        <v>711</v>
      </c>
      <c r="O416" s="28"/>
      <c r="P416" s="28"/>
      <c r="Q416" s="28" t="s">
        <v>76</v>
      </c>
      <c r="R416" s="29"/>
      <c r="S416" s="28"/>
      <c r="T416" s="28"/>
      <c r="U416" s="28" t="s">
        <v>75</v>
      </c>
      <c r="V416" s="28" t="s">
        <v>75</v>
      </c>
      <c r="W416" s="28"/>
    </row>
    <row r="417" spans="1:23" s="12" customFormat="1" hidden="1">
      <c r="A417" s="46" t="s">
        <v>572</v>
      </c>
      <c r="B417" s="28" t="s">
        <v>1333</v>
      </c>
      <c r="C417" s="28" t="s">
        <v>88</v>
      </c>
      <c r="D417" s="28" t="s">
        <v>677</v>
      </c>
      <c r="E417" s="28" t="s">
        <v>89</v>
      </c>
      <c r="F417" s="28" t="s">
        <v>501</v>
      </c>
      <c r="G417" s="28" t="s">
        <v>501</v>
      </c>
      <c r="H417" s="28" t="s">
        <v>701</v>
      </c>
      <c r="I417" s="28" t="str">
        <f>VLOOKUP(F417,표준용어사전!$B:$D,3,FALSE)</f>
        <v>명V20</v>
      </c>
      <c r="J417" s="28" t="s">
        <v>718</v>
      </c>
      <c r="K417" s="27">
        <v>50</v>
      </c>
      <c r="L417" s="29" t="s">
        <v>571</v>
      </c>
      <c r="M417" s="29" t="s">
        <v>720</v>
      </c>
      <c r="N417" s="29" t="s">
        <v>711</v>
      </c>
      <c r="O417" s="28"/>
      <c r="P417" s="28"/>
      <c r="Q417" s="28" t="s">
        <v>1842</v>
      </c>
      <c r="R417" s="29">
        <v>2</v>
      </c>
      <c r="S417" s="28"/>
      <c r="T417" s="28"/>
      <c r="U417" s="28" t="s">
        <v>75</v>
      </c>
      <c r="V417" s="28" t="s">
        <v>75</v>
      </c>
      <c r="W417" s="28"/>
    </row>
    <row r="418" spans="1:23" s="12" customFormat="1" hidden="1">
      <c r="A418" s="46" t="s">
        <v>572</v>
      </c>
      <c r="B418" s="28" t="s">
        <v>1333</v>
      </c>
      <c r="C418" s="28" t="s">
        <v>88</v>
      </c>
      <c r="D418" s="28" t="s">
        <v>677</v>
      </c>
      <c r="E418" s="28" t="s">
        <v>103</v>
      </c>
      <c r="F418" s="28" t="s">
        <v>380</v>
      </c>
      <c r="G418" s="28" t="s">
        <v>380</v>
      </c>
      <c r="H418" s="28" t="s">
        <v>701</v>
      </c>
      <c r="I418" s="28" t="str">
        <f>VLOOKUP(F418,표준용어사전!$B:$D,3,FALSE)</f>
        <v>명V50</v>
      </c>
      <c r="J418" s="28" t="s">
        <v>718</v>
      </c>
      <c r="K418" s="27">
        <v>50</v>
      </c>
      <c r="L418" s="29" t="s">
        <v>571</v>
      </c>
      <c r="M418" s="29" t="s">
        <v>720</v>
      </c>
      <c r="N418" s="29" t="s">
        <v>711</v>
      </c>
      <c r="O418" s="28"/>
      <c r="P418" s="28"/>
      <c r="Q418" s="28" t="s">
        <v>76</v>
      </c>
      <c r="R418" s="29"/>
      <c r="S418" s="28"/>
      <c r="T418" s="28"/>
      <c r="U418" s="28" t="s">
        <v>75</v>
      </c>
      <c r="V418" s="28" t="s">
        <v>75</v>
      </c>
      <c r="W418" s="28"/>
    </row>
    <row r="419" spans="1:23" s="12" customFormat="1" hidden="1">
      <c r="A419" s="46" t="s">
        <v>572</v>
      </c>
      <c r="B419" s="28" t="s">
        <v>1333</v>
      </c>
      <c r="C419" s="28" t="s">
        <v>88</v>
      </c>
      <c r="D419" s="28" t="s">
        <v>677</v>
      </c>
      <c r="E419" s="28" t="s">
        <v>268</v>
      </c>
      <c r="F419" s="28" t="s">
        <v>500</v>
      </c>
      <c r="G419" s="28" t="s">
        <v>763</v>
      </c>
      <c r="H419" s="28" t="s">
        <v>701</v>
      </c>
      <c r="I419" s="28" t="str">
        <f>VLOOKUP(F419,표준용어사전!$B:$D,3,FALSE)</f>
        <v>코드C1</v>
      </c>
      <c r="J419" s="28" t="s">
        <v>709</v>
      </c>
      <c r="K419" s="27">
        <v>1</v>
      </c>
      <c r="L419" s="29" t="s">
        <v>571</v>
      </c>
      <c r="M419" s="29" t="s">
        <v>722</v>
      </c>
      <c r="N419" s="29" t="s">
        <v>572</v>
      </c>
      <c r="O419" s="28"/>
      <c r="P419" s="28"/>
      <c r="Q419" s="28" t="s">
        <v>1388</v>
      </c>
      <c r="R419" s="29">
        <v>1</v>
      </c>
      <c r="S419" s="28"/>
      <c r="T419" s="28"/>
      <c r="U419" s="28" t="s">
        <v>75</v>
      </c>
      <c r="V419" s="28" t="s">
        <v>75</v>
      </c>
      <c r="W419" s="28"/>
    </row>
    <row r="420" spans="1:23" s="12" customFormat="1" hidden="1">
      <c r="A420" s="46" t="s">
        <v>572</v>
      </c>
      <c r="B420" s="28" t="s">
        <v>1333</v>
      </c>
      <c r="C420" s="28" t="s">
        <v>88</v>
      </c>
      <c r="D420" s="28" t="s">
        <v>677</v>
      </c>
      <c r="E420" s="28" t="s">
        <v>252</v>
      </c>
      <c r="F420" s="28" t="s">
        <v>77</v>
      </c>
      <c r="G420" s="28" t="s">
        <v>77</v>
      </c>
      <c r="H420" s="28" t="s">
        <v>701</v>
      </c>
      <c r="I420" s="28" t="str">
        <f>VLOOKUP(F420,표준용어사전!$B:$D,3,FALSE)</f>
        <v>내용TXT</v>
      </c>
      <c r="J420" s="28" t="s">
        <v>713</v>
      </c>
      <c r="K420" s="27" t="s">
        <v>571</v>
      </c>
      <c r="L420" s="29" t="s">
        <v>571</v>
      </c>
      <c r="M420" s="29"/>
      <c r="N420" s="29" t="s">
        <v>572</v>
      </c>
      <c r="O420" s="28"/>
      <c r="P420" s="28"/>
      <c r="Q420" s="28" t="s">
        <v>76</v>
      </c>
      <c r="R420" s="29"/>
      <c r="S420" s="28"/>
      <c r="T420" s="28"/>
      <c r="U420" s="28" t="s">
        <v>75</v>
      </c>
      <c r="V420" s="28" t="s">
        <v>75</v>
      </c>
      <c r="W420" s="28"/>
    </row>
    <row r="421" spans="1:23" s="12" customFormat="1" hidden="1">
      <c r="A421" s="46" t="s">
        <v>572</v>
      </c>
      <c r="B421" s="28" t="s">
        <v>1333</v>
      </c>
      <c r="C421" s="28" t="s">
        <v>88</v>
      </c>
      <c r="D421" s="28" t="s">
        <v>677</v>
      </c>
      <c r="E421" s="28" t="s">
        <v>90</v>
      </c>
      <c r="F421" s="28" t="s">
        <v>14</v>
      </c>
      <c r="G421" s="28" t="s">
        <v>14</v>
      </c>
      <c r="H421" s="28" t="s">
        <v>701</v>
      </c>
      <c r="I421" s="28" t="str">
        <f>VLOOKUP(F421,표준용어사전!$B:$D,3,FALSE)</f>
        <v>연월일시분초TS</v>
      </c>
      <c r="J421" s="28" t="s">
        <v>16</v>
      </c>
      <c r="K421" s="27" t="s">
        <v>571</v>
      </c>
      <c r="L421" s="29" t="s">
        <v>571</v>
      </c>
      <c r="M421" s="29" t="s">
        <v>726</v>
      </c>
      <c r="N421" s="29" t="s">
        <v>711</v>
      </c>
      <c r="O421" s="28"/>
      <c r="P421" s="28"/>
      <c r="Q421" s="28" t="s">
        <v>76</v>
      </c>
      <c r="R421" s="29"/>
      <c r="S421" s="28"/>
      <c r="T421" s="28" t="s">
        <v>574</v>
      </c>
      <c r="U421" s="28" t="s">
        <v>75</v>
      </c>
      <c r="V421" s="28" t="s">
        <v>75</v>
      </c>
      <c r="W421" s="28"/>
    </row>
    <row r="422" spans="1:23" s="12" customFormat="1" hidden="1">
      <c r="A422" s="46" t="s">
        <v>572</v>
      </c>
      <c r="B422" s="28" t="s">
        <v>1333</v>
      </c>
      <c r="C422" s="28" t="s">
        <v>88</v>
      </c>
      <c r="D422" s="28" t="s">
        <v>677</v>
      </c>
      <c r="E422" s="28" t="s">
        <v>91</v>
      </c>
      <c r="F422" s="28" t="s">
        <v>369</v>
      </c>
      <c r="G422" s="28" t="s">
        <v>369</v>
      </c>
      <c r="H422" s="28" t="s">
        <v>701</v>
      </c>
      <c r="I422" s="28" t="str">
        <f>VLOOKUP(F422,표준용어사전!$B:$D,3,FALSE)</f>
        <v>명V20</v>
      </c>
      <c r="J422" s="28" t="s">
        <v>78</v>
      </c>
      <c r="K422" s="27">
        <v>20</v>
      </c>
      <c r="L422" s="29" t="s">
        <v>571</v>
      </c>
      <c r="M422" s="29" t="s">
        <v>727</v>
      </c>
      <c r="N422" s="29" t="s">
        <v>75</v>
      </c>
      <c r="O422" s="28"/>
      <c r="P422" s="28"/>
      <c r="Q422" s="28" t="s">
        <v>76</v>
      </c>
      <c r="R422" s="29"/>
      <c r="S422" s="28"/>
      <c r="T422" s="28" t="s">
        <v>571</v>
      </c>
      <c r="U422" s="28" t="s">
        <v>75</v>
      </c>
      <c r="V422" s="28" t="s">
        <v>75</v>
      </c>
      <c r="W422" s="28"/>
    </row>
    <row r="423" spans="1:23" s="12" customFormat="1" hidden="1">
      <c r="A423" s="46" t="s">
        <v>572</v>
      </c>
      <c r="B423" s="28" t="s">
        <v>1333</v>
      </c>
      <c r="C423" s="28" t="s">
        <v>88</v>
      </c>
      <c r="D423" s="28" t="s">
        <v>677</v>
      </c>
      <c r="E423" s="28" t="s">
        <v>92</v>
      </c>
      <c r="F423" s="28" t="s">
        <v>15</v>
      </c>
      <c r="G423" s="28" t="s">
        <v>15</v>
      </c>
      <c r="H423" s="28" t="s">
        <v>701</v>
      </c>
      <c r="I423" s="28" t="str">
        <f>VLOOKUP(F423,표준용어사전!$B:$D,3,FALSE)</f>
        <v>연월일시분초TS</v>
      </c>
      <c r="J423" s="28" t="s">
        <v>16</v>
      </c>
      <c r="K423" s="27" t="s">
        <v>571</v>
      </c>
      <c r="L423" s="29" t="s">
        <v>571</v>
      </c>
      <c r="M423" s="29" t="s">
        <v>726</v>
      </c>
      <c r="N423" s="29" t="s">
        <v>75</v>
      </c>
      <c r="O423" s="28"/>
      <c r="P423" s="28"/>
      <c r="Q423" s="28" t="s">
        <v>76</v>
      </c>
      <c r="R423" s="29"/>
      <c r="S423" s="28"/>
      <c r="T423" s="28" t="s">
        <v>574</v>
      </c>
      <c r="U423" s="28" t="s">
        <v>75</v>
      </c>
      <c r="V423" s="28" t="s">
        <v>75</v>
      </c>
      <c r="W423" s="28"/>
    </row>
    <row r="424" spans="1:23" s="12" customFormat="1" hidden="1">
      <c r="A424" s="46" t="s">
        <v>572</v>
      </c>
      <c r="B424" s="28" t="s">
        <v>1333</v>
      </c>
      <c r="C424" s="28" t="s">
        <v>88</v>
      </c>
      <c r="D424" s="28" t="s">
        <v>677</v>
      </c>
      <c r="E424" s="28" t="s">
        <v>93</v>
      </c>
      <c r="F424" s="28" t="s">
        <v>370</v>
      </c>
      <c r="G424" s="28" t="s">
        <v>370</v>
      </c>
      <c r="H424" s="28" t="s">
        <v>701</v>
      </c>
      <c r="I424" s="28" t="str">
        <f>VLOOKUP(F424,표준용어사전!$B:$D,3,FALSE)</f>
        <v>명V20</v>
      </c>
      <c r="J424" s="28" t="s">
        <v>78</v>
      </c>
      <c r="K424" s="27">
        <v>20</v>
      </c>
      <c r="L424" s="29" t="s">
        <v>571</v>
      </c>
      <c r="M424" s="29" t="s">
        <v>727</v>
      </c>
      <c r="N424" s="29" t="s">
        <v>75</v>
      </c>
      <c r="O424" s="28"/>
      <c r="P424" s="28"/>
      <c r="Q424" s="28" t="s">
        <v>76</v>
      </c>
      <c r="R424" s="29"/>
      <c r="S424" s="28"/>
      <c r="T424" s="28" t="s">
        <v>571</v>
      </c>
      <c r="U424" s="28" t="s">
        <v>75</v>
      </c>
      <c r="V424" s="28" t="s">
        <v>75</v>
      </c>
      <c r="W424" s="28"/>
    </row>
    <row r="425" spans="1:23" s="12" customFormat="1" hidden="1">
      <c r="A425" s="46" t="s">
        <v>572</v>
      </c>
      <c r="B425" s="28" t="s">
        <v>1335</v>
      </c>
      <c r="C425" s="28" t="s">
        <v>88</v>
      </c>
      <c r="D425" s="28" t="s">
        <v>631</v>
      </c>
      <c r="E425" s="28" t="s">
        <v>103</v>
      </c>
      <c r="F425" s="28" t="s">
        <v>380</v>
      </c>
      <c r="G425" s="28" t="s">
        <v>380</v>
      </c>
      <c r="H425" s="28" t="s">
        <v>194</v>
      </c>
      <c r="I425" s="28" t="str">
        <f>VLOOKUP(F425,표준용어사전!$B:$D,3,FALSE)</f>
        <v>명V50</v>
      </c>
      <c r="J425" s="28" t="s">
        <v>718</v>
      </c>
      <c r="K425" s="27">
        <v>50</v>
      </c>
      <c r="L425" s="29" t="s">
        <v>571</v>
      </c>
      <c r="M425" s="29" t="s">
        <v>720</v>
      </c>
      <c r="N425" s="29" t="s">
        <v>711</v>
      </c>
      <c r="O425" s="28" t="s">
        <v>641</v>
      </c>
      <c r="P425" s="28"/>
      <c r="Q425" s="28" t="s">
        <v>76</v>
      </c>
      <c r="R425" s="29"/>
      <c r="S425" s="28"/>
      <c r="T425" s="28"/>
      <c r="U425" s="28" t="s">
        <v>75</v>
      </c>
      <c r="V425" s="28" t="s">
        <v>75</v>
      </c>
      <c r="W425" s="28"/>
    </row>
    <row r="426" spans="1:23" s="12" customFormat="1" hidden="1">
      <c r="A426" s="46" t="s">
        <v>572</v>
      </c>
      <c r="B426" s="28" t="s">
        <v>1335</v>
      </c>
      <c r="C426" s="28" t="s">
        <v>88</v>
      </c>
      <c r="D426" s="28" t="s">
        <v>631</v>
      </c>
      <c r="E426" s="28" t="s">
        <v>89</v>
      </c>
      <c r="F426" s="28" t="s">
        <v>501</v>
      </c>
      <c r="G426" s="28" t="s">
        <v>501</v>
      </c>
      <c r="H426" s="28" t="s">
        <v>194</v>
      </c>
      <c r="I426" s="28" t="str">
        <f>VLOOKUP(F426,표준용어사전!$B:$D,3,FALSE)</f>
        <v>명V20</v>
      </c>
      <c r="J426" s="28" t="s">
        <v>718</v>
      </c>
      <c r="K426" s="27">
        <v>50</v>
      </c>
      <c r="L426" s="29" t="s">
        <v>571</v>
      </c>
      <c r="M426" s="29" t="s">
        <v>720</v>
      </c>
      <c r="N426" s="29" t="s">
        <v>711</v>
      </c>
      <c r="O426" s="28"/>
      <c r="P426" s="28"/>
      <c r="Q426" s="28" t="s">
        <v>76</v>
      </c>
      <c r="R426" s="29"/>
      <c r="S426" s="28"/>
      <c r="T426" s="28"/>
      <c r="U426" s="28" t="s">
        <v>75</v>
      </c>
      <c r="V426" s="28" t="s">
        <v>75</v>
      </c>
      <c r="W426" s="28"/>
    </row>
    <row r="427" spans="1:23" s="12" customFormat="1" hidden="1">
      <c r="A427" s="46" t="s">
        <v>572</v>
      </c>
      <c r="B427" s="28" t="s">
        <v>1335</v>
      </c>
      <c r="C427" s="28" t="s">
        <v>88</v>
      </c>
      <c r="D427" s="28" t="s">
        <v>631</v>
      </c>
      <c r="E427" s="28" t="s">
        <v>195</v>
      </c>
      <c r="F427" s="28" t="s">
        <v>444</v>
      </c>
      <c r="G427" s="28" t="s">
        <v>444</v>
      </c>
      <c r="H427" s="28" t="s">
        <v>194</v>
      </c>
      <c r="I427" s="28" t="str">
        <f>VLOOKUP(F427,표준용어사전!$B:$D,3,FALSE)</f>
        <v>위도N12,10</v>
      </c>
      <c r="J427" s="28" t="s">
        <v>748</v>
      </c>
      <c r="K427" s="27">
        <v>12</v>
      </c>
      <c r="L427" s="29">
        <v>10</v>
      </c>
      <c r="M427" s="29" t="s">
        <v>1350</v>
      </c>
      <c r="N427" s="29" t="s">
        <v>572</v>
      </c>
      <c r="O427" s="28"/>
      <c r="P427" s="28"/>
      <c r="Q427" s="28" t="s">
        <v>76</v>
      </c>
      <c r="R427" s="29"/>
      <c r="S427" s="28"/>
      <c r="T427" s="28"/>
      <c r="U427" s="28" t="s">
        <v>75</v>
      </c>
      <c r="V427" s="28" t="s">
        <v>75</v>
      </c>
      <c r="W427" s="28"/>
    </row>
    <row r="428" spans="1:23" s="12" customFormat="1" hidden="1">
      <c r="A428" s="46" t="s">
        <v>572</v>
      </c>
      <c r="B428" s="28" t="s">
        <v>1335</v>
      </c>
      <c r="C428" s="28" t="s">
        <v>88</v>
      </c>
      <c r="D428" s="28" t="s">
        <v>631</v>
      </c>
      <c r="E428" s="28" t="s">
        <v>196</v>
      </c>
      <c r="F428" s="28" t="s">
        <v>445</v>
      </c>
      <c r="G428" s="28" t="s">
        <v>445</v>
      </c>
      <c r="H428" s="28" t="s">
        <v>194</v>
      </c>
      <c r="I428" s="28" t="str">
        <f>VLOOKUP(F428,표준용어사전!$B:$D,3,FALSE)</f>
        <v>경도N13,10</v>
      </c>
      <c r="J428" s="28" t="s">
        <v>748</v>
      </c>
      <c r="K428" s="27">
        <v>13</v>
      </c>
      <c r="L428" s="29">
        <v>10</v>
      </c>
      <c r="M428" s="29" t="s">
        <v>1351</v>
      </c>
      <c r="N428" s="29" t="s">
        <v>572</v>
      </c>
      <c r="O428" s="28"/>
      <c r="P428" s="28"/>
      <c r="Q428" s="28" t="s">
        <v>76</v>
      </c>
      <c r="R428" s="29"/>
      <c r="S428" s="28"/>
      <c r="T428" s="28"/>
      <c r="U428" s="28" t="s">
        <v>75</v>
      </c>
      <c r="V428" s="28" t="s">
        <v>75</v>
      </c>
      <c r="W428" s="28"/>
    </row>
    <row r="429" spans="1:23" s="12" customFormat="1" hidden="1">
      <c r="A429" s="46" t="s">
        <v>572</v>
      </c>
      <c r="B429" s="28" t="s">
        <v>1335</v>
      </c>
      <c r="C429" s="28" t="s">
        <v>88</v>
      </c>
      <c r="D429" s="28" t="s">
        <v>631</v>
      </c>
      <c r="E429" s="28" t="s">
        <v>197</v>
      </c>
      <c r="F429" s="28" t="s">
        <v>446</v>
      </c>
      <c r="G429" s="28" t="s">
        <v>446</v>
      </c>
      <c r="H429" s="28" t="s">
        <v>194</v>
      </c>
      <c r="I429" s="28" t="str">
        <f>VLOOKUP(F429,표준용어사전!$B:$D,3,FALSE)</f>
        <v>위도N12,10</v>
      </c>
      <c r="J429" s="28" t="s">
        <v>748</v>
      </c>
      <c r="K429" s="27">
        <v>12</v>
      </c>
      <c r="L429" s="29">
        <v>10</v>
      </c>
      <c r="M429" s="29" t="s">
        <v>1350</v>
      </c>
      <c r="N429" s="29" t="s">
        <v>572</v>
      </c>
      <c r="O429" s="28"/>
      <c r="P429" s="28"/>
      <c r="Q429" s="28" t="s">
        <v>76</v>
      </c>
      <c r="R429" s="29"/>
      <c r="S429" s="28"/>
      <c r="T429" s="28"/>
      <c r="U429" s="28" t="s">
        <v>75</v>
      </c>
      <c r="V429" s="28" t="s">
        <v>75</v>
      </c>
      <c r="W429" s="28"/>
    </row>
    <row r="430" spans="1:23" s="12" customFormat="1" hidden="1">
      <c r="A430" s="46" t="s">
        <v>572</v>
      </c>
      <c r="B430" s="28" t="s">
        <v>1335</v>
      </c>
      <c r="C430" s="28" t="s">
        <v>88</v>
      </c>
      <c r="D430" s="28" t="s">
        <v>631</v>
      </c>
      <c r="E430" s="28" t="s">
        <v>198</v>
      </c>
      <c r="F430" s="28" t="s">
        <v>447</v>
      </c>
      <c r="G430" s="28" t="s">
        <v>447</v>
      </c>
      <c r="H430" s="28" t="s">
        <v>194</v>
      </c>
      <c r="I430" s="28" t="str">
        <f>VLOOKUP(F430,표준용어사전!$B:$D,3,FALSE)</f>
        <v>경도N13,10</v>
      </c>
      <c r="J430" s="28" t="s">
        <v>748</v>
      </c>
      <c r="K430" s="27">
        <v>13</v>
      </c>
      <c r="L430" s="29">
        <v>10</v>
      </c>
      <c r="M430" s="29" t="s">
        <v>1351</v>
      </c>
      <c r="N430" s="29" t="s">
        <v>572</v>
      </c>
      <c r="O430" s="28"/>
      <c r="P430" s="28"/>
      <c r="Q430" s="28" t="s">
        <v>76</v>
      </c>
      <c r="R430" s="29"/>
      <c r="S430" s="28"/>
      <c r="T430" s="28"/>
      <c r="U430" s="28" t="s">
        <v>75</v>
      </c>
      <c r="V430" s="28" t="s">
        <v>75</v>
      </c>
      <c r="W430" s="28"/>
    </row>
    <row r="431" spans="1:23" s="12" customFormat="1" hidden="1">
      <c r="A431" s="46" t="s">
        <v>572</v>
      </c>
      <c r="B431" s="28" t="s">
        <v>1335</v>
      </c>
      <c r="C431" s="28" t="s">
        <v>88</v>
      </c>
      <c r="D431" s="28" t="s">
        <v>631</v>
      </c>
      <c r="E431" s="28" t="s">
        <v>199</v>
      </c>
      <c r="F431" s="28" t="s">
        <v>448</v>
      </c>
      <c r="G431" s="28" t="s">
        <v>448</v>
      </c>
      <c r="H431" s="28" t="s">
        <v>194</v>
      </c>
      <c r="I431" s="28" t="e">
        <f>VLOOKUP(F431,표준용어사전!$B:$D,3,FALSE)</f>
        <v>#N/A</v>
      </c>
      <c r="J431" s="28" t="s">
        <v>709</v>
      </c>
      <c r="K431" s="27">
        <v>4</v>
      </c>
      <c r="L431" s="29" t="s">
        <v>571</v>
      </c>
      <c r="M431" s="29" t="s">
        <v>1352</v>
      </c>
      <c r="N431" s="29" t="s">
        <v>572</v>
      </c>
      <c r="O431" s="28"/>
      <c r="P431" s="28"/>
      <c r="Q431" s="28" t="s">
        <v>76</v>
      </c>
      <c r="R431" s="29"/>
      <c r="S431" s="28"/>
      <c r="T431" s="28"/>
      <c r="U431" s="28" t="s">
        <v>75</v>
      </c>
      <c r="V431" s="28" t="s">
        <v>75</v>
      </c>
      <c r="W431" s="28"/>
    </row>
    <row r="432" spans="1:23" s="12" customFormat="1" hidden="1">
      <c r="A432" s="46" t="s">
        <v>572</v>
      </c>
      <c r="B432" s="28" t="s">
        <v>1335</v>
      </c>
      <c r="C432" s="28" t="s">
        <v>88</v>
      </c>
      <c r="D432" s="28" t="s">
        <v>631</v>
      </c>
      <c r="E432" s="28" t="s">
        <v>200</v>
      </c>
      <c r="F432" s="28" t="s">
        <v>449</v>
      </c>
      <c r="G432" s="28" t="s">
        <v>449</v>
      </c>
      <c r="H432" s="28" t="s">
        <v>194</v>
      </c>
      <c r="I432" s="28" t="e">
        <f>VLOOKUP(F432,표준용어사전!$B:$D,3,FALSE)</f>
        <v>#N/A</v>
      </c>
      <c r="J432" s="28" t="s">
        <v>709</v>
      </c>
      <c r="K432" s="27">
        <v>4</v>
      </c>
      <c r="L432" s="29" t="s">
        <v>571</v>
      </c>
      <c r="M432" s="29" t="s">
        <v>1352</v>
      </c>
      <c r="N432" s="29" t="s">
        <v>572</v>
      </c>
      <c r="O432" s="28"/>
      <c r="P432" s="28"/>
      <c r="Q432" s="28" t="s">
        <v>76</v>
      </c>
      <c r="R432" s="29"/>
      <c r="S432" s="28"/>
      <c r="T432" s="28"/>
      <c r="U432" s="28" t="s">
        <v>75</v>
      </c>
      <c r="V432" s="28" t="s">
        <v>75</v>
      </c>
      <c r="W432" s="28"/>
    </row>
    <row r="433" spans="1:23" s="12" customFormat="1" hidden="1">
      <c r="A433" s="46" t="s">
        <v>572</v>
      </c>
      <c r="B433" s="28" t="s">
        <v>1335</v>
      </c>
      <c r="C433" s="28" t="s">
        <v>88</v>
      </c>
      <c r="D433" s="28" t="s">
        <v>631</v>
      </c>
      <c r="E433" s="28" t="s">
        <v>201</v>
      </c>
      <c r="F433" s="28" t="s">
        <v>450</v>
      </c>
      <c r="G433" s="28" t="s">
        <v>450</v>
      </c>
      <c r="H433" s="28" t="s">
        <v>194</v>
      </c>
      <c r="I433" s="28" t="str">
        <f>VLOOKUP(F433,표준용어사전!$B:$D,3,FALSE)</f>
        <v>수N10</v>
      </c>
      <c r="J433" s="28" t="s">
        <v>748</v>
      </c>
      <c r="K433" s="27">
        <v>10</v>
      </c>
      <c r="L433" s="29" t="s">
        <v>571</v>
      </c>
      <c r="M433" s="29">
        <v>9999999999</v>
      </c>
      <c r="N433" s="29" t="s">
        <v>572</v>
      </c>
      <c r="O433" s="28"/>
      <c r="P433" s="28"/>
      <c r="Q433" s="28" t="s">
        <v>76</v>
      </c>
      <c r="R433" s="29"/>
      <c r="S433" s="28"/>
      <c r="T433" s="28"/>
      <c r="U433" s="28" t="s">
        <v>75</v>
      </c>
      <c r="V433" s="28" t="s">
        <v>75</v>
      </c>
      <c r="W433" s="28"/>
    </row>
    <row r="434" spans="1:23" s="12" customFormat="1" hidden="1">
      <c r="A434" s="46" t="s">
        <v>572</v>
      </c>
      <c r="B434" s="28" t="s">
        <v>1335</v>
      </c>
      <c r="C434" s="28" t="s">
        <v>88</v>
      </c>
      <c r="D434" s="28" t="s">
        <v>631</v>
      </c>
      <c r="E434" s="28" t="s">
        <v>183</v>
      </c>
      <c r="F434" s="28" t="s">
        <v>437</v>
      </c>
      <c r="G434" s="28" t="s">
        <v>437</v>
      </c>
      <c r="H434" s="28" t="s">
        <v>194</v>
      </c>
      <c r="I434" s="28" t="str">
        <f>VLOOKUP(F434,표준용어사전!$B:$D,3,FALSE)</f>
        <v>여부C1</v>
      </c>
      <c r="J434" s="28" t="s">
        <v>709</v>
      </c>
      <c r="K434" s="27">
        <v>1</v>
      </c>
      <c r="L434" s="29" t="s">
        <v>571</v>
      </c>
      <c r="M434" s="29" t="s">
        <v>722</v>
      </c>
      <c r="N434" s="29" t="s">
        <v>572</v>
      </c>
      <c r="O434" s="28"/>
      <c r="P434" s="28"/>
      <c r="Q434" s="28" t="s">
        <v>76</v>
      </c>
      <c r="R434" s="29"/>
      <c r="S434" s="28"/>
      <c r="T434" s="28" t="s">
        <v>576</v>
      </c>
      <c r="U434" s="28" t="s">
        <v>75</v>
      </c>
      <c r="V434" s="28" t="s">
        <v>75</v>
      </c>
      <c r="W434" s="28"/>
    </row>
    <row r="435" spans="1:23" s="12" customFormat="1" hidden="1">
      <c r="A435" s="46" t="s">
        <v>572</v>
      </c>
      <c r="B435" s="28" t="s">
        <v>1335</v>
      </c>
      <c r="C435" s="28" t="s">
        <v>88</v>
      </c>
      <c r="D435" s="28" t="s">
        <v>631</v>
      </c>
      <c r="E435" s="28" t="s">
        <v>90</v>
      </c>
      <c r="F435" s="28" t="s">
        <v>14</v>
      </c>
      <c r="G435" s="28" t="s">
        <v>14</v>
      </c>
      <c r="H435" s="28" t="s">
        <v>194</v>
      </c>
      <c r="I435" s="28" t="str">
        <f>VLOOKUP(F435,표준용어사전!$B:$D,3,FALSE)</f>
        <v>연월일시분초TS</v>
      </c>
      <c r="J435" s="28" t="s">
        <v>16</v>
      </c>
      <c r="K435" s="27" t="s">
        <v>571</v>
      </c>
      <c r="L435" s="29" t="s">
        <v>571</v>
      </c>
      <c r="M435" s="29" t="s">
        <v>726</v>
      </c>
      <c r="N435" s="29" t="s">
        <v>711</v>
      </c>
      <c r="O435" s="28"/>
      <c r="P435" s="28"/>
      <c r="Q435" s="28" t="s">
        <v>76</v>
      </c>
      <c r="R435" s="29"/>
      <c r="S435" s="28"/>
      <c r="T435" s="28" t="s">
        <v>574</v>
      </c>
      <c r="U435" s="28" t="s">
        <v>75</v>
      </c>
      <c r="V435" s="28" t="s">
        <v>75</v>
      </c>
      <c r="W435" s="28"/>
    </row>
    <row r="436" spans="1:23" s="12" customFormat="1" hidden="1">
      <c r="A436" s="46" t="s">
        <v>572</v>
      </c>
      <c r="B436" s="28" t="s">
        <v>1335</v>
      </c>
      <c r="C436" s="28" t="s">
        <v>88</v>
      </c>
      <c r="D436" s="28" t="s">
        <v>631</v>
      </c>
      <c r="E436" s="28" t="s">
        <v>91</v>
      </c>
      <c r="F436" s="28" t="s">
        <v>369</v>
      </c>
      <c r="G436" s="28" t="s">
        <v>369</v>
      </c>
      <c r="H436" s="28" t="s">
        <v>194</v>
      </c>
      <c r="I436" s="28" t="str">
        <f>VLOOKUP(F436,표준용어사전!$B:$D,3,FALSE)</f>
        <v>명V20</v>
      </c>
      <c r="J436" s="28" t="s">
        <v>78</v>
      </c>
      <c r="K436" s="27">
        <v>20</v>
      </c>
      <c r="L436" s="29" t="s">
        <v>571</v>
      </c>
      <c r="M436" s="29" t="s">
        <v>727</v>
      </c>
      <c r="N436" s="29" t="s">
        <v>75</v>
      </c>
      <c r="O436" s="28"/>
      <c r="P436" s="28"/>
      <c r="Q436" s="28" t="s">
        <v>76</v>
      </c>
      <c r="R436" s="29"/>
      <c r="S436" s="28"/>
      <c r="T436" s="28" t="s">
        <v>571</v>
      </c>
      <c r="U436" s="28" t="s">
        <v>75</v>
      </c>
      <c r="V436" s="28" t="s">
        <v>75</v>
      </c>
      <c r="W436" s="28"/>
    </row>
    <row r="437" spans="1:23" s="12" customFormat="1" hidden="1">
      <c r="A437" s="46" t="s">
        <v>572</v>
      </c>
      <c r="B437" s="28" t="s">
        <v>1335</v>
      </c>
      <c r="C437" s="28" t="s">
        <v>88</v>
      </c>
      <c r="D437" s="28" t="s">
        <v>631</v>
      </c>
      <c r="E437" s="28" t="s">
        <v>92</v>
      </c>
      <c r="F437" s="28" t="s">
        <v>15</v>
      </c>
      <c r="G437" s="28" t="s">
        <v>15</v>
      </c>
      <c r="H437" s="28" t="s">
        <v>194</v>
      </c>
      <c r="I437" s="28" t="str">
        <f>VLOOKUP(F437,표준용어사전!$B:$D,3,FALSE)</f>
        <v>연월일시분초TS</v>
      </c>
      <c r="J437" s="28" t="s">
        <v>16</v>
      </c>
      <c r="K437" s="27" t="s">
        <v>571</v>
      </c>
      <c r="L437" s="29" t="s">
        <v>571</v>
      </c>
      <c r="M437" s="29" t="s">
        <v>726</v>
      </c>
      <c r="N437" s="29" t="s">
        <v>75</v>
      </c>
      <c r="O437" s="28"/>
      <c r="P437" s="28"/>
      <c r="Q437" s="28" t="s">
        <v>76</v>
      </c>
      <c r="R437" s="29"/>
      <c r="S437" s="28"/>
      <c r="T437" s="28" t="s">
        <v>574</v>
      </c>
      <c r="U437" s="28" t="s">
        <v>75</v>
      </c>
      <c r="V437" s="28" t="s">
        <v>75</v>
      </c>
      <c r="W437" s="28"/>
    </row>
    <row r="438" spans="1:23" s="12" customFormat="1" hidden="1">
      <c r="A438" s="46" t="s">
        <v>572</v>
      </c>
      <c r="B438" s="28" t="s">
        <v>1335</v>
      </c>
      <c r="C438" s="28" t="s">
        <v>88</v>
      </c>
      <c r="D438" s="28" t="s">
        <v>631</v>
      </c>
      <c r="E438" s="28" t="s">
        <v>93</v>
      </c>
      <c r="F438" s="28" t="s">
        <v>370</v>
      </c>
      <c r="G438" s="28" t="s">
        <v>370</v>
      </c>
      <c r="H438" s="28" t="s">
        <v>194</v>
      </c>
      <c r="I438" s="28" t="str">
        <f>VLOOKUP(F438,표준용어사전!$B:$D,3,FALSE)</f>
        <v>명V20</v>
      </c>
      <c r="J438" s="28" t="s">
        <v>78</v>
      </c>
      <c r="K438" s="27">
        <v>20</v>
      </c>
      <c r="L438" s="29" t="s">
        <v>571</v>
      </c>
      <c r="M438" s="29" t="s">
        <v>727</v>
      </c>
      <c r="N438" s="29" t="s">
        <v>75</v>
      </c>
      <c r="O438" s="28"/>
      <c r="P438" s="28"/>
      <c r="Q438" s="28" t="s">
        <v>76</v>
      </c>
      <c r="R438" s="29"/>
      <c r="S438" s="28"/>
      <c r="T438" s="28" t="s">
        <v>571</v>
      </c>
      <c r="U438" s="28" t="s">
        <v>75</v>
      </c>
      <c r="V438" s="28" t="s">
        <v>75</v>
      </c>
      <c r="W438" s="28"/>
    </row>
    <row r="439" spans="1:23" s="12" customFormat="1" hidden="1">
      <c r="A439" s="46" t="s">
        <v>572</v>
      </c>
      <c r="B439" s="28" t="s">
        <v>1335</v>
      </c>
      <c r="C439" s="28" t="s">
        <v>88</v>
      </c>
      <c r="D439" s="28" t="s">
        <v>678</v>
      </c>
      <c r="E439" s="28" t="s">
        <v>89</v>
      </c>
      <c r="F439" s="28" t="s">
        <v>501</v>
      </c>
      <c r="G439" s="28" t="s">
        <v>501</v>
      </c>
      <c r="H439" s="28" t="s">
        <v>160</v>
      </c>
      <c r="I439" s="28" t="str">
        <f>VLOOKUP(F439,표준용어사전!$B:$D,3,FALSE)</f>
        <v>명V20</v>
      </c>
      <c r="J439" s="28" t="s">
        <v>718</v>
      </c>
      <c r="K439" s="27">
        <v>50</v>
      </c>
      <c r="L439" s="29" t="s">
        <v>571</v>
      </c>
      <c r="M439" s="29" t="s">
        <v>720</v>
      </c>
      <c r="N439" s="29" t="s">
        <v>711</v>
      </c>
      <c r="O439" s="28" t="s">
        <v>641</v>
      </c>
      <c r="P439" s="28"/>
      <c r="Q439" s="28" t="s">
        <v>76</v>
      </c>
      <c r="R439" s="29"/>
      <c r="S439" s="28"/>
      <c r="T439" s="28"/>
      <c r="U439" s="28" t="s">
        <v>75</v>
      </c>
      <c r="V439" s="28" t="s">
        <v>75</v>
      </c>
      <c r="W439" s="28"/>
    </row>
    <row r="440" spans="1:23" s="12" customFormat="1" hidden="1">
      <c r="A440" s="46" t="s">
        <v>572</v>
      </c>
      <c r="B440" s="28" t="s">
        <v>1335</v>
      </c>
      <c r="C440" s="28" t="s">
        <v>88</v>
      </c>
      <c r="D440" s="28" t="s">
        <v>678</v>
      </c>
      <c r="E440" s="28" t="s">
        <v>43</v>
      </c>
      <c r="F440" s="28" t="s">
        <v>1611</v>
      </c>
      <c r="G440" s="28" t="s">
        <v>1611</v>
      </c>
      <c r="H440" s="28" t="s">
        <v>160</v>
      </c>
      <c r="I440" s="28" t="e">
        <f>VLOOKUP(F440,표준용어사전!$B:$D,3,FALSE)</f>
        <v>#N/A</v>
      </c>
      <c r="J440" s="28" t="s">
        <v>748</v>
      </c>
      <c r="K440" s="27">
        <v>10</v>
      </c>
      <c r="L440" s="29" t="s">
        <v>571</v>
      </c>
      <c r="M440" s="29">
        <v>9999999999</v>
      </c>
      <c r="N440" s="29" t="s">
        <v>711</v>
      </c>
      <c r="O440" s="28" t="s">
        <v>573</v>
      </c>
      <c r="P440" s="28"/>
      <c r="Q440" s="28" t="s">
        <v>76</v>
      </c>
      <c r="R440" s="29"/>
      <c r="S440" s="28"/>
      <c r="T440" s="28"/>
      <c r="U440" s="28" t="s">
        <v>75</v>
      </c>
      <c r="V440" s="28" t="s">
        <v>75</v>
      </c>
      <c r="W440" s="28"/>
    </row>
    <row r="441" spans="1:23" s="12" customFormat="1" hidden="1">
      <c r="A441" s="46" t="s">
        <v>572</v>
      </c>
      <c r="B441" s="28" t="s">
        <v>1335</v>
      </c>
      <c r="C441" s="28" t="s">
        <v>88</v>
      </c>
      <c r="D441" s="28" t="s">
        <v>678</v>
      </c>
      <c r="E441" s="28" t="s">
        <v>161</v>
      </c>
      <c r="F441" s="28" t="s">
        <v>420</v>
      </c>
      <c r="G441" s="28" t="s">
        <v>420</v>
      </c>
      <c r="H441" s="28" t="s">
        <v>160</v>
      </c>
      <c r="I441" s="28" t="str">
        <f>VLOOKUP(F441,표준용어사전!$B:$D,3,FALSE)</f>
        <v>내용TXT</v>
      </c>
      <c r="J441" s="28" t="s">
        <v>713</v>
      </c>
      <c r="K441" s="27" t="s">
        <v>571</v>
      </c>
      <c r="L441" s="29" t="s">
        <v>571</v>
      </c>
      <c r="M441" s="29"/>
      <c r="N441" s="29" t="s">
        <v>572</v>
      </c>
      <c r="O441" s="28"/>
      <c r="P441" s="28"/>
      <c r="Q441" s="28" t="s">
        <v>76</v>
      </c>
      <c r="R441" s="29"/>
      <c r="S441" s="28"/>
      <c r="T441" s="28" t="s">
        <v>576</v>
      </c>
      <c r="U441" s="28" t="s">
        <v>75</v>
      </c>
      <c r="V441" s="28" t="s">
        <v>75</v>
      </c>
      <c r="W441" s="28"/>
    </row>
    <row r="442" spans="1:23" s="12" customFormat="1" hidden="1">
      <c r="A442" s="46" t="s">
        <v>572</v>
      </c>
      <c r="B442" s="28" t="s">
        <v>1335</v>
      </c>
      <c r="C442" s="28" t="s">
        <v>88</v>
      </c>
      <c r="D442" s="28" t="s">
        <v>678</v>
      </c>
      <c r="E442" s="28" t="s">
        <v>162</v>
      </c>
      <c r="F442" s="28" t="s">
        <v>421</v>
      </c>
      <c r="G442" s="28" t="s">
        <v>421</v>
      </c>
      <c r="H442" s="28" t="s">
        <v>160</v>
      </c>
      <c r="I442" s="28" t="str">
        <f>VLOOKUP(F442,표준용어사전!$B:$D,3,FALSE)</f>
        <v>여부C1</v>
      </c>
      <c r="J442" s="28" t="s">
        <v>709</v>
      </c>
      <c r="K442" s="27">
        <v>1</v>
      </c>
      <c r="L442" s="29" t="s">
        <v>571</v>
      </c>
      <c r="M442" s="29" t="s">
        <v>722</v>
      </c>
      <c r="N442" s="29" t="s">
        <v>572</v>
      </c>
      <c r="O442" s="28"/>
      <c r="P442" s="28"/>
      <c r="Q442" s="28" t="s">
        <v>76</v>
      </c>
      <c r="R442" s="29"/>
      <c r="S442" s="28"/>
      <c r="T442" s="28"/>
      <c r="U442" s="28" t="s">
        <v>75</v>
      </c>
      <c r="V442" s="28" t="s">
        <v>75</v>
      </c>
      <c r="W442" s="28"/>
    </row>
    <row r="443" spans="1:23" s="12" customFormat="1" hidden="1">
      <c r="A443" s="46" t="s">
        <v>572</v>
      </c>
      <c r="B443" s="28" t="s">
        <v>1335</v>
      </c>
      <c r="C443" s="28" t="s">
        <v>88</v>
      </c>
      <c r="D443" s="28" t="s">
        <v>678</v>
      </c>
      <c r="E443" s="28" t="s">
        <v>142</v>
      </c>
      <c r="F443" s="28" t="s">
        <v>1612</v>
      </c>
      <c r="G443" s="28" t="s">
        <v>1612</v>
      </c>
      <c r="H443" s="28" t="s">
        <v>160</v>
      </c>
      <c r="I443" s="28" t="e">
        <f>VLOOKUP(F443,표준용어사전!$B:$D,3,FALSE)</f>
        <v>#N/A</v>
      </c>
      <c r="J443" s="28" t="s">
        <v>718</v>
      </c>
      <c r="K443" s="27">
        <v>2000</v>
      </c>
      <c r="L443" s="29" t="s">
        <v>571</v>
      </c>
      <c r="M443" s="29" t="s">
        <v>728</v>
      </c>
      <c r="N443" s="29" t="s">
        <v>572</v>
      </c>
      <c r="O443" s="28"/>
      <c r="P443" s="28"/>
      <c r="Q443" s="28" t="s">
        <v>76</v>
      </c>
      <c r="R443" s="29"/>
      <c r="S443" s="28"/>
      <c r="T443" s="28"/>
      <c r="U443" s="28" t="s">
        <v>75</v>
      </c>
      <c r="V443" s="28" t="s">
        <v>75</v>
      </c>
      <c r="W443" s="28"/>
    </row>
    <row r="444" spans="1:23" s="12" customFormat="1" hidden="1">
      <c r="A444" s="46" t="s">
        <v>572</v>
      </c>
      <c r="B444" s="28" t="s">
        <v>1335</v>
      </c>
      <c r="C444" s="28" t="s">
        <v>88</v>
      </c>
      <c r="D444" s="28" t="s">
        <v>678</v>
      </c>
      <c r="E444" s="28" t="s">
        <v>90</v>
      </c>
      <c r="F444" s="28" t="s">
        <v>14</v>
      </c>
      <c r="G444" s="28" t="s">
        <v>14</v>
      </c>
      <c r="H444" s="28" t="s">
        <v>160</v>
      </c>
      <c r="I444" s="28" t="str">
        <f>VLOOKUP(F444,표준용어사전!$B:$D,3,FALSE)</f>
        <v>연월일시분초TS</v>
      </c>
      <c r="J444" s="28" t="s">
        <v>16</v>
      </c>
      <c r="K444" s="27" t="s">
        <v>571</v>
      </c>
      <c r="L444" s="29" t="s">
        <v>571</v>
      </c>
      <c r="M444" s="29" t="s">
        <v>726</v>
      </c>
      <c r="N444" s="29" t="s">
        <v>711</v>
      </c>
      <c r="O444" s="28"/>
      <c r="P444" s="28"/>
      <c r="Q444" s="28" t="s">
        <v>76</v>
      </c>
      <c r="R444" s="29"/>
      <c r="S444" s="28"/>
      <c r="T444" s="28" t="s">
        <v>574</v>
      </c>
      <c r="U444" s="28" t="s">
        <v>75</v>
      </c>
      <c r="V444" s="28" t="s">
        <v>75</v>
      </c>
      <c r="W444" s="28"/>
    </row>
    <row r="445" spans="1:23" s="12" customFormat="1" hidden="1">
      <c r="A445" s="46" t="s">
        <v>572</v>
      </c>
      <c r="B445" s="28" t="s">
        <v>1335</v>
      </c>
      <c r="C445" s="28" t="s">
        <v>88</v>
      </c>
      <c r="D445" s="28" t="s">
        <v>678</v>
      </c>
      <c r="E445" s="28" t="s">
        <v>91</v>
      </c>
      <c r="F445" s="28" t="s">
        <v>369</v>
      </c>
      <c r="G445" s="28" t="s">
        <v>369</v>
      </c>
      <c r="H445" s="28" t="s">
        <v>160</v>
      </c>
      <c r="I445" s="28" t="str">
        <f>VLOOKUP(F445,표준용어사전!$B:$D,3,FALSE)</f>
        <v>명V20</v>
      </c>
      <c r="J445" s="28" t="s">
        <v>78</v>
      </c>
      <c r="K445" s="27">
        <v>20</v>
      </c>
      <c r="L445" s="29" t="s">
        <v>571</v>
      </c>
      <c r="M445" s="29" t="s">
        <v>727</v>
      </c>
      <c r="N445" s="29" t="s">
        <v>75</v>
      </c>
      <c r="O445" s="28"/>
      <c r="P445" s="28"/>
      <c r="Q445" s="28" t="s">
        <v>76</v>
      </c>
      <c r="R445" s="29"/>
      <c r="S445" s="28"/>
      <c r="T445" s="28" t="s">
        <v>571</v>
      </c>
      <c r="U445" s="28" t="s">
        <v>75</v>
      </c>
      <c r="V445" s="28" t="s">
        <v>75</v>
      </c>
      <c r="W445" s="28"/>
    </row>
    <row r="446" spans="1:23" s="12" customFormat="1" hidden="1">
      <c r="A446" s="46" t="s">
        <v>572</v>
      </c>
      <c r="B446" s="28" t="s">
        <v>1335</v>
      </c>
      <c r="C446" s="28" t="s">
        <v>88</v>
      </c>
      <c r="D446" s="28" t="s">
        <v>678</v>
      </c>
      <c r="E446" s="28" t="s">
        <v>92</v>
      </c>
      <c r="F446" s="28" t="s">
        <v>15</v>
      </c>
      <c r="G446" s="28" t="s">
        <v>15</v>
      </c>
      <c r="H446" s="28" t="s">
        <v>160</v>
      </c>
      <c r="I446" s="28" t="str">
        <f>VLOOKUP(F446,표준용어사전!$B:$D,3,FALSE)</f>
        <v>연월일시분초TS</v>
      </c>
      <c r="J446" s="28" t="s">
        <v>16</v>
      </c>
      <c r="K446" s="27" t="s">
        <v>571</v>
      </c>
      <c r="L446" s="29" t="s">
        <v>571</v>
      </c>
      <c r="M446" s="29" t="s">
        <v>726</v>
      </c>
      <c r="N446" s="29" t="s">
        <v>75</v>
      </c>
      <c r="O446" s="28"/>
      <c r="P446" s="28"/>
      <c r="Q446" s="28" t="s">
        <v>76</v>
      </c>
      <c r="R446" s="29"/>
      <c r="S446" s="28"/>
      <c r="T446" s="28" t="s">
        <v>574</v>
      </c>
      <c r="U446" s="28" t="s">
        <v>75</v>
      </c>
      <c r="V446" s="28" t="s">
        <v>75</v>
      </c>
      <c r="W446" s="28"/>
    </row>
    <row r="447" spans="1:23" s="12" customFormat="1" hidden="1">
      <c r="A447" s="46" t="s">
        <v>572</v>
      </c>
      <c r="B447" s="28" t="s">
        <v>1335</v>
      </c>
      <c r="C447" s="28" t="s">
        <v>88</v>
      </c>
      <c r="D447" s="28" t="s">
        <v>678</v>
      </c>
      <c r="E447" s="28" t="s">
        <v>93</v>
      </c>
      <c r="F447" s="28" t="s">
        <v>370</v>
      </c>
      <c r="G447" s="28" t="s">
        <v>370</v>
      </c>
      <c r="H447" s="28" t="s">
        <v>160</v>
      </c>
      <c r="I447" s="28" t="str">
        <f>VLOOKUP(F447,표준용어사전!$B:$D,3,FALSE)</f>
        <v>명V20</v>
      </c>
      <c r="J447" s="28" t="s">
        <v>78</v>
      </c>
      <c r="K447" s="27">
        <v>20</v>
      </c>
      <c r="L447" s="29" t="s">
        <v>571</v>
      </c>
      <c r="M447" s="29" t="s">
        <v>727</v>
      </c>
      <c r="N447" s="29" t="s">
        <v>75</v>
      </c>
      <c r="O447" s="28"/>
      <c r="P447" s="28"/>
      <c r="Q447" s="28" t="s">
        <v>76</v>
      </c>
      <c r="R447" s="29"/>
      <c r="S447" s="28"/>
      <c r="T447" s="28" t="s">
        <v>571</v>
      </c>
      <c r="U447" s="28" t="s">
        <v>75</v>
      </c>
      <c r="V447" s="28" t="s">
        <v>75</v>
      </c>
      <c r="W447" s="28"/>
    </row>
    <row r="448" spans="1:23" s="12" customFormat="1" hidden="1">
      <c r="A448" s="46" t="s">
        <v>572</v>
      </c>
      <c r="B448" s="28" t="s">
        <v>1335</v>
      </c>
      <c r="C448" s="28" t="s">
        <v>88</v>
      </c>
      <c r="D448" s="28" t="s">
        <v>630</v>
      </c>
      <c r="E448" s="28" t="s">
        <v>151</v>
      </c>
      <c r="F448" s="28" t="s">
        <v>413</v>
      </c>
      <c r="G448" s="28" t="s">
        <v>413</v>
      </c>
      <c r="H448" s="28" t="s">
        <v>152</v>
      </c>
      <c r="I448" s="28" t="str">
        <f>VLOOKUP(F448,표준용어사전!$B:$D,3,FALSE)</f>
        <v>번호N10</v>
      </c>
      <c r="J448" s="28" t="s">
        <v>717</v>
      </c>
      <c r="K448" s="27" t="s">
        <v>571</v>
      </c>
      <c r="L448" s="29" t="s">
        <v>571</v>
      </c>
      <c r="M448" s="29"/>
      <c r="N448" s="29" t="s">
        <v>711</v>
      </c>
      <c r="O448" s="28" t="s">
        <v>641</v>
      </c>
      <c r="P448" s="28"/>
      <c r="Q448" s="28" t="s">
        <v>76</v>
      </c>
      <c r="R448" s="29"/>
      <c r="S448" s="28"/>
      <c r="T448" s="28"/>
      <c r="U448" s="28" t="s">
        <v>75</v>
      </c>
      <c r="V448" s="28" t="s">
        <v>75</v>
      </c>
      <c r="W448" s="28"/>
    </row>
    <row r="449" spans="1:23" s="12" customFormat="1" hidden="1">
      <c r="A449" s="46" t="s">
        <v>572</v>
      </c>
      <c r="B449" s="28" t="s">
        <v>1335</v>
      </c>
      <c r="C449" s="28" t="s">
        <v>88</v>
      </c>
      <c r="D449" s="28" t="s">
        <v>630</v>
      </c>
      <c r="E449" s="28" t="s">
        <v>89</v>
      </c>
      <c r="F449" s="28" t="s">
        <v>760</v>
      </c>
      <c r="G449" s="28" t="s">
        <v>760</v>
      </c>
      <c r="H449" s="28" t="s">
        <v>152</v>
      </c>
      <c r="I449" s="28" t="str">
        <f>VLOOKUP(F449,표준용어사전!$B:$D,3,FALSE)</f>
        <v>명V20</v>
      </c>
      <c r="J449" s="28" t="s">
        <v>718</v>
      </c>
      <c r="K449" s="27">
        <v>50</v>
      </c>
      <c r="L449" s="29" t="s">
        <v>571</v>
      </c>
      <c r="M449" s="29" t="s">
        <v>720</v>
      </c>
      <c r="N449" s="29" t="s">
        <v>711</v>
      </c>
      <c r="O449" s="28"/>
      <c r="P449" s="28"/>
      <c r="Q449" s="28" t="s">
        <v>76</v>
      </c>
      <c r="R449" s="29"/>
      <c r="S449" s="28"/>
      <c r="T449" s="28"/>
      <c r="U449" s="28" t="s">
        <v>75</v>
      </c>
      <c r="V449" s="28" t="s">
        <v>75</v>
      </c>
      <c r="W449" s="28"/>
    </row>
    <row r="450" spans="1:23" s="12" customFormat="1" hidden="1">
      <c r="A450" s="46" t="s">
        <v>572</v>
      </c>
      <c r="B450" s="28" t="s">
        <v>1335</v>
      </c>
      <c r="C450" s="28" t="s">
        <v>88</v>
      </c>
      <c r="D450" s="28" t="s">
        <v>630</v>
      </c>
      <c r="E450" s="28" t="s">
        <v>137</v>
      </c>
      <c r="F450" s="28" t="s">
        <v>1613</v>
      </c>
      <c r="G450" s="28" t="s">
        <v>1613</v>
      </c>
      <c r="H450" s="28" t="s">
        <v>152</v>
      </c>
      <c r="I450" s="28" t="str">
        <f>VLOOKUP(F450,표준용어사전!$B:$D,3,FALSE)</f>
        <v>명V50</v>
      </c>
      <c r="J450" s="28" t="s">
        <v>718</v>
      </c>
      <c r="K450" s="27">
        <v>50</v>
      </c>
      <c r="L450" s="29" t="s">
        <v>571</v>
      </c>
      <c r="M450" s="29" t="s">
        <v>720</v>
      </c>
      <c r="N450" s="29" t="s">
        <v>75</v>
      </c>
      <c r="O450" s="28"/>
      <c r="P450" s="28"/>
      <c r="Q450" s="28" t="s">
        <v>76</v>
      </c>
      <c r="R450" s="29"/>
      <c r="S450" s="28"/>
      <c r="T450" s="28"/>
      <c r="U450" s="28" t="s">
        <v>75</v>
      </c>
      <c r="V450" s="28" t="s">
        <v>75</v>
      </c>
      <c r="W450" s="28"/>
    </row>
    <row r="451" spans="1:23" s="12" customFormat="1" hidden="1">
      <c r="A451" s="46" t="s">
        <v>572</v>
      </c>
      <c r="B451" s="28" t="s">
        <v>1335</v>
      </c>
      <c r="C451" s="28" t="s">
        <v>88</v>
      </c>
      <c r="D451" s="28" t="s">
        <v>630</v>
      </c>
      <c r="E451" s="28" t="s">
        <v>153</v>
      </c>
      <c r="F451" s="28" t="s">
        <v>79</v>
      </c>
      <c r="G451" s="28" t="s">
        <v>79</v>
      </c>
      <c r="H451" s="28" t="s">
        <v>152</v>
      </c>
      <c r="I451" s="28" t="str">
        <f>VLOOKUP(F451,표준용어사전!$B:$D,3,FALSE)</f>
        <v>코드C2</v>
      </c>
      <c r="J451" s="28" t="s">
        <v>709</v>
      </c>
      <c r="K451" s="27">
        <v>50</v>
      </c>
      <c r="L451" s="29" t="s">
        <v>571</v>
      </c>
      <c r="M451" s="29" t="s">
        <v>725</v>
      </c>
      <c r="N451" s="29" t="s">
        <v>75</v>
      </c>
      <c r="O451" s="28"/>
      <c r="P451" s="28"/>
      <c r="Q451" s="28" t="s">
        <v>76</v>
      </c>
      <c r="R451" s="29"/>
      <c r="S451" s="28"/>
      <c r="T451" s="28"/>
      <c r="U451" s="28" t="s">
        <v>75</v>
      </c>
      <c r="V451" s="28" t="s">
        <v>75</v>
      </c>
      <c r="W451" s="28"/>
    </row>
    <row r="452" spans="1:23" s="12" customFormat="1" hidden="1">
      <c r="A452" s="46" t="s">
        <v>572</v>
      </c>
      <c r="B452" s="28" t="s">
        <v>1335</v>
      </c>
      <c r="C452" s="28" t="s">
        <v>88</v>
      </c>
      <c r="D452" s="28" t="s">
        <v>630</v>
      </c>
      <c r="E452" s="28" t="s">
        <v>154</v>
      </c>
      <c r="F452" s="28" t="s">
        <v>414</v>
      </c>
      <c r="G452" s="28" t="s">
        <v>414</v>
      </c>
      <c r="H452" s="28" t="s">
        <v>152</v>
      </c>
      <c r="I452" s="28" t="str">
        <f>VLOOKUP(F452,표준용어사전!$B:$D,3,FALSE)</f>
        <v>여부C1</v>
      </c>
      <c r="J452" s="28" t="s">
        <v>709</v>
      </c>
      <c r="K452" s="27">
        <v>1</v>
      </c>
      <c r="L452" s="29" t="s">
        <v>571</v>
      </c>
      <c r="M452" s="29" t="s">
        <v>722</v>
      </c>
      <c r="N452" s="29" t="s">
        <v>75</v>
      </c>
      <c r="O452" s="28"/>
      <c r="P452" s="28"/>
      <c r="Q452" s="28" t="s">
        <v>76</v>
      </c>
      <c r="R452" s="29"/>
      <c r="S452" s="28"/>
      <c r="T452" s="28"/>
      <c r="U452" s="28" t="s">
        <v>75</v>
      </c>
      <c r="V452" s="28" t="s">
        <v>75</v>
      </c>
      <c r="W452" s="28"/>
    </row>
    <row r="453" spans="1:23" s="12" customFormat="1" hidden="1">
      <c r="A453" s="46" t="s">
        <v>572</v>
      </c>
      <c r="B453" s="28" t="s">
        <v>1335</v>
      </c>
      <c r="C453" s="28" t="s">
        <v>88</v>
      </c>
      <c r="D453" s="28" t="s">
        <v>630</v>
      </c>
      <c r="E453" s="28" t="s">
        <v>155</v>
      </c>
      <c r="F453" s="28" t="s">
        <v>415</v>
      </c>
      <c r="G453" s="28" t="s">
        <v>415</v>
      </c>
      <c r="H453" s="28" t="s">
        <v>152</v>
      </c>
      <c r="I453" s="28" t="str">
        <f>VLOOKUP(F453,표준용어사전!$B:$D,3,FALSE)</f>
        <v>명V256</v>
      </c>
      <c r="J453" s="28" t="s">
        <v>718</v>
      </c>
      <c r="K453" s="27">
        <v>256</v>
      </c>
      <c r="L453" s="29" t="s">
        <v>571</v>
      </c>
      <c r="M453" s="29" t="s">
        <v>730</v>
      </c>
      <c r="N453" s="29" t="s">
        <v>75</v>
      </c>
      <c r="O453" s="28"/>
      <c r="P453" s="28"/>
      <c r="Q453" s="28" t="s">
        <v>76</v>
      </c>
      <c r="R453" s="29"/>
      <c r="S453" s="28"/>
      <c r="T453" s="28"/>
      <c r="U453" s="28" t="s">
        <v>75</v>
      </c>
      <c r="V453" s="28" t="s">
        <v>75</v>
      </c>
      <c r="W453" s="28"/>
    </row>
    <row r="454" spans="1:23" s="12" customFormat="1" hidden="1">
      <c r="A454" s="46" t="s">
        <v>572</v>
      </c>
      <c r="B454" s="28" t="s">
        <v>1335</v>
      </c>
      <c r="C454" s="28" t="s">
        <v>88</v>
      </c>
      <c r="D454" s="28" t="s">
        <v>630</v>
      </c>
      <c r="E454" s="28" t="s">
        <v>156</v>
      </c>
      <c r="F454" s="28" t="s">
        <v>416</v>
      </c>
      <c r="G454" s="28" t="s">
        <v>416</v>
      </c>
      <c r="H454" s="28" t="s">
        <v>152</v>
      </c>
      <c r="I454" s="28" t="str">
        <f>VLOOKUP(F454,표준용어사전!$B:$D,3,FALSE)</f>
        <v>명V512</v>
      </c>
      <c r="J454" s="28" t="s">
        <v>718</v>
      </c>
      <c r="K454" s="27">
        <v>512</v>
      </c>
      <c r="L454" s="29" t="s">
        <v>571</v>
      </c>
      <c r="M454" s="29" t="s">
        <v>721</v>
      </c>
      <c r="N454" s="29" t="s">
        <v>75</v>
      </c>
      <c r="O454" s="28"/>
      <c r="P454" s="28"/>
      <c r="Q454" s="28" t="s">
        <v>76</v>
      </c>
      <c r="R454" s="29"/>
      <c r="S454" s="28"/>
      <c r="T454" s="28"/>
      <c r="U454" s="28" t="s">
        <v>75</v>
      </c>
      <c r="V454" s="28" t="s">
        <v>75</v>
      </c>
      <c r="W454" s="28"/>
    </row>
    <row r="455" spans="1:23" s="12" customFormat="1" hidden="1">
      <c r="A455" s="46" t="s">
        <v>572</v>
      </c>
      <c r="B455" s="28" t="s">
        <v>1335</v>
      </c>
      <c r="C455" s="28" t="s">
        <v>88</v>
      </c>
      <c r="D455" s="28" t="s">
        <v>630</v>
      </c>
      <c r="E455" s="28" t="s">
        <v>157</v>
      </c>
      <c r="F455" s="28" t="s">
        <v>417</v>
      </c>
      <c r="G455" s="28" t="s">
        <v>417</v>
      </c>
      <c r="H455" s="28" t="s">
        <v>152</v>
      </c>
      <c r="I455" s="28" t="str">
        <f>VLOOKUP(F455,표준용어사전!$B:$D,3,FALSE)</f>
        <v>내용TXT</v>
      </c>
      <c r="J455" s="28" t="s">
        <v>713</v>
      </c>
      <c r="K455" s="27" t="s">
        <v>571</v>
      </c>
      <c r="L455" s="29" t="s">
        <v>571</v>
      </c>
      <c r="M455" s="29"/>
      <c r="N455" s="29" t="s">
        <v>75</v>
      </c>
      <c r="O455" s="28"/>
      <c r="P455" s="28"/>
      <c r="Q455" s="28" t="s">
        <v>76</v>
      </c>
      <c r="R455" s="29"/>
      <c r="S455" s="28"/>
      <c r="T455" s="28"/>
      <c r="U455" s="28" t="s">
        <v>75</v>
      </c>
      <c r="V455" s="28" t="s">
        <v>75</v>
      </c>
      <c r="W455" s="28"/>
    </row>
    <row r="456" spans="1:23" s="12" customFormat="1" hidden="1">
      <c r="A456" s="46" t="s">
        <v>572</v>
      </c>
      <c r="B456" s="28" t="s">
        <v>1335</v>
      </c>
      <c r="C456" s="28" t="s">
        <v>88</v>
      </c>
      <c r="D456" s="28" t="s">
        <v>630</v>
      </c>
      <c r="E456" s="28" t="s">
        <v>158</v>
      </c>
      <c r="F456" s="28" t="s">
        <v>418</v>
      </c>
      <c r="G456" s="28" t="s">
        <v>418</v>
      </c>
      <c r="H456" s="28" t="s">
        <v>152</v>
      </c>
      <c r="I456" s="28" t="str">
        <f>VLOOKUP(F456,표준용어사전!$B:$D,3,FALSE)</f>
        <v>내용TXT</v>
      </c>
      <c r="J456" s="28" t="s">
        <v>713</v>
      </c>
      <c r="K456" s="27" t="s">
        <v>571</v>
      </c>
      <c r="L456" s="29" t="s">
        <v>571</v>
      </c>
      <c r="M456" s="29"/>
      <c r="N456" s="29" t="s">
        <v>75</v>
      </c>
      <c r="O456" s="28"/>
      <c r="P456" s="28"/>
      <c r="Q456" s="28" t="s">
        <v>76</v>
      </c>
      <c r="R456" s="29"/>
      <c r="S456" s="28"/>
      <c r="T456" s="28"/>
      <c r="U456" s="28" t="s">
        <v>75</v>
      </c>
      <c r="V456" s="28" t="s">
        <v>75</v>
      </c>
      <c r="W456" s="28"/>
    </row>
    <row r="457" spans="1:23" s="12" customFormat="1" hidden="1">
      <c r="A457" s="46" t="s">
        <v>572</v>
      </c>
      <c r="B457" s="28" t="s">
        <v>1335</v>
      </c>
      <c r="C457" s="28" t="s">
        <v>88</v>
      </c>
      <c r="D457" s="28" t="s">
        <v>630</v>
      </c>
      <c r="E457" s="28" t="s">
        <v>143</v>
      </c>
      <c r="F457" s="28" t="s">
        <v>406</v>
      </c>
      <c r="G457" s="28" t="s">
        <v>406</v>
      </c>
      <c r="H457" s="28" t="s">
        <v>152</v>
      </c>
      <c r="I457" s="28" t="str">
        <f>VLOOKUP(F457,표준용어사전!$B:$D,3,FALSE)</f>
        <v>명V256</v>
      </c>
      <c r="J457" s="28" t="s">
        <v>718</v>
      </c>
      <c r="K457" s="27">
        <v>256</v>
      </c>
      <c r="L457" s="29" t="s">
        <v>571</v>
      </c>
      <c r="M457" s="29" t="s">
        <v>730</v>
      </c>
      <c r="N457" s="29" t="s">
        <v>75</v>
      </c>
      <c r="O457" s="28"/>
      <c r="P457" s="28"/>
      <c r="Q457" s="28" t="s">
        <v>76</v>
      </c>
      <c r="R457" s="29"/>
      <c r="S457" s="28"/>
      <c r="T457" s="28"/>
      <c r="U457" s="28" t="s">
        <v>75</v>
      </c>
      <c r="V457" s="28" t="s">
        <v>75</v>
      </c>
      <c r="W457" s="28"/>
    </row>
    <row r="458" spans="1:23" s="12" customFormat="1" hidden="1">
      <c r="A458" s="46" t="s">
        <v>572</v>
      </c>
      <c r="B458" s="28" t="s">
        <v>1335</v>
      </c>
      <c r="C458" s="28" t="s">
        <v>88</v>
      </c>
      <c r="D458" s="28" t="s">
        <v>630</v>
      </c>
      <c r="E458" s="28" t="s">
        <v>142</v>
      </c>
      <c r="F458" s="28" t="s">
        <v>1612</v>
      </c>
      <c r="G458" s="28" t="s">
        <v>1612</v>
      </c>
      <c r="H458" s="28" t="s">
        <v>152</v>
      </c>
      <c r="I458" s="28" t="e">
        <f>VLOOKUP(F458,표준용어사전!$B:$D,3,FALSE)</f>
        <v>#N/A</v>
      </c>
      <c r="J458" s="28" t="s">
        <v>718</v>
      </c>
      <c r="K458" s="27">
        <v>2000</v>
      </c>
      <c r="L458" s="29" t="s">
        <v>571</v>
      </c>
      <c r="M458" s="29" t="s">
        <v>728</v>
      </c>
      <c r="N458" s="29" t="s">
        <v>75</v>
      </c>
      <c r="O458" s="28"/>
      <c r="P458" s="28"/>
      <c r="Q458" s="28" t="s">
        <v>76</v>
      </c>
      <c r="R458" s="29"/>
      <c r="S458" s="28"/>
      <c r="T458" s="28"/>
      <c r="U458" s="28" t="s">
        <v>75</v>
      </c>
      <c r="V458" s="28" t="s">
        <v>75</v>
      </c>
      <c r="W458" s="28"/>
    </row>
    <row r="459" spans="1:23" s="12" customFormat="1" hidden="1">
      <c r="A459" s="46" t="s">
        <v>572</v>
      </c>
      <c r="B459" s="28" t="s">
        <v>1335</v>
      </c>
      <c r="C459" s="28" t="s">
        <v>88</v>
      </c>
      <c r="D459" s="28" t="s">
        <v>630</v>
      </c>
      <c r="E459" s="28" t="s">
        <v>144</v>
      </c>
      <c r="F459" s="28" t="s">
        <v>407</v>
      </c>
      <c r="G459" s="28" t="s">
        <v>407</v>
      </c>
      <c r="H459" s="28" t="s">
        <v>152</v>
      </c>
      <c r="I459" s="28" t="e">
        <f>VLOOKUP(F459,표준용어사전!$B:$D,3,FALSE)</f>
        <v>#N/A</v>
      </c>
      <c r="J459" s="28" t="s">
        <v>718</v>
      </c>
      <c r="K459" s="27">
        <v>2000</v>
      </c>
      <c r="L459" s="29" t="s">
        <v>571</v>
      </c>
      <c r="M459" s="29" t="s">
        <v>728</v>
      </c>
      <c r="N459" s="29" t="s">
        <v>75</v>
      </c>
      <c r="O459" s="28"/>
      <c r="P459" s="28"/>
      <c r="Q459" s="28" t="s">
        <v>76</v>
      </c>
      <c r="R459" s="29"/>
      <c r="S459" s="28"/>
      <c r="T459" s="28"/>
      <c r="U459" s="28" t="s">
        <v>75</v>
      </c>
      <c r="V459" s="28" t="s">
        <v>75</v>
      </c>
      <c r="W459" s="28"/>
    </row>
    <row r="460" spans="1:23" s="12" customFormat="1" hidden="1">
      <c r="A460" s="46" t="s">
        <v>572</v>
      </c>
      <c r="B460" s="28" t="s">
        <v>1335</v>
      </c>
      <c r="C460" s="28" t="s">
        <v>88</v>
      </c>
      <c r="D460" s="28" t="s">
        <v>630</v>
      </c>
      <c r="E460" s="28" t="s">
        <v>159</v>
      </c>
      <c r="F460" s="28" t="s">
        <v>419</v>
      </c>
      <c r="G460" s="28" t="s">
        <v>419</v>
      </c>
      <c r="H460" s="28" t="s">
        <v>152</v>
      </c>
      <c r="I460" s="28" t="str">
        <f>VLOOKUP(F460,표준용어사전!$B:$D,3,FALSE)</f>
        <v>여부C1</v>
      </c>
      <c r="J460" s="28" t="s">
        <v>709</v>
      </c>
      <c r="K460" s="27">
        <v>1</v>
      </c>
      <c r="L460" s="29" t="s">
        <v>571</v>
      </c>
      <c r="M460" s="29" t="s">
        <v>722</v>
      </c>
      <c r="N460" s="29" t="s">
        <v>75</v>
      </c>
      <c r="O460" s="28"/>
      <c r="P460" s="28"/>
      <c r="Q460" s="28" t="s">
        <v>76</v>
      </c>
      <c r="R460" s="29"/>
      <c r="S460" s="28"/>
      <c r="T460" s="28" t="s">
        <v>576</v>
      </c>
      <c r="U460" s="28" t="s">
        <v>75</v>
      </c>
      <c r="V460" s="28" t="s">
        <v>75</v>
      </c>
      <c r="W460" s="28"/>
    </row>
    <row r="461" spans="1:23" s="12" customFormat="1" hidden="1">
      <c r="A461" s="46" t="s">
        <v>572</v>
      </c>
      <c r="B461" s="28" t="s">
        <v>1335</v>
      </c>
      <c r="C461" s="28" t="s">
        <v>88</v>
      </c>
      <c r="D461" s="28" t="s">
        <v>630</v>
      </c>
      <c r="E461" s="28" t="s">
        <v>849</v>
      </c>
      <c r="F461" s="28" t="s">
        <v>761</v>
      </c>
      <c r="G461" s="28" t="s">
        <v>761</v>
      </c>
      <c r="H461" s="28" t="s">
        <v>152</v>
      </c>
      <c r="I461" s="28" t="str">
        <f>VLOOKUP(F461,표준용어사전!$B:$D,3,FALSE)</f>
        <v>여부C1</v>
      </c>
      <c r="J461" s="28" t="s">
        <v>709</v>
      </c>
      <c r="K461" s="27">
        <v>1</v>
      </c>
      <c r="L461" s="29" t="s">
        <v>571</v>
      </c>
      <c r="M461" s="29" t="s">
        <v>722</v>
      </c>
      <c r="N461" s="29" t="s">
        <v>75</v>
      </c>
      <c r="O461" s="28"/>
      <c r="P461" s="28"/>
      <c r="Q461" s="28" t="s">
        <v>76</v>
      </c>
      <c r="R461" s="29"/>
      <c r="S461" s="28"/>
      <c r="T461" s="28" t="s">
        <v>576</v>
      </c>
      <c r="U461" s="28" t="s">
        <v>75</v>
      </c>
      <c r="V461" s="28" t="s">
        <v>75</v>
      </c>
      <c r="W461" s="28"/>
    </row>
    <row r="462" spans="1:23" s="12" customFormat="1" hidden="1">
      <c r="A462" s="46" t="s">
        <v>572</v>
      </c>
      <c r="B462" s="28" t="s">
        <v>1335</v>
      </c>
      <c r="C462" s="28" t="s">
        <v>88</v>
      </c>
      <c r="D462" s="28" t="s">
        <v>630</v>
      </c>
      <c r="E462" s="28" t="s">
        <v>90</v>
      </c>
      <c r="F462" s="28" t="s">
        <v>14</v>
      </c>
      <c r="G462" s="28" t="s">
        <v>14</v>
      </c>
      <c r="H462" s="28" t="s">
        <v>152</v>
      </c>
      <c r="I462" s="28" t="str">
        <f>VLOOKUP(F462,표준용어사전!$B:$D,3,FALSE)</f>
        <v>연월일시분초TS</v>
      </c>
      <c r="J462" s="28" t="s">
        <v>16</v>
      </c>
      <c r="K462" s="27" t="s">
        <v>571</v>
      </c>
      <c r="L462" s="29" t="s">
        <v>571</v>
      </c>
      <c r="M462" s="29" t="s">
        <v>726</v>
      </c>
      <c r="N462" s="29" t="s">
        <v>711</v>
      </c>
      <c r="O462" s="28"/>
      <c r="P462" s="28"/>
      <c r="Q462" s="28" t="s">
        <v>76</v>
      </c>
      <c r="R462" s="29"/>
      <c r="S462" s="28"/>
      <c r="T462" s="28" t="s">
        <v>574</v>
      </c>
      <c r="U462" s="28" t="s">
        <v>75</v>
      </c>
      <c r="V462" s="28" t="s">
        <v>75</v>
      </c>
      <c r="W462" s="28"/>
    </row>
    <row r="463" spans="1:23" s="12" customFormat="1" hidden="1">
      <c r="A463" s="46" t="s">
        <v>572</v>
      </c>
      <c r="B463" s="28" t="s">
        <v>1335</v>
      </c>
      <c r="C463" s="28" t="s">
        <v>88</v>
      </c>
      <c r="D463" s="28" t="s">
        <v>630</v>
      </c>
      <c r="E463" s="28" t="s">
        <v>91</v>
      </c>
      <c r="F463" s="28" t="s">
        <v>369</v>
      </c>
      <c r="G463" s="28" t="s">
        <v>369</v>
      </c>
      <c r="H463" s="28" t="s">
        <v>152</v>
      </c>
      <c r="I463" s="28" t="str">
        <f>VLOOKUP(F463,표준용어사전!$B:$D,3,FALSE)</f>
        <v>명V20</v>
      </c>
      <c r="J463" s="28" t="s">
        <v>78</v>
      </c>
      <c r="K463" s="27">
        <v>20</v>
      </c>
      <c r="L463" s="29" t="s">
        <v>571</v>
      </c>
      <c r="M463" s="29" t="s">
        <v>727</v>
      </c>
      <c r="N463" s="29" t="s">
        <v>75</v>
      </c>
      <c r="O463" s="28"/>
      <c r="P463" s="28"/>
      <c r="Q463" s="28" t="s">
        <v>76</v>
      </c>
      <c r="R463" s="29"/>
      <c r="S463" s="28"/>
      <c r="T463" s="28" t="s">
        <v>571</v>
      </c>
      <c r="U463" s="28" t="s">
        <v>75</v>
      </c>
      <c r="V463" s="28" t="s">
        <v>75</v>
      </c>
      <c r="W463" s="28"/>
    </row>
    <row r="464" spans="1:23" s="12" customFormat="1" hidden="1">
      <c r="A464" s="46" t="s">
        <v>572</v>
      </c>
      <c r="B464" s="28" t="s">
        <v>1335</v>
      </c>
      <c r="C464" s="28" t="s">
        <v>88</v>
      </c>
      <c r="D464" s="28" t="s">
        <v>630</v>
      </c>
      <c r="E464" s="28" t="s">
        <v>92</v>
      </c>
      <c r="F464" s="28" t="s">
        <v>15</v>
      </c>
      <c r="G464" s="28" t="s">
        <v>15</v>
      </c>
      <c r="H464" s="28" t="s">
        <v>152</v>
      </c>
      <c r="I464" s="28" t="str">
        <f>VLOOKUP(F464,표준용어사전!$B:$D,3,FALSE)</f>
        <v>연월일시분초TS</v>
      </c>
      <c r="J464" s="28" t="s">
        <v>16</v>
      </c>
      <c r="K464" s="27" t="s">
        <v>571</v>
      </c>
      <c r="L464" s="29" t="s">
        <v>571</v>
      </c>
      <c r="M464" s="29" t="s">
        <v>726</v>
      </c>
      <c r="N464" s="29" t="s">
        <v>75</v>
      </c>
      <c r="O464" s="28"/>
      <c r="P464" s="28"/>
      <c r="Q464" s="28" t="s">
        <v>76</v>
      </c>
      <c r="R464" s="29"/>
      <c r="S464" s="28"/>
      <c r="T464" s="28" t="s">
        <v>574</v>
      </c>
      <c r="U464" s="28" t="s">
        <v>75</v>
      </c>
      <c r="V464" s="28" t="s">
        <v>75</v>
      </c>
      <c r="W464" s="28"/>
    </row>
    <row r="465" spans="1:23" s="12" customFormat="1" hidden="1">
      <c r="A465" s="46" t="s">
        <v>572</v>
      </c>
      <c r="B465" s="28" t="s">
        <v>1335</v>
      </c>
      <c r="C465" s="28" t="s">
        <v>88</v>
      </c>
      <c r="D465" s="28" t="s">
        <v>630</v>
      </c>
      <c r="E465" s="28" t="s">
        <v>93</v>
      </c>
      <c r="F465" s="28" t="s">
        <v>370</v>
      </c>
      <c r="G465" s="28" t="s">
        <v>370</v>
      </c>
      <c r="H465" s="28" t="s">
        <v>152</v>
      </c>
      <c r="I465" s="28" t="str">
        <f>VLOOKUP(F465,표준용어사전!$B:$D,3,FALSE)</f>
        <v>명V20</v>
      </c>
      <c r="J465" s="28" t="s">
        <v>78</v>
      </c>
      <c r="K465" s="27">
        <v>20</v>
      </c>
      <c r="L465" s="29" t="s">
        <v>571</v>
      </c>
      <c r="M465" s="29" t="s">
        <v>727</v>
      </c>
      <c r="N465" s="29" t="s">
        <v>75</v>
      </c>
      <c r="O465" s="28"/>
      <c r="P465" s="28"/>
      <c r="Q465" s="28" t="s">
        <v>76</v>
      </c>
      <c r="R465" s="29"/>
      <c r="S465" s="28"/>
      <c r="T465" s="28" t="s">
        <v>571</v>
      </c>
      <c r="U465" s="28" t="s">
        <v>75</v>
      </c>
      <c r="V465" s="28" t="s">
        <v>75</v>
      </c>
      <c r="W465" s="28"/>
    </row>
    <row r="466" spans="1:23" s="12" customFormat="1" hidden="1">
      <c r="A466" s="46" t="s">
        <v>572</v>
      </c>
      <c r="B466" s="28" t="s">
        <v>1333</v>
      </c>
      <c r="C466" s="28" t="s">
        <v>88</v>
      </c>
      <c r="D466" s="28" t="s">
        <v>679</v>
      </c>
      <c r="E466" s="28" t="s">
        <v>850</v>
      </c>
      <c r="F466" s="28" t="s">
        <v>762</v>
      </c>
      <c r="G466" s="28" t="s">
        <v>762</v>
      </c>
      <c r="H466" s="28" t="s">
        <v>702</v>
      </c>
      <c r="I466" s="28" t="str">
        <f>VLOOKUP(F466,표준용어사전!$B:$D,3,FALSE)</f>
        <v>번호I</v>
      </c>
      <c r="J466" s="28" t="s">
        <v>717</v>
      </c>
      <c r="K466" s="27" t="s">
        <v>927</v>
      </c>
      <c r="L466" s="29" t="s">
        <v>571</v>
      </c>
      <c r="M466" s="29"/>
      <c r="N466" s="29" t="s">
        <v>711</v>
      </c>
      <c r="O466" s="28" t="s">
        <v>641</v>
      </c>
      <c r="P466" s="28"/>
      <c r="Q466" s="28" t="s">
        <v>76</v>
      </c>
      <c r="R466" s="29"/>
      <c r="S466" s="28"/>
      <c r="T466" s="28"/>
      <c r="U466" s="28" t="s">
        <v>75</v>
      </c>
      <c r="V466" s="28" t="s">
        <v>75</v>
      </c>
      <c r="W466" s="28"/>
    </row>
    <row r="467" spans="1:23" s="12" customFormat="1" hidden="1">
      <c r="A467" s="46" t="s">
        <v>572</v>
      </c>
      <c r="B467" s="28" t="s">
        <v>1333</v>
      </c>
      <c r="C467" s="28" t="s">
        <v>88</v>
      </c>
      <c r="D467" s="28" t="s">
        <v>679</v>
      </c>
      <c r="E467" s="28" t="s">
        <v>246</v>
      </c>
      <c r="F467" s="28" t="s">
        <v>17</v>
      </c>
      <c r="G467" s="28" t="s">
        <v>17</v>
      </c>
      <c r="H467" s="28" t="s">
        <v>702</v>
      </c>
      <c r="I467" s="28" t="str">
        <f>VLOOKUP(F467,표준용어사전!$B:$D,3,FALSE)</f>
        <v>명V20</v>
      </c>
      <c r="J467" s="28" t="s">
        <v>718</v>
      </c>
      <c r="K467" s="27">
        <v>20</v>
      </c>
      <c r="L467" s="29" t="s">
        <v>571</v>
      </c>
      <c r="M467" s="29" t="s">
        <v>727</v>
      </c>
      <c r="N467" s="29" t="s">
        <v>711</v>
      </c>
      <c r="O467" s="28"/>
      <c r="P467" s="28"/>
      <c r="Q467" s="28" t="s">
        <v>76</v>
      </c>
      <c r="R467" s="29"/>
      <c r="S467" s="28"/>
      <c r="T467" s="28"/>
      <c r="U467" s="28" t="s">
        <v>75</v>
      </c>
      <c r="V467" s="28" t="s">
        <v>75</v>
      </c>
      <c r="W467" s="28"/>
    </row>
    <row r="468" spans="1:23" s="12" customFormat="1" hidden="1">
      <c r="A468" s="46" t="s">
        <v>572</v>
      </c>
      <c r="B468" s="28" t="s">
        <v>1333</v>
      </c>
      <c r="C468" s="28" t="s">
        <v>88</v>
      </c>
      <c r="D468" s="28" t="s">
        <v>679</v>
      </c>
      <c r="E468" s="28" t="s">
        <v>89</v>
      </c>
      <c r="F468" s="28" t="s">
        <v>501</v>
      </c>
      <c r="G468" s="28" t="s">
        <v>501</v>
      </c>
      <c r="H468" s="28" t="s">
        <v>702</v>
      </c>
      <c r="I468" s="28" t="str">
        <f>VLOOKUP(F468,표준용어사전!$B:$D,3,FALSE)</f>
        <v>명V20</v>
      </c>
      <c r="J468" s="28" t="s">
        <v>718</v>
      </c>
      <c r="K468" s="27">
        <v>50</v>
      </c>
      <c r="L468" s="29" t="s">
        <v>571</v>
      </c>
      <c r="M468" s="29" t="s">
        <v>720</v>
      </c>
      <c r="N468" s="29" t="s">
        <v>711</v>
      </c>
      <c r="O468" s="28"/>
      <c r="P468" s="28"/>
      <c r="Q468" s="28" t="s">
        <v>1840</v>
      </c>
      <c r="R468" s="29">
        <v>2</v>
      </c>
      <c r="S468" s="28"/>
      <c r="T468" s="28"/>
      <c r="U468" s="28" t="s">
        <v>75</v>
      </c>
      <c r="V468" s="28" t="s">
        <v>75</v>
      </c>
      <c r="W468" s="28"/>
    </row>
    <row r="469" spans="1:23" s="12" customFormat="1" hidden="1">
      <c r="A469" s="46" t="s">
        <v>572</v>
      </c>
      <c r="B469" s="28" t="s">
        <v>1333</v>
      </c>
      <c r="C469" s="28" t="s">
        <v>88</v>
      </c>
      <c r="D469" s="28" t="s">
        <v>679</v>
      </c>
      <c r="E469" s="28" t="s">
        <v>43</v>
      </c>
      <c r="F469" s="28" t="s">
        <v>1611</v>
      </c>
      <c r="G469" s="28" t="s">
        <v>1611</v>
      </c>
      <c r="H469" s="28" t="s">
        <v>702</v>
      </c>
      <c r="I469" s="28" t="e">
        <f>VLOOKUP(F469,표준용어사전!$B:$D,3,FALSE)</f>
        <v>#N/A</v>
      </c>
      <c r="J469" s="28" t="s">
        <v>748</v>
      </c>
      <c r="K469" s="27">
        <v>10</v>
      </c>
      <c r="L469" s="29" t="s">
        <v>571</v>
      </c>
      <c r="M469" s="29">
        <v>9999999999</v>
      </c>
      <c r="N469" s="29" t="s">
        <v>711</v>
      </c>
      <c r="O469" s="28"/>
      <c r="P469" s="28"/>
      <c r="Q469" s="28" t="s">
        <v>76</v>
      </c>
      <c r="R469" s="29"/>
      <c r="S469" s="28"/>
      <c r="T469" s="28"/>
      <c r="U469" s="28" t="s">
        <v>75</v>
      </c>
      <c r="V469" s="28" t="s">
        <v>75</v>
      </c>
      <c r="W469" s="28"/>
    </row>
    <row r="470" spans="1:23" s="12" customFormat="1" hidden="1">
      <c r="A470" s="46" t="s">
        <v>572</v>
      </c>
      <c r="B470" s="28" t="s">
        <v>1333</v>
      </c>
      <c r="C470" s="28" t="s">
        <v>88</v>
      </c>
      <c r="D470" s="28" t="s">
        <v>679</v>
      </c>
      <c r="E470" s="28" t="s">
        <v>268</v>
      </c>
      <c r="F470" s="28" t="s">
        <v>500</v>
      </c>
      <c r="G470" s="28" t="s">
        <v>763</v>
      </c>
      <c r="H470" s="28" t="s">
        <v>702</v>
      </c>
      <c r="I470" s="28" t="str">
        <f>VLOOKUP(F470,표준용어사전!$B:$D,3,FALSE)</f>
        <v>코드C1</v>
      </c>
      <c r="J470" s="28" t="s">
        <v>709</v>
      </c>
      <c r="K470" s="27">
        <v>1</v>
      </c>
      <c r="L470" s="29" t="s">
        <v>571</v>
      </c>
      <c r="M470" s="29" t="s">
        <v>722</v>
      </c>
      <c r="N470" s="29" t="s">
        <v>572</v>
      </c>
      <c r="O470" s="28"/>
      <c r="P470" s="28"/>
      <c r="Q470" s="28" t="s">
        <v>1389</v>
      </c>
      <c r="R470" s="29">
        <v>1</v>
      </c>
      <c r="S470" s="28"/>
      <c r="T470" s="28"/>
      <c r="U470" s="28" t="s">
        <v>75</v>
      </c>
      <c r="V470" s="28" t="s">
        <v>75</v>
      </c>
      <c r="W470" s="28"/>
    </row>
    <row r="471" spans="1:23" s="12" customFormat="1" hidden="1">
      <c r="A471" s="46" t="s">
        <v>572</v>
      </c>
      <c r="B471" s="28" t="s">
        <v>1333</v>
      </c>
      <c r="C471" s="28" t="s">
        <v>88</v>
      </c>
      <c r="D471" s="28" t="s">
        <v>679</v>
      </c>
      <c r="E471" s="28" t="s">
        <v>252</v>
      </c>
      <c r="F471" s="28" t="s">
        <v>77</v>
      </c>
      <c r="G471" s="28" t="s">
        <v>77</v>
      </c>
      <c r="H471" s="28" t="s">
        <v>702</v>
      </c>
      <c r="I471" s="28" t="str">
        <f>VLOOKUP(F471,표준용어사전!$B:$D,3,FALSE)</f>
        <v>내용TXT</v>
      </c>
      <c r="J471" s="28" t="s">
        <v>713</v>
      </c>
      <c r="K471" s="27" t="s">
        <v>571</v>
      </c>
      <c r="L471" s="29" t="s">
        <v>571</v>
      </c>
      <c r="M471" s="29"/>
      <c r="N471" s="29" t="s">
        <v>572</v>
      </c>
      <c r="O471" s="28"/>
      <c r="P471" s="28"/>
      <c r="Q471" s="28" t="s">
        <v>76</v>
      </c>
      <c r="R471" s="29"/>
      <c r="S471" s="28"/>
      <c r="T471" s="28"/>
      <c r="U471" s="28" t="s">
        <v>75</v>
      </c>
      <c r="V471" s="28" t="s">
        <v>75</v>
      </c>
      <c r="W471" s="28"/>
    </row>
    <row r="472" spans="1:23" s="12" customFormat="1" hidden="1">
      <c r="A472" s="46" t="s">
        <v>572</v>
      </c>
      <c r="B472" s="28" t="s">
        <v>1333</v>
      </c>
      <c r="C472" s="28" t="s">
        <v>88</v>
      </c>
      <c r="D472" s="28" t="s">
        <v>679</v>
      </c>
      <c r="E472" s="28" t="s">
        <v>90</v>
      </c>
      <c r="F472" s="28" t="s">
        <v>14</v>
      </c>
      <c r="G472" s="28" t="s">
        <v>14</v>
      </c>
      <c r="H472" s="28" t="s">
        <v>702</v>
      </c>
      <c r="I472" s="28" t="str">
        <f>VLOOKUP(F472,표준용어사전!$B:$D,3,FALSE)</f>
        <v>연월일시분초TS</v>
      </c>
      <c r="J472" s="28" t="s">
        <v>16</v>
      </c>
      <c r="K472" s="27" t="s">
        <v>571</v>
      </c>
      <c r="L472" s="29" t="s">
        <v>571</v>
      </c>
      <c r="M472" s="29" t="s">
        <v>726</v>
      </c>
      <c r="N472" s="29" t="s">
        <v>711</v>
      </c>
      <c r="O472" s="28"/>
      <c r="P472" s="28"/>
      <c r="Q472" s="28" t="s">
        <v>76</v>
      </c>
      <c r="R472" s="29"/>
      <c r="S472" s="28"/>
      <c r="T472" s="28" t="s">
        <v>574</v>
      </c>
      <c r="U472" s="28" t="s">
        <v>75</v>
      </c>
      <c r="V472" s="28" t="s">
        <v>75</v>
      </c>
      <c r="W472" s="28"/>
    </row>
    <row r="473" spans="1:23" s="12" customFormat="1" hidden="1">
      <c r="A473" s="46" t="s">
        <v>572</v>
      </c>
      <c r="B473" s="28" t="s">
        <v>1333</v>
      </c>
      <c r="C473" s="28" t="s">
        <v>88</v>
      </c>
      <c r="D473" s="28" t="s">
        <v>679</v>
      </c>
      <c r="E473" s="28" t="s">
        <v>91</v>
      </c>
      <c r="F473" s="28" t="s">
        <v>369</v>
      </c>
      <c r="G473" s="28" t="s">
        <v>369</v>
      </c>
      <c r="H473" s="28" t="s">
        <v>702</v>
      </c>
      <c r="I473" s="28" t="str">
        <f>VLOOKUP(F473,표준용어사전!$B:$D,3,FALSE)</f>
        <v>명V20</v>
      </c>
      <c r="J473" s="28" t="s">
        <v>78</v>
      </c>
      <c r="K473" s="27">
        <v>20</v>
      </c>
      <c r="L473" s="29" t="s">
        <v>571</v>
      </c>
      <c r="M473" s="29" t="s">
        <v>727</v>
      </c>
      <c r="N473" s="29" t="s">
        <v>75</v>
      </c>
      <c r="O473" s="28"/>
      <c r="P473" s="28"/>
      <c r="Q473" s="28" t="s">
        <v>76</v>
      </c>
      <c r="R473" s="29"/>
      <c r="S473" s="28"/>
      <c r="T473" s="28" t="s">
        <v>571</v>
      </c>
      <c r="U473" s="28" t="s">
        <v>75</v>
      </c>
      <c r="V473" s="28" t="s">
        <v>75</v>
      </c>
      <c r="W473" s="28"/>
    </row>
    <row r="474" spans="1:23" s="12" customFormat="1" hidden="1">
      <c r="A474" s="46" t="s">
        <v>572</v>
      </c>
      <c r="B474" s="28" t="s">
        <v>1333</v>
      </c>
      <c r="C474" s="28" t="s">
        <v>88</v>
      </c>
      <c r="D474" s="28" t="s">
        <v>679</v>
      </c>
      <c r="E474" s="28" t="s">
        <v>92</v>
      </c>
      <c r="F474" s="28" t="s">
        <v>15</v>
      </c>
      <c r="G474" s="28" t="s">
        <v>15</v>
      </c>
      <c r="H474" s="28" t="s">
        <v>702</v>
      </c>
      <c r="I474" s="28" t="str">
        <f>VLOOKUP(F474,표준용어사전!$B:$D,3,FALSE)</f>
        <v>연월일시분초TS</v>
      </c>
      <c r="J474" s="28" t="s">
        <v>16</v>
      </c>
      <c r="K474" s="27" t="s">
        <v>571</v>
      </c>
      <c r="L474" s="29" t="s">
        <v>571</v>
      </c>
      <c r="M474" s="29" t="s">
        <v>726</v>
      </c>
      <c r="N474" s="29" t="s">
        <v>75</v>
      </c>
      <c r="O474" s="28"/>
      <c r="P474" s="28"/>
      <c r="Q474" s="28" t="s">
        <v>76</v>
      </c>
      <c r="R474" s="29"/>
      <c r="S474" s="28"/>
      <c r="T474" s="28" t="s">
        <v>574</v>
      </c>
      <c r="U474" s="28" t="s">
        <v>75</v>
      </c>
      <c r="V474" s="28" t="s">
        <v>75</v>
      </c>
      <c r="W474" s="28"/>
    </row>
    <row r="475" spans="1:23" s="12" customFormat="1" hidden="1">
      <c r="A475" s="46" t="s">
        <v>572</v>
      </c>
      <c r="B475" s="28" t="s">
        <v>1333</v>
      </c>
      <c r="C475" s="28" t="s">
        <v>88</v>
      </c>
      <c r="D475" s="28" t="s">
        <v>679</v>
      </c>
      <c r="E475" s="28" t="s">
        <v>93</v>
      </c>
      <c r="F475" s="28" t="s">
        <v>370</v>
      </c>
      <c r="G475" s="28" t="s">
        <v>370</v>
      </c>
      <c r="H475" s="28" t="s">
        <v>702</v>
      </c>
      <c r="I475" s="28" t="str">
        <f>VLOOKUP(F475,표준용어사전!$B:$D,3,FALSE)</f>
        <v>명V20</v>
      </c>
      <c r="J475" s="28" t="s">
        <v>78</v>
      </c>
      <c r="K475" s="27">
        <v>20</v>
      </c>
      <c r="L475" s="29" t="s">
        <v>571</v>
      </c>
      <c r="M475" s="29" t="s">
        <v>727</v>
      </c>
      <c r="N475" s="29" t="s">
        <v>75</v>
      </c>
      <c r="O475" s="28"/>
      <c r="P475" s="28"/>
      <c r="Q475" s="28" t="s">
        <v>76</v>
      </c>
      <c r="R475" s="29"/>
      <c r="S475" s="28"/>
      <c r="T475" s="28" t="s">
        <v>571</v>
      </c>
      <c r="U475" s="28" t="s">
        <v>75</v>
      </c>
      <c r="V475" s="28" t="s">
        <v>75</v>
      </c>
      <c r="W475" s="28"/>
    </row>
    <row r="476" spans="1:23" s="12" customFormat="1" hidden="1">
      <c r="A476" s="46" t="s">
        <v>572</v>
      </c>
      <c r="B476" s="28" t="s">
        <v>1333</v>
      </c>
      <c r="C476" s="28" t="s">
        <v>88</v>
      </c>
      <c r="D476" s="28" t="s">
        <v>680</v>
      </c>
      <c r="E476" s="28" t="s">
        <v>851</v>
      </c>
      <c r="F476" s="28" t="s">
        <v>764</v>
      </c>
      <c r="G476" s="28" t="s">
        <v>764</v>
      </c>
      <c r="H476" s="28" t="s">
        <v>703</v>
      </c>
      <c r="I476" s="28" t="str">
        <f>VLOOKUP(F476,표준용어사전!$B:$D,3,FALSE)</f>
        <v>번호I</v>
      </c>
      <c r="J476" s="28" t="s">
        <v>717</v>
      </c>
      <c r="K476" s="27" t="s">
        <v>571</v>
      </c>
      <c r="L476" s="29" t="s">
        <v>571</v>
      </c>
      <c r="M476" s="29"/>
      <c r="N476" s="29" t="s">
        <v>711</v>
      </c>
      <c r="O476" s="28" t="s">
        <v>641</v>
      </c>
      <c r="P476" s="28"/>
      <c r="Q476" s="28" t="s">
        <v>76</v>
      </c>
      <c r="R476" s="29"/>
      <c r="S476" s="28"/>
      <c r="T476" s="28"/>
      <c r="U476" s="28" t="s">
        <v>75</v>
      </c>
      <c r="V476" s="28" t="s">
        <v>75</v>
      </c>
      <c r="W476" s="28"/>
    </row>
    <row r="477" spans="1:23" s="12" customFormat="1" hidden="1">
      <c r="A477" s="46" t="s">
        <v>572</v>
      </c>
      <c r="B477" s="28" t="s">
        <v>1333</v>
      </c>
      <c r="C477" s="28" t="s">
        <v>88</v>
      </c>
      <c r="D477" s="28" t="s">
        <v>680</v>
      </c>
      <c r="E477" s="28" t="s">
        <v>246</v>
      </c>
      <c r="F477" s="28" t="s">
        <v>17</v>
      </c>
      <c r="G477" s="28" t="s">
        <v>17</v>
      </c>
      <c r="H477" s="28" t="s">
        <v>703</v>
      </c>
      <c r="I477" s="28" t="str">
        <f>VLOOKUP(F477,표준용어사전!$B:$D,3,FALSE)</f>
        <v>명V20</v>
      </c>
      <c r="J477" s="28" t="s">
        <v>718</v>
      </c>
      <c r="K477" s="24">
        <v>20</v>
      </c>
      <c r="L477" s="29" t="s">
        <v>571</v>
      </c>
      <c r="M477" s="29" t="s">
        <v>727</v>
      </c>
      <c r="N477" s="29" t="s">
        <v>711</v>
      </c>
      <c r="O477" s="28"/>
      <c r="P477" s="28"/>
      <c r="Q477" s="28" t="s">
        <v>76</v>
      </c>
      <c r="R477" s="29"/>
      <c r="S477" s="28"/>
      <c r="T477" s="28"/>
      <c r="U477" s="28" t="s">
        <v>75</v>
      </c>
      <c r="V477" s="28" t="s">
        <v>75</v>
      </c>
      <c r="W477" s="28"/>
    </row>
    <row r="478" spans="1:23" s="12" customFormat="1" hidden="1">
      <c r="A478" s="46" t="s">
        <v>572</v>
      </c>
      <c r="B478" s="28" t="s">
        <v>1333</v>
      </c>
      <c r="C478" s="28" t="s">
        <v>88</v>
      </c>
      <c r="D478" s="28" t="s">
        <v>680</v>
      </c>
      <c r="E478" s="28" t="s">
        <v>89</v>
      </c>
      <c r="F478" s="28" t="s">
        <v>501</v>
      </c>
      <c r="G478" s="28" t="s">
        <v>501</v>
      </c>
      <c r="H478" s="28" t="s">
        <v>703</v>
      </c>
      <c r="I478" s="28" t="str">
        <f>VLOOKUP(F478,표준용어사전!$B:$D,3,FALSE)</f>
        <v>명V20</v>
      </c>
      <c r="J478" s="28" t="s">
        <v>718</v>
      </c>
      <c r="K478" s="24">
        <v>50</v>
      </c>
      <c r="L478" s="29" t="s">
        <v>571</v>
      </c>
      <c r="M478" s="29" t="s">
        <v>720</v>
      </c>
      <c r="N478" s="29" t="s">
        <v>711</v>
      </c>
      <c r="O478" s="28"/>
      <c r="P478" s="28"/>
      <c r="Q478" s="28" t="s">
        <v>1839</v>
      </c>
      <c r="R478" s="29">
        <v>3</v>
      </c>
      <c r="S478" s="28"/>
      <c r="T478" s="28"/>
      <c r="U478" s="28" t="s">
        <v>75</v>
      </c>
      <c r="V478" s="28" t="s">
        <v>75</v>
      </c>
      <c r="W478" s="28"/>
    </row>
    <row r="479" spans="1:23" s="12" customFormat="1" hidden="1">
      <c r="A479" s="46" t="s">
        <v>572</v>
      </c>
      <c r="B479" s="28" t="s">
        <v>1333</v>
      </c>
      <c r="C479" s="28" t="s">
        <v>88</v>
      </c>
      <c r="D479" s="28" t="s">
        <v>680</v>
      </c>
      <c r="E479" s="28" t="s">
        <v>852</v>
      </c>
      <c r="F479" s="28" t="s">
        <v>765</v>
      </c>
      <c r="G479" s="28" t="s">
        <v>765</v>
      </c>
      <c r="H479" s="28" t="s">
        <v>703</v>
      </c>
      <c r="I479" s="28" t="s">
        <v>611</v>
      </c>
      <c r="J479" s="28" t="s">
        <v>709</v>
      </c>
      <c r="K479" s="24">
        <v>2</v>
      </c>
      <c r="L479" s="29" t="s">
        <v>571</v>
      </c>
      <c r="M479" s="29" t="s">
        <v>766</v>
      </c>
      <c r="N479" s="29" t="s">
        <v>572</v>
      </c>
      <c r="O479" s="28"/>
      <c r="P479" s="28"/>
      <c r="Q479" s="28" t="s">
        <v>1390</v>
      </c>
      <c r="R479" s="29">
        <v>1</v>
      </c>
      <c r="S479" s="28"/>
      <c r="T479" s="28"/>
      <c r="U479" s="28" t="s">
        <v>75</v>
      </c>
      <c r="V479" s="28" t="s">
        <v>75</v>
      </c>
      <c r="W479" s="28"/>
    </row>
    <row r="480" spans="1:23" s="12" customFormat="1" hidden="1">
      <c r="A480" s="46" t="s">
        <v>572</v>
      </c>
      <c r="B480" s="28" t="s">
        <v>1333</v>
      </c>
      <c r="C480" s="28" t="s">
        <v>88</v>
      </c>
      <c r="D480" s="28" t="s">
        <v>680</v>
      </c>
      <c r="E480" s="28" t="s">
        <v>268</v>
      </c>
      <c r="F480" s="28" t="s">
        <v>500</v>
      </c>
      <c r="G480" s="28" t="s">
        <v>763</v>
      </c>
      <c r="H480" s="28" t="s">
        <v>703</v>
      </c>
      <c r="I480" s="28" t="str">
        <f>VLOOKUP(F480,표준용어사전!$B:$D,3,FALSE)</f>
        <v>코드C1</v>
      </c>
      <c r="J480" s="28" t="s">
        <v>709</v>
      </c>
      <c r="K480" s="24">
        <v>1</v>
      </c>
      <c r="L480" s="29" t="s">
        <v>571</v>
      </c>
      <c r="M480" s="29" t="s">
        <v>722</v>
      </c>
      <c r="N480" s="29" t="s">
        <v>572</v>
      </c>
      <c r="O480" s="28"/>
      <c r="P480" s="28"/>
      <c r="Q480" s="28" t="s">
        <v>1391</v>
      </c>
      <c r="R480" s="29">
        <v>2</v>
      </c>
      <c r="S480" s="28"/>
      <c r="T480" s="28"/>
      <c r="U480" s="28" t="s">
        <v>75</v>
      </c>
      <c r="V480" s="28" t="s">
        <v>75</v>
      </c>
      <c r="W480" s="28"/>
    </row>
    <row r="481" spans="1:23" s="12" customFormat="1" hidden="1">
      <c r="A481" s="46" t="s">
        <v>572</v>
      </c>
      <c r="B481" s="28" t="s">
        <v>1333</v>
      </c>
      <c r="C481" s="28" t="s">
        <v>88</v>
      </c>
      <c r="D481" s="28" t="s">
        <v>680</v>
      </c>
      <c r="E481" s="28" t="s">
        <v>252</v>
      </c>
      <c r="F481" s="28" t="s">
        <v>77</v>
      </c>
      <c r="G481" s="28" t="s">
        <v>77</v>
      </c>
      <c r="H481" s="28" t="s">
        <v>703</v>
      </c>
      <c r="I481" s="28" t="str">
        <f>VLOOKUP(F481,표준용어사전!$B:$D,3,FALSE)</f>
        <v>내용TXT</v>
      </c>
      <c r="J481" s="28" t="s">
        <v>713</v>
      </c>
      <c r="K481" s="27" t="s">
        <v>571</v>
      </c>
      <c r="L481" s="29" t="s">
        <v>571</v>
      </c>
      <c r="M481" s="29"/>
      <c r="N481" s="29" t="s">
        <v>572</v>
      </c>
      <c r="O481" s="28"/>
      <c r="P481" s="28"/>
      <c r="Q481" s="28" t="s">
        <v>76</v>
      </c>
      <c r="R481" s="29"/>
      <c r="S481" s="28"/>
      <c r="T481" s="28"/>
      <c r="U481" s="28" t="s">
        <v>75</v>
      </c>
      <c r="V481" s="28" t="s">
        <v>75</v>
      </c>
      <c r="W481" s="28"/>
    </row>
    <row r="482" spans="1:23" s="12" customFormat="1" hidden="1">
      <c r="A482" s="46" t="s">
        <v>572</v>
      </c>
      <c r="B482" s="28" t="s">
        <v>1333</v>
      </c>
      <c r="C482" s="28" t="s">
        <v>88</v>
      </c>
      <c r="D482" s="28" t="s">
        <v>680</v>
      </c>
      <c r="E482" s="28" t="s">
        <v>90</v>
      </c>
      <c r="F482" s="28" t="s">
        <v>14</v>
      </c>
      <c r="G482" s="28" t="s">
        <v>14</v>
      </c>
      <c r="H482" s="28" t="s">
        <v>703</v>
      </c>
      <c r="I482" s="28" t="str">
        <f>VLOOKUP(F482,표준용어사전!$B:$D,3,FALSE)</f>
        <v>연월일시분초TS</v>
      </c>
      <c r="J482" s="28" t="s">
        <v>16</v>
      </c>
      <c r="K482" s="27" t="s">
        <v>571</v>
      </c>
      <c r="L482" s="29" t="s">
        <v>571</v>
      </c>
      <c r="M482" s="29" t="s">
        <v>726</v>
      </c>
      <c r="N482" s="29" t="s">
        <v>711</v>
      </c>
      <c r="O482" s="28"/>
      <c r="P482" s="28"/>
      <c r="Q482" s="28" t="s">
        <v>76</v>
      </c>
      <c r="R482" s="29"/>
      <c r="S482" s="28"/>
      <c r="T482" s="28" t="s">
        <v>574</v>
      </c>
      <c r="U482" s="28" t="s">
        <v>75</v>
      </c>
      <c r="V482" s="28" t="s">
        <v>75</v>
      </c>
      <c r="W482" s="28"/>
    </row>
    <row r="483" spans="1:23" s="12" customFormat="1" hidden="1">
      <c r="A483" s="46" t="s">
        <v>572</v>
      </c>
      <c r="B483" s="28" t="s">
        <v>1333</v>
      </c>
      <c r="C483" s="28" t="s">
        <v>88</v>
      </c>
      <c r="D483" s="28" t="s">
        <v>680</v>
      </c>
      <c r="E483" s="28" t="s">
        <v>91</v>
      </c>
      <c r="F483" s="28" t="s">
        <v>369</v>
      </c>
      <c r="G483" s="28" t="s">
        <v>369</v>
      </c>
      <c r="H483" s="28" t="s">
        <v>703</v>
      </c>
      <c r="I483" s="28" t="str">
        <f>VLOOKUP(F483,표준용어사전!$B:$D,3,FALSE)</f>
        <v>명V20</v>
      </c>
      <c r="J483" s="28" t="s">
        <v>78</v>
      </c>
      <c r="K483" s="27">
        <v>20</v>
      </c>
      <c r="L483" s="29" t="s">
        <v>571</v>
      </c>
      <c r="M483" s="29" t="s">
        <v>727</v>
      </c>
      <c r="N483" s="29" t="s">
        <v>75</v>
      </c>
      <c r="O483" s="28"/>
      <c r="P483" s="28"/>
      <c r="Q483" s="28" t="s">
        <v>76</v>
      </c>
      <c r="R483" s="29"/>
      <c r="S483" s="28"/>
      <c r="T483" s="28" t="s">
        <v>571</v>
      </c>
      <c r="U483" s="28" t="s">
        <v>75</v>
      </c>
      <c r="V483" s="28" t="s">
        <v>75</v>
      </c>
      <c r="W483" s="28"/>
    </row>
    <row r="484" spans="1:23" s="12" customFormat="1" hidden="1">
      <c r="A484" s="46" t="s">
        <v>572</v>
      </c>
      <c r="B484" s="28" t="s">
        <v>1333</v>
      </c>
      <c r="C484" s="28" t="s">
        <v>88</v>
      </c>
      <c r="D484" s="28" t="s">
        <v>680</v>
      </c>
      <c r="E484" s="28" t="s">
        <v>92</v>
      </c>
      <c r="F484" s="28" t="s">
        <v>15</v>
      </c>
      <c r="G484" s="28" t="s">
        <v>15</v>
      </c>
      <c r="H484" s="28" t="s">
        <v>703</v>
      </c>
      <c r="I484" s="28" t="str">
        <f>VLOOKUP(F484,표준용어사전!$B:$D,3,FALSE)</f>
        <v>연월일시분초TS</v>
      </c>
      <c r="J484" s="28" t="s">
        <v>16</v>
      </c>
      <c r="K484" s="27" t="s">
        <v>571</v>
      </c>
      <c r="L484" s="29" t="s">
        <v>571</v>
      </c>
      <c r="M484" s="29" t="s">
        <v>726</v>
      </c>
      <c r="N484" s="29" t="s">
        <v>75</v>
      </c>
      <c r="O484" s="28"/>
      <c r="P484" s="28"/>
      <c r="Q484" s="28" t="s">
        <v>76</v>
      </c>
      <c r="R484" s="29"/>
      <c r="S484" s="28"/>
      <c r="T484" s="28" t="s">
        <v>574</v>
      </c>
      <c r="U484" s="28" t="s">
        <v>75</v>
      </c>
      <c r="V484" s="28" t="s">
        <v>75</v>
      </c>
      <c r="W484" s="28"/>
    </row>
    <row r="485" spans="1:23" s="12" customFormat="1" hidden="1">
      <c r="A485" s="46" t="s">
        <v>572</v>
      </c>
      <c r="B485" s="28" t="s">
        <v>1333</v>
      </c>
      <c r="C485" s="28" t="s">
        <v>88</v>
      </c>
      <c r="D485" s="28" t="s">
        <v>680</v>
      </c>
      <c r="E485" s="28" t="s">
        <v>93</v>
      </c>
      <c r="F485" s="28" t="s">
        <v>370</v>
      </c>
      <c r="G485" s="28" t="s">
        <v>370</v>
      </c>
      <c r="H485" s="28" t="s">
        <v>703</v>
      </c>
      <c r="I485" s="28" t="str">
        <f>VLOOKUP(F485,표준용어사전!$B:$D,3,FALSE)</f>
        <v>명V20</v>
      </c>
      <c r="J485" s="28" t="s">
        <v>78</v>
      </c>
      <c r="K485" s="27">
        <v>20</v>
      </c>
      <c r="L485" s="29" t="s">
        <v>571</v>
      </c>
      <c r="M485" s="29" t="s">
        <v>727</v>
      </c>
      <c r="N485" s="29" t="s">
        <v>75</v>
      </c>
      <c r="O485" s="28"/>
      <c r="P485" s="28"/>
      <c r="Q485" s="28" t="s">
        <v>76</v>
      </c>
      <c r="R485" s="29"/>
      <c r="S485" s="28"/>
      <c r="T485" s="28" t="s">
        <v>571</v>
      </c>
      <c r="U485" s="28" t="s">
        <v>75</v>
      </c>
      <c r="V485" s="28" t="s">
        <v>75</v>
      </c>
      <c r="W485" s="28"/>
    </row>
    <row r="486" spans="1:23" s="12" customFormat="1" hidden="1">
      <c r="A486" s="46" t="s">
        <v>572</v>
      </c>
      <c r="B486" s="28" t="s">
        <v>1335</v>
      </c>
      <c r="C486" s="28" t="s">
        <v>88</v>
      </c>
      <c r="D486" s="28" t="s">
        <v>681</v>
      </c>
      <c r="E486" s="28" t="s">
        <v>89</v>
      </c>
      <c r="F486" s="28" t="s">
        <v>501</v>
      </c>
      <c r="G486" s="28" t="s">
        <v>501</v>
      </c>
      <c r="H486" s="28" t="s">
        <v>149</v>
      </c>
      <c r="I486" s="28" t="str">
        <f>VLOOKUP(F486,표준용어사전!$B:$D,3,FALSE)</f>
        <v>명V20</v>
      </c>
      <c r="J486" s="28" t="s">
        <v>718</v>
      </c>
      <c r="K486" s="27">
        <v>50</v>
      </c>
      <c r="L486" s="29" t="s">
        <v>571</v>
      </c>
      <c r="M486" s="29" t="s">
        <v>720</v>
      </c>
      <c r="N486" s="29" t="s">
        <v>711</v>
      </c>
      <c r="O486" s="28" t="s">
        <v>641</v>
      </c>
      <c r="P486" s="28"/>
      <c r="Q486" s="28" t="s">
        <v>76</v>
      </c>
      <c r="R486" s="29"/>
      <c r="S486" s="28"/>
      <c r="T486" s="28"/>
      <c r="U486" s="28" t="s">
        <v>75</v>
      </c>
      <c r="V486" s="28" t="s">
        <v>75</v>
      </c>
      <c r="W486" s="28"/>
    </row>
    <row r="487" spans="1:23" s="12" customFormat="1" hidden="1">
      <c r="A487" s="46" t="s">
        <v>572</v>
      </c>
      <c r="B487" s="28" t="s">
        <v>1335</v>
      </c>
      <c r="C487" s="28" t="s">
        <v>88</v>
      </c>
      <c r="D487" s="28" t="s">
        <v>681</v>
      </c>
      <c r="E487" s="28" t="s">
        <v>150</v>
      </c>
      <c r="F487" s="28" t="s">
        <v>412</v>
      </c>
      <c r="G487" s="28" t="s">
        <v>412</v>
      </c>
      <c r="H487" s="28" t="s">
        <v>149</v>
      </c>
      <c r="I487" s="28" t="e">
        <f>VLOOKUP(F487,표준용어사전!$B:$D,3,FALSE)</f>
        <v>#N/A</v>
      </c>
      <c r="J487" s="28" t="s">
        <v>713</v>
      </c>
      <c r="K487" s="27" t="s">
        <v>571</v>
      </c>
      <c r="L487" s="29" t="s">
        <v>571</v>
      </c>
      <c r="M487" s="29"/>
      <c r="N487" s="29" t="s">
        <v>572</v>
      </c>
      <c r="O487" s="28"/>
      <c r="P487" s="28"/>
      <c r="Q487" s="28" t="s">
        <v>76</v>
      </c>
      <c r="R487" s="29"/>
      <c r="S487" s="28"/>
      <c r="T487" s="28"/>
      <c r="U487" s="28" t="s">
        <v>75</v>
      </c>
      <c r="V487" s="28" t="s">
        <v>75</v>
      </c>
      <c r="W487" s="28"/>
    </row>
    <row r="488" spans="1:23" s="12" customFormat="1" hidden="1">
      <c r="A488" s="46" t="s">
        <v>572</v>
      </c>
      <c r="B488" s="28" t="s">
        <v>1335</v>
      </c>
      <c r="C488" s="28" t="s">
        <v>88</v>
      </c>
      <c r="D488" s="28" t="s">
        <v>681</v>
      </c>
      <c r="E488" s="28" t="s">
        <v>142</v>
      </c>
      <c r="F488" s="28" t="s">
        <v>1612</v>
      </c>
      <c r="G488" s="28" t="s">
        <v>1612</v>
      </c>
      <c r="H488" s="28" t="s">
        <v>149</v>
      </c>
      <c r="I488" s="28" t="e">
        <f>VLOOKUP(F488,표준용어사전!$B:$D,3,FALSE)</f>
        <v>#N/A</v>
      </c>
      <c r="J488" s="28" t="s">
        <v>718</v>
      </c>
      <c r="K488" s="27">
        <v>2000</v>
      </c>
      <c r="L488" s="29" t="s">
        <v>571</v>
      </c>
      <c r="M488" s="29" t="s">
        <v>728</v>
      </c>
      <c r="N488" s="29" t="s">
        <v>572</v>
      </c>
      <c r="O488" s="28"/>
      <c r="P488" s="28"/>
      <c r="Q488" s="28" t="s">
        <v>76</v>
      </c>
      <c r="R488" s="29"/>
      <c r="S488" s="28"/>
      <c r="T488" s="28"/>
      <c r="U488" s="28" t="s">
        <v>75</v>
      </c>
      <c r="V488" s="28" t="s">
        <v>75</v>
      </c>
      <c r="W488" s="28"/>
    </row>
    <row r="489" spans="1:23" s="12" customFormat="1" hidden="1">
      <c r="A489" s="46" t="s">
        <v>572</v>
      </c>
      <c r="B489" s="28" t="s">
        <v>1335</v>
      </c>
      <c r="C489" s="28" t="s">
        <v>88</v>
      </c>
      <c r="D489" s="28" t="s">
        <v>681</v>
      </c>
      <c r="E489" s="28" t="s">
        <v>162</v>
      </c>
      <c r="F489" s="28" t="s">
        <v>421</v>
      </c>
      <c r="G489" s="28" t="s">
        <v>421</v>
      </c>
      <c r="H489" s="28" t="s">
        <v>149</v>
      </c>
      <c r="I489" s="28" t="str">
        <f>VLOOKUP(F489,표준용어사전!$B:$D,3,FALSE)</f>
        <v>여부C1</v>
      </c>
      <c r="J489" s="28" t="s">
        <v>709</v>
      </c>
      <c r="K489" s="27">
        <v>1</v>
      </c>
      <c r="L489" s="29" t="s">
        <v>571</v>
      </c>
      <c r="M489" s="29" t="s">
        <v>722</v>
      </c>
      <c r="N489" s="29" t="s">
        <v>572</v>
      </c>
      <c r="O489" s="28"/>
      <c r="P489" s="28"/>
      <c r="Q489" s="28" t="s">
        <v>76</v>
      </c>
      <c r="R489" s="29"/>
      <c r="S489" s="28"/>
      <c r="T489" s="28" t="s">
        <v>576</v>
      </c>
      <c r="U489" s="28" t="s">
        <v>75</v>
      </c>
      <c r="V489" s="28" t="s">
        <v>75</v>
      </c>
      <c r="W489" s="28"/>
    </row>
    <row r="490" spans="1:23" s="12" customFormat="1" hidden="1">
      <c r="A490" s="46" t="s">
        <v>572</v>
      </c>
      <c r="B490" s="28" t="s">
        <v>1335</v>
      </c>
      <c r="C490" s="28" t="s">
        <v>88</v>
      </c>
      <c r="D490" s="28" t="s">
        <v>681</v>
      </c>
      <c r="E490" s="28" t="s">
        <v>90</v>
      </c>
      <c r="F490" s="28" t="s">
        <v>14</v>
      </c>
      <c r="G490" s="28" t="s">
        <v>14</v>
      </c>
      <c r="H490" s="28" t="s">
        <v>149</v>
      </c>
      <c r="I490" s="28" t="str">
        <f>VLOOKUP(F490,표준용어사전!$B:$D,3,FALSE)</f>
        <v>연월일시분초TS</v>
      </c>
      <c r="J490" s="28" t="s">
        <v>16</v>
      </c>
      <c r="K490" s="27" t="s">
        <v>571</v>
      </c>
      <c r="L490" s="29" t="s">
        <v>571</v>
      </c>
      <c r="M490" s="29" t="s">
        <v>726</v>
      </c>
      <c r="N490" s="29" t="s">
        <v>711</v>
      </c>
      <c r="O490" s="28"/>
      <c r="P490" s="28"/>
      <c r="Q490" s="28" t="s">
        <v>76</v>
      </c>
      <c r="R490" s="29"/>
      <c r="S490" s="28"/>
      <c r="T490" s="28" t="s">
        <v>574</v>
      </c>
      <c r="U490" s="28" t="s">
        <v>75</v>
      </c>
      <c r="V490" s="28" t="s">
        <v>75</v>
      </c>
      <c r="W490" s="28"/>
    </row>
    <row r="491" spans="1:23" s="12" customFormat="1" hidden="1">
      <c r="A491" s="46" t="s">
        <v>572</v>
      </c>
      <c r="B491" s="28" t="s">
        <v>1335</v>
      </c>
      <c r="C491" s="28" t="s">
        <v>88</v>
      </c>
      <c r="D491" s="28" t="s">
        <v>681</v>
      </c>
      <c r="E491" s="28" t="s">
        <v>91</v>
      </c>
      <c r="F491" s="28" t="s">
        <v>369</v>
      </c>
      <c r="G491" s="28" t="s">
        <v>369</v>
      </c>
      <c r="H491" s="28" t="s">
        <v>149</v>
      </c>
      <c r="I491" s="28" t="str">
        <f>VLOOKUP(F491,표준용어사전!$B:$D,3,FALSE)</f>
        <v>명V20</v>
      </c>
      <c r="J491" s="28" t="s">
        <v>78</v>
      </c>
      <c r="K491" s="27">
        <v>20</v>
      </c>
      <c r="L491" s="29" t="s">
        <v>571</v>
      </c>
      <c r="M491" s="29" t="s">
        <v>727</v>
      </c>
      <c r="N491" s="29" t="s">
        <v>75</v>
      </c>
      <c r="O491" s="28"/>
      <c r="P491" s="28"/>
      <c r="Q491" s="28" t="s">
        <v>76</v>
      </c>
      <c r="R491" s="29"/>
      <c r="S491" s="28"/>
      <c r="T491" s="28" t="s">
        <v>571</v>
      </c>
      <c r="U491" s="28" t="s">
        <v>75</v>
      </c>
      <c r="V491" s="28" t="s">
        <v>75</v>
      </c>
      <c r="W491" s="28"/>
    </row>
    <row r="492" spans="1:23" s="12" customFormat="1" hidden="1">
      <c r="A492" s="46" t="s">
        <v>572</v>
      </c>
      <c r="B492" s="28" t="s">
        <v>1335</v>
      </c>
      <c r="C492" s="28" t="s">
        <v>88</v>
      </c>
      <c r="D492" s="28" t="s">
        <v>681</v>
      </c>
      <c r="E492" s="28" t="s">
        <v>92</v>
      </c>
      <c r="F492" s="28" t="s">
        <v>15</v>
      </c>
      <c r="G492" s="28" t="s">
        <v>15</v>
      </c>
      <c r="H492" s="28" t="s">
        <v>149</v>
      </c>
      <c r="I492" s="28" t="str">
        <f>VLOOKUP(F492,표준용어사전!$B:$D,3,FALSE)</f>
        <v>연월일시분초TS</v>
      </c>
      <c r="J492" s="28" t="s">
        <v>16</v>
      </c>
      <c r="K492" s="27" t="s">
        <v>571</v>
      </c>
      <c r="L492" s="29" t="s">
        <v>571</v>
      </c>
      <c r="M492" s="29" t="s">
        <v>726</v>
      </c>
      <c r="N492" s="29" t="s">
        <v>75</v>
      </c>
      <c r="O492" s="28"/>
      <c r="P492" s="28"/>
      <c r="Q492" s="28" t="s">
        <v>76</v>
      </c>
      <c r="R492" s="29"/>
      <c r="S492" s="28"/>
      <c r="T492" s="28" t="s">
        <v>574</v>
      </c>
      <c r="U492" s="28" t="s">
        <v>75</v>
      </c>
      <c r="V492" s="28" t="s">
        <v>75</v>
      </c>
      <c r="W492" s="28"/>
    </row>
    <row r="493" spans="1:23" s="12" customFormat="1" hidden="1">
      <c r="A493" s="46" t="s">
        <v>572</v>
      </c>
      <c r="B493" s="28" t="s">
        <v>1335</v>
      </c>
      <c r="C493" s="28" t="s">
        <v>88</v>
      </c>
      <c r="D493" s="28" t="s">
        <v>681</v>
      </c>
      <c r="E493" s="28" t="s">
        <v>93</v>
      </c>
      <c r="F493" s="28" t="s">
        <v>370</v>
      </c>
      <c r="G493" s="28" t="s">
        <v>370</v>
      </c>
      <c r="H493" s="28" t="s">
        <v>149</v>
      </c>
      <c r="I493" s="28" t="str">
        <f>VLOOKUP(F493,표준용어사전!$B:$D,3,FALSE)</f>
        <v>명V20</v>
      </c>
      <c r="J493" s="28" t="s">
        <v>78</v>
      </c>
      <c r="K493" s="27">
        <v>20</v>
      </c>
      <c r="L493" s="29" t="s">
        <v>571</v>
      </c>
      <c r="M493" s="29" t="s">
        <v>727</v>
      </c>
      <c r="N493" s="29" t="s">
        <v>75</v>
      </c>
      <c r="O493" s="28"/>
      <c r="P493" s="28"/>
      <c r="Q493" s="28" t="s">
        <v>76</v>
      </c>
      <c r="R493" s="29"/>
      <c r="S493" s="28"/>
      <c r="T493" s="28" t="s">
        <v>571</v>
      </c>
      <c r="U493" s="28" t="s">
        <v>75</v>
      </c>
      <c r="V493" s="28" t="s">
        <v>75</v>
      </c>
      <c r="W493" s="28"/>
    </row>
    <row r="494" spans="1:23" s="12" customFormat="1" hidden="1">
      <c r="A494" s="46" t="s">
        <v>572</v>
      </c>
      <c r="B494" s="28" t="s">
        <v>1335</v>
      </c>
      <c r="C494" s="28" t="s">
        <v>88</v>
      </c>
      <c r="D494" s="28" t="s">
        <v>629</v>
      </c>
      <c r="E494" s="28" t="s">
        <v>145</v>
      </c>
      <c r="F494" s="28" t="s">
        <v>408</v>
      </c>
      <c r="G494" s="28" t="s">
        <v>408</v>
      </c>
      <c r="H494" s="28" t="s">
        <v>704</v>
      </c>
      <c r="I494" s="28" t="e">
        <f>VLOOKUP(F494,표준용어사전!$B:$D,3,FALSE)</f>
        <v>#N/A</v>
      </c>
      <c r="J494" s="28" t="s">
        <v>717</v>
      </c>
      <c r="K494" s="27" t="s">
        <v>571</v>
      </c>
      <c r="L494" s="29" t="s">
        <v>571</v>
      </c>
      <c r="M494" s="29"/>
      <c r="N494" s="29" t="s">
        <v>711</v>
      </c>
      <c r="O494" s="28" t="s">
        <v>641</v>
      </c>
      <c r="P494" s="28"/>
      <c r="Q494" s="28" t="s">
        <v>76</v>
      </c>
      <c r="R494" s="29"/>
      <c r="S494" s="28"/>
      <c r="T494" s="28"/>
      <c r="U494" s="28" t="s">
        <v>75</v>
      </c>
      <c r="V494" s="28" t="s">
        <v>75</v>
      </c>
      <c r="W494" s="28"/>
    </row>
    <row r="495" spans="1:23" s="12" customFormat="1" hidden="1">
      <c r="A495" s="46" t="s">
        <v>572</v>
      </c>
      <c r="B495" s="28" t="s">
        <v>1335</v>
      </c>
      <c r="C495" s="28" t="s">
        <v>88</v>
      </c>
      <c r="D495" s="28" t="s">
        <v>629</v>
      </c>
      <c r="E495" s="28" t="s">
        <v>89</v>
      </c>
      <c r="F495" s="28" t="s">
        <v>501</v>
      </c>
      <c r="G495" s="28" t="s">
        <v>501</v>
      </c>
      <c r="H495" s="28" t="s">
        <v>704</v>
      </c>
      <c r="I495" s="28" t="str">
        <f>VLOOKUP(F495,표준용어사전!$B:$D,3,FALSE)</f>
        <v>명V20</v>
      </c>
      <c r="J495" s="28" t="s">
        <v>718</v>
      </c>
      <c r="K495" s="27">
        <v>50</v>
      </c>
      <c r="L495" s="29" t="s">
        <v>571</v>
      </c>
      <c r="M495" s="29" t="s">
        <v>720</v>
      </c>
      <c r="N495" s="29" t="s">
        <v>711</v>
      </c>
      <c r="O495" s="28"/>
      <c r="P495" s="28"/>
      <c r="Q495" s="28" t="s">
        <v>76</v>
      </c>
      <c r="R495" s="29"/>
      <c r="S495" s="28"/>
      <c r="T495" s="28"/>
      <c r="U495" s="28" t="s">
        <v>75</v>
      </c>
      <c r="V495" s="28" t="s">
        <v>75</v>
      </c>
      <c r="W495" s="28"/>
    </row>
    <row r="496" spans="1:23" s="12" customFormat="1" hidden="1">
      <c r="A496" s="46" t="s">
        <v>572</v>
      </c>
      <c r="B496" s="28" t="s">
        <v>1335</v>
      </c>
      <c r="C496" s="28" t="s">
        <v>88</v>
      </c>
      <c r="D496" s="28" t="s">
        <v>629</v>
      </c>
      <c r="E496" s="28" t="s">
        <v>137</v>
      </c>
      <c r="F496" s="28" t="s">
        <v>1613</v>
      </c>
      <c r="G496" s="28" t="s">
        <v>1613</v>
      </c>
      <c r="H496" s="28" t="s">
        <v>704</v>
      </c>
      <c r="I496" s="28" t="str">
        <f>VLOOKUP(F496,표준용어사전!$B:$D,3,FALSE)</f>
        <v>명V50</v>
      </c>
      <c r="J496" s="28" t="s">
        <v>718</v>
      </c>
      <c r="K496" s="27">
        <v>50</v>
      </c>
      <c r="L496" s="29" t="s">
        <v>571</v>
      </c>
      <c r="M496" s="29" t="s">
        <v>720</v>
      </c>
      <c r="N496" s="29" t="s">
        <v>75</v>
      </c>
      <c r="O496" s="28"/>
      <c r="P496" s="28"/>
      <c r="Q496" s="28" t="s">
        <v>76</v>
      </c>
      <c r="R496" s="29"/>
      <c r="S496" s="28"/>
      <c r="T496" s="28"/>
      <c r="U496" s="28" t="s">
        <v>75</v>
      </c>
      <c r="V496" s="28" t="s">
        <v>75</v>
      </c>
      <c r="W496" s="28"/>
    </row>
    <row r="497" spans="1:23" s="12" customFormat="1" hidden="1">
      <c r="A497" s="46" t="s">
        <v>572</v>
      </c>
      <c r="B497" s="28" t="s">
        <v>1335</v>
      </c>
      <c r="C497" s="28" t="s">
        <v>88</v>
      </c>
      <c r="D497" s="28" t="s">
        <v>629</v>
      </c>
      <c r="E497" s="28" t="s">
        <v>138</v>
      </c>
      <c r="F497" s="28" t="s">
        <v>403</v>
      </c>
      <c r="G497" s="28" t="s">
        <v>403</v>
      </c>
      <c r="H497" s="28" t="s">
        <v>704</v>
      </c>
      <c r="I497" s="28" t="e">
        <f>VLOOKUP(F497,표준용어사전!$B:$D,3,FALSE)</f>
        <v>#N/A</v>
      </c>
      <c r="J497" s="28" t="s">
        <v>718</v>
      </c>
      <c r="K497" s="27">
        <v>15</v>
      </c>
      <c r="L497" s="29" t="s">
        <v>571</v>
      </c>
      <c r="M497" s="29" t="s">
        <v>769</v>
      </c>
      <c r="N497" s="29" t="s">
        <v>75</v>
      </c>
      <c r="O497" s="28"/>
      <c r="P497" s="28"/>
      <c r="Q497" s="28" t="s">
        <v>76</v>
      </c>
      <c r="R497" s="29"/>
      <c r="S497" s="28"/>
      <c r="T497" s="28"/>
      <c r="U497" s="28" t="s">
        <v>75</v>
      </c>
      <c r="V497" s="28" t="s">
        <v>75</v>
      </c>
      <c r="W497" s="28"/>
    </row>
    <row r="498" spans="1:23" s="12" customFormat="1" hidden="1">
      <c r="A498" s="46" t="s">
        <v>572</v>
      </c>
      <c r="B498" s="28" t="s">
        <v>1335</v>
      </c>
      <c r="C498" s="28" t="s">
        <v>88</v>
      </c>
      <c r="D498" s="28" t="s">
        <v>629</v>
      </c>
      <c r="E498" s="28" t="s">
        <v>146</v>
      </c>
      <c r="F498" s="28" t="s">
        <v>409</v>
      </c>
      <c r="G498" s="28" t="s">
        <v>409</v>
      </c>
      <c r="H498" s="28" t="s">
        <v>704</v>
      </c>
      <c r="I498" s="28" t="e">
        <f>VLOOKUP(F498,표준용어사전!$B:$D,3,FALSE)</f>
        <v>#N/A</v>
      </c>
      <c r="J498" s="28" t="s">
        <v>718</v>
      </c>
      <c r="K498" s="27">
        <v>512</v>
      </c>
      <c r="L498" s="29" t="s">
        <v>571</v>
      </c>
      <c r="M498" s="29" t="s">
        <v>721</v>
      </c>
      <c r="N498" s="29" t="s">
        <v>75</v>
      </c>
      <c r="O498" s="28"/>
      <c r="P498" s="28"/>
      <c r="Q498" s="28" t="s">
        <v>76</v>
      </c>
      <c r="R498" s="29"/>
      <c r="S498" s="28"/>
      <c r="T498" s="28"/>
      <c r="U498" s="28" t="s">
        <v>75</v>
      </c>
      <c r="V498" s="28" t="s">
        <v>75</v>
      </c>
      <c r="W498" s="28"/>
    </row>
    <row r="499" spans="1:23" s="12" customFormat="1" hidden="1">
      <c r="A499" s="46" t="s">
        <v>572</v>
      </c>
      <c r="B499" s="28" t="s">
        <v>1335</v>
      </c>
      <c r="C499" s="28" t="s">
        <v>88</v>
      </c>
      <c r="D499" s="28" t="s">
        <v>629</v>
      </c>
      <c r="E499" s="28" t="s">
        <v>140</v>
      </c>
      <c r="F499" s="28" t="s">
        <v>405</v>
      </c>
      <c r="G499" s="28" t="s">
        <v>405</v>
      </c>
      <c r="H499" s="28" t="s">
        <v>704</v>
      </c>
      <c r="I499" s="28" t="e">
        <f>VLOOKUP(F499,표준용어사전!$B:$D,3,FALSE)</f>
        <v>#N/A</v>
      </c>
      <c r="J499" s="28" t="s">
        <v>718</v>
      </c>
      <c r="K499" s="27">
        <v>2000</v>
      </c>
      <c r="L499" s="29" t="s">
        <v>571</v>
      </c>
      <c r="M499" s="29" t="s">
        <v>728</v>
      </c>
      <c r="N499" s="29" t="s">
        <v>75</v>
      </c>
      <c r="O499" s="28"/>
      <c r="P499" s="28"/>
      <c r="Q499" s="28" t="s">
        <v>76</v>
      </c>
      <c r="R499" s="29"/>
      <c r="S499" s="28"/>
      <c r="T499" s="28"/>
      <c r="U499" s="28" t="s">
        <v>75</v>
      </c>
      <c r="V499" s="28" t="s">
        <v>75</v>
      </c>
      <c r="W499" s="28"/>
    </row>
    <row r="500" spans="1:23" s="12" customFormat="1" hidden="1">
      <c r="A500" s="46" t="s">
        <v>572</v>
      </c>
      <c r="B500" s="28" t="s">
        <v>1335</v>
      </c>
      <c r="C500" s="28" t="s">
        <v>88</v>
      </c>
      <c r="D500" s="28" t="s">
        <v>629</v>
      </c>
      <c r="E500" s="28" t="s">
        <v>853</v>
      </c>
      <c r="F500" s="28" t="s">
        <v>767</v>
      </c>
      <c r="G500" s="28" t="s">
        <v>767</v>
      </c>
      <c r="H500" s="28" t="s">
        <v>704</v>
      </c>
      <c r="I500" s="28" t="str">
        <f>VLOOKUP(F500,표준용어사전!$B:$D,3,FALSE)</f>
        <v>명V256</v>
      </c>
      <c r="J500" s="28" t="s">
        <v>718</v>
      </c>
      <c r="K500" s="27">
        <v>256</v>
      </c>
      <c r="L500" s="29" t="s">
        <v>571</v>
      </c>
      <c r="M500" s="29" t="s">
        <v>730</v>
      </c>
      <c r="N500" s="29" t="s">
        <v>75</v>
      </c>
      <c r="O500" s="28"/>
      <c r="P500" s="28"/>
      <c r="Q500" s="28" t="s">
        <v>76</v>
      </c>
      <c r="R500" s="29"/>
      <c r="S500" s="28"/>
      <c r="T500" s="28"/>
      <c r="U500" s="28" t="s">
        <v>75</v>
      </c>
      <c r="V500" s="28" t="s">
        <v>75</v>
      </c>
      <c r="W500" s="28"/>
    </row>
    <row r="501" spans="1:23" s="12" customFormat="1" hidden="1">
      <c r="A501" s="46" t="s">
        <v>572</v>
      </c>
      <c r="B501" s="28" t="s">
        <v>1335</v>
      </c>
      <c r="C501" s="28" t="s">
        <v>88</v>
      </c>
      <c r="D501" s="28" t="s">
        <v>629</v>
      </c>
      <c r="E501" s="28" t="s">
        <v>854</v>
      </c>
      <c r="F501" s="28" t="s">
        <v>768</v>
      </c>
      <c r="G501" s="28" t="s">
        <v>768</v>
      </c>
      <c r="H501" s="28" t="s">
        <v>704</v>
      </c>
      <c r="I501" s="28" t="str">
        <f>VLOOKUP(F501,표준용어사전!$B:$D,3,FALSE)</f>
        <v>명V256</v>
      </c>
      <c r="J501" s="28" t="s">
        <v>718</v>
      </c>
      <c r="K501" s="27">
        <v>256</v>
      </c>
      <c r="L501" s="29" t="s">
        <v>571</v>
      </c>
      <c r="M501" s="29" t="s">
        <v>730</v>
      </c>
      <c r="N501" s="29" t="s">
        <v>75</v>
      </c>
      <c r="O501" s="28"/>
      <c r="P501" s="28"/>
      <c r="Q501" s="28" t="s">
        <v>76</v>
      </c>
      <c r="R501" s="29"/>
      <c r="S501" s="28"/>
      <c r="T501" s="28"/>
      <c r="U501" s="28" t="s">
        <v>75</v>
      </c>
      <c r="V501" s="28" t="s">
        <v>75</v>
      </c>
      <c r="W501" s="28"/>
    </row>
    <row r="502" spans="1:23" s="12" customFormat="1" hidden="1">
      <c r="A502" s="46" t="s">
        <v>572</v>
      </c>
      <c r="B502" s="28" t="s">
        <v>1335</v>
      </c>
      <c r="C502" s="28" t="s">
        <v>88</v>
      </c>
      <c r="D502" s="28" t="s">
        <v>629</v>
      </c>
      <c r="E502" s="28" t="s">
        <v>855</v>
      </c>
      <c r="F502" s="28" t="s">
        <v>1614</v>
      </c>
      <c r="G502" s="28" t="s">
        <v>1614</v>
      </c>
      <c r="H502" s="28" t="s">
        <v>704</v>
      </c>
      <c r="I502" s="28" t="e">
        <f>VLOOKUP(F502,표준용어사전!$B:$D,3,FALSE)</f>
        <v>#N/A</v>
      </c>
      <c r="J502" s="28" t="s">
        <v>713</v>
      </c>
      <c r="K502" s="27" t="s">
        <v>571</v>
      </c>
      <c r="L502" s="29" t="s">
        <v>571</v>
      </c>
      <c r="M502" s="29"/>
      <c r="N502" s="29" t="s">
        <v>75</v>
      </c>
      <c r="O502" s="28"/>
      <c r="P502" s="28"/>
      <c r="Q502" s="28" t="s">
        <v>76</v>
      </c>
      <c r="R502" s="29"/>
      <c r="S502" s="28"/>
      <c r="T502" s="28"/>
      <c r="U502" s="28" t="s">
        <v>75</v>
      </c>
      <c r="V502" s="28" t="s">
        <v>75</v>
      </c>
      <c r="W502" s="28"/>
    </row>
    <row r="503" spans="1:23" s="12" customFormat="1" hidden="1">
      <c r="A503" s="46" t="s">
        <v>572</v>
      </c>
      <c r="B503" s="28" t="s">
        <v>1335</v>
      </c>
      <c r="C503" s="28" t="s">
        <v>88</v>
      </c>
      <c r="D503" s="28" t="s">
        <v>629</v>
      </c>
      <c r="E503" s="28" t="s">
        <v>147</v>
      </c>
      <c r="F503" s="28" t="s">
        <v>410</v>
      </c>
      <c r="G503" s="28" t="s">
        <v>410</v>
      </c>
      <c r="H503" s="28" t="s">
        <v>704</v>
      </c>
      <c r="I503" s="28" t="e">
        <f>VLOOKUP(F503,표준용어사전!$B:$D,3,FALSE)</f>
        <v>#N/A</v>
      </c>
      <c r="J503" s="28" t="s">
        <v>718</v>
      </c>
      <c r="K503" s="27">
        <v>2000</v>
      </c>
      <c r="L503" s="29" t="s">
        <v>571</v>
      </c>
      <c r="M503" s="29" t="s">
        <v>728</v>
      </c>
      <c r="N503" s="29" t="s">
        <v>75</v>
      </c>
      <c r="O503" s="28"/>
      <c r="P503" s="28"/>
      <c r="Q503" s="28" t="s">
        <v>76</v>
      </c>
      <c r="R503" s="29"/>
      <c r="S503" s="28"/>
      <c r="T503" s="28"/>
      <c r="U503" s="28" t="s">
        <v>75</v>
      </c>
      <c r="V503" s="28" t="s">
        <v>75</v>
      </c>
      <c r="W503" s="28"/>
    </row>
    <row r="504" spans="1:23" s="12" customFormat="1" hidden="1">
      <c r="A504" s="46" t="s">
        <v>572</v>
      </c>
      <c r="B504" s="28" t="s">
        <v>1335</v>
      </c>
      <c r="C504" s="28" t="s">
        <v>88</v>
      </c>
      <c r="D504" s="28" t="s">
        <v>629</v>
      </c>
      <c r="E504" s="28" t="s">
        <v>148</v>
      </c>
      <c r="F504" s="28" t="s">
        <v>411</v>
      </c>
      <c r="G504" s="28" t="s">
        <v>411</v>
      </c>
      <c r="H504" s="28" t="s">
        <v>704</v>
      </c>
      <c r="I504" s="28" t="str">
        <f>VLOOKUP(F504,표준용어사전!$B:$D,3,FALSE)</f>
        <v>명V256</v>
      </c>
      <c r="J504" s="28" t="s">
        <v>718</v>
      </c>
      <c r="K504" s="27">
        <v>256</v>
      </c>
      <c r="L504" s="29" t="s">
        <v>571</v>
      </c>
      <c r="M504" s="29" t="s">
        <v>730</v>
      </c>
      <c r="N504" s="29" t="s">
        <v>75</v>
      </c>
      <c r="O504" s="28"/>
      <c r="P504" s="28"/>
      <c r="Q504" s="28" t="s">
        <v>76</v>
      </c>
      <c r="R504" s="29"/>
      <c r="S504" s="28"/>
      <c r="T504" s="28"/>
      <c r="U504" s="28" t="s">
        <v>75</v>
      </c>
      <c r="V504" s="28" t="s">
        <v>75</v>
      </c>
      <c r="W504" s="28"/>
    </row>
    <row r="505" spans="1:23" s="12" customFormat="1" hidden="1">
      <c r="A505" s="46" t="s">
        <v>572</v>
      </c>
      <c r="B505" s="28" t="s">
        <v>1335</v>
      </c>
      <c r="C505" s="28" t="s">
        <v>88</v>
      </c>
      <c r="D505" s="28" t="s">
        <v>629</v>
      </c>
      <c r="E505" s="28" t="s">
        <v>142</v>
      </c>
      <c r="F505" s="28" t="s">
        <v>1612</v>
      </c>
      <c r="G505" s="28" t="s">
        <v>1612</v>
      </c>
      <c r="H505" s="28" t="s">
        <v>704</v>
      </c>
      <c r="I505" s="28" t="e">
        <f>VLOOKUP(F505,표준용어사전!$B:$D,3,FALSE)</f>
        <v>#N/A</v>
      </c>
      <c r="J505" s="28" t="s">
        <v>718</v>
      </c>
      <c r="K505" s="27">
        <v>2000</v>
      </c>
      <c r="L505" s="29" t="s">
        <v>571</v>
      </c>
      <c r="M505" s="29" t="s">
        <v>728</v>
      </c>
      <c r="N505" s="29" t="s">
        <v>75</v>
      </c>
      <c r="O505" s="28"/>
      <c r="P505" s="28"/>
      <c r="Q505" s="28" t="s">
        <v>76</v>
      </c>
      <c r="R505" s="29"/>
      <c r="S505" s="28"/>
      <c r="T505" s="28"/>
      <c r="U505" s="28" t="s">
        <v>75</v>
      </c>
      <c r="V505" s="28" t="s">
        <v>75</v>
      </c>
      <c r="W505" s="28"/>
    </row>
    <row r="506" spans="1:23" s="12" customFormat="1" hidden="1">
      <c r="A506" s="46" t="s">
        <v>572</v>
      </c>
      <c r="B506" s="28" t="s">
        <v>1335</v>
      </c>
      <c r="C506" s="28" t="s">
        <v>88</v>
      </c>
      <c r="D506" s="28" t="s">
        <v>629</v>
      </c>
      <c r="E506" s="28" t="s">
        <v>143</v>
      </c>
      <c r="F506" s="28" t="s">
        <v>406</v>
      </c>
      <c r="G506" s="28" t="s">
        <v>406</v>
      </c>
      <c r="H506" s="28" t="s">
        <v>704</v>
      </c>
      <c r="I506" s="28" t="str">
        <f>VLOOKUP(F506,표준용어사전!$B:$D,3,FALSE)</f>
        <v>명V256</v>
      </c>
      <c r="J506" s="28" t="s">
        <v>718</v>
      </c>
      <c r="K506" s="27">
        <v>256</v>
      </c>
      <c r="L506" s="29" t="s">
        <v>571</v>
      </c>
      <c r="M506" s="29" t="s">
        <v>730</v>
      </c>
      <c r="N506" s="29" t="s">
        <v>75</v>
      </c>
      <c r="O506" s="28"/>
      <c r="P506" s="28"/>
      <c r="Q506" s="28" t="s">
        <v>76</v>
      </c>
      <c r="R506" s="29"/>
      <c r="S506" s="28"/>
      <c r="T506" s="28"/>
      <c r="U506" s="28" t="s">
        <v>75</v>
      </c>
      <c r="V506" s="28" t="s">
        <v>75</v>
      </c>
      <c r="W506" s="28"/>
    </row>
    <row r="507" spans="1:23" s="12" customFormat="1" hidden="1">
      <c r="A507" s="46" t="s">
        <v>572</v>
      </c>
      <c r="B507" s="28" t="s">
        <v>1335</v>
      </c>
      <c r="C507" s="28" t="s">
        <v>88</v>
      </c>
      <c r="D507" s="28" t="s">
        <v>629</v>
      </c>
      <c r="E507" s="28" t="s">
        <v>144</v>
      </c>
      <c r="F507" s="28" t="s">
        <v>407</v>
      </c>
      <c r="G507" s="28" t="s">
        <v>407</v>
      </c>
      <c r="H507" s="28" t="s">
        <v>704</v>
      </c>
      <c r="I507" s="28" t="e">
        <f>VLOOKUP(F507,표준용어사전!$B:$D,3,FALSE)</f>
        <v>#N/A</v>
      </c>
      <c r="J507" s="28" t="s">
        <v>718</v>
      </c>
      <c r="K507" s="27">
        <v>2000</v>
      </c>
      <c r="L507" s="29" t="s">
        <v>571</v>
      </c>
      <c r="M507" s="29" t="s">
        <v>728</v>
      </c>
      <c r="N507" s="29" t="s">
        <v>75</v>
      </c>
      <c r="O507" s="28"/>
      <c r="P507" s="28"/>
      <c r="Q507" s="28" t="s">
        <v>76</v>
      </c>
      <c r="R507" s="29"/>
      <c r="S507" s="28"/>
      <c r="T507" s="28"/>
      <c r="U507" s="28" t="s">
        <v>75</v>
      </c>
      <c r="V507" s="28" t="s">
        <v>75</v>
      </c>
      <c r="W507" s="28"/>
    </row>
    <row r="508" spans="1:23" s="12" customFormat="1" hidden="1">
      <c r="A508" s="46" t="s">
        <v>572</v>
      </c>
      <c r="B508" s="28" t="s">
        <v>1335</v>
      </c>
      <c r="C508" s="28" t="s">
        <v>88</v>
      </c>
      <c r="D508" s="28" t="s">
        <v>629</v>
      </c>
      <c r="E508" s="28" t="s">
        <v>183</v>
      </c>
      <c r="F508" s="28" t="s">
        <v>437</v>
      </c>
      <c r="G508" s="28" t="s">
        <v>437</v>
      </c>
      <c r="H508" s="28" t="s">
        <v>704</v>
      </c>
      <c r="I508" s="28" t="str">
        <f>VLOOKUP(F508,표준용어사전!$B:$D,3,FALSE)</f>
        <v>여부C1</v>
      </c>
      <c r="J508" s="28" t="s">
        <v>709</v>
      </c>
      <c r="K508" s="27">
        <v>1</v>
      </c>
      <c r="L508" s="29" t="s">
        <v>571</v>
      </c>
      <c r="M508" s="29" t="s">
        <v>722</v>
      </c>
      <c r="N508" s="29" t="s">
        <v>75</v>
      </c>
      <c r="O508" s="28"/>
      <c r="P508" s="28"/>
      <c r="Q508" s="28" t="s">
        <v>76</v>
      </c>
      <c r="R508" s="29"/>
      <c r="S508" s="28"/>
      <c r="T508" s="28" t="s">
        <v>576</v>
      </c>
      <c r="U508" s="28" t="s">
        <v>75</v>
      </c>
      <c r="V508" s="28" t="s">
        <v>75</v>
      </c>
      <c r="W508" s="28"/>
    </row>
    <row r="509" spans="1:23" s="12" customFormat="1" hidden="1">
      <c r="A509" s="46" t="s">
        <v>572</v>
      </c>
      <c r="B509" s="28" t="s">
        <v>1335</v>
      </c>
      <c r="C509" s="28" t="s">
        <v>88</v>
      </c>
      <c r="D509" s="28" t="s">
        <v>629</v>
      </c>
      <c r="E509" s="28" t="s">
        <v>90</v>
      </c>
      <c r="F509" s="28" t="s">
        <v>14</v>
      </c>
      <c r="G509" s="28" t="s">
        <v>14</v>
      </c>
      <c r="H509" s="28" t="s">
        <v>704</v>
      </c>
      <c r="I509" s="28" t="str">
        <f>VLOOKUP(F509,표준용어사전!$B:$D,3,FALSE)</f>
        <v>연월일시분초TS</v>
      </c>
      <c r="J509" s="28" t="s">
        <v>16</v>
      </c>
      <c r="K509" s="27" t="s">
        <v>571</v>
      </c>
      <c r="L509" s="29" t="s">
        <v>571</v>
      </c>
      <c r="M509" s="29" t="s">
        <v>726</v>
      </c>
      <c r="N509" s="29" t="s">
        <v>711</v>
      </c>
      <c r="O509" s="28"/>
      <c r="P509" s="28"/>
      <c r="Q509" s="28" t="s">
        <v>76</v>
      </c>
      <c r="R509" s="29"/>
      <c r="S509" s="28"/>
      <c r="T509" s="28" t="s">
        <v>574</v>
      </c>
      <c r="U509" s="28" t="s">
        <v>75</v>
      </c>
      <c r="V509" s="28" t="s">
        <v>75</v>
      </c>
      <c r="W509" s="28"/>
    </row>
    <row r="510" spans="1:23" s="12" customFormat="1" hidden="1">
      <c r="A510" s="46" t="s">
        <v>572</v>
      </c>
      <c r="B510" s="28" t="s">
        <v>1335</v>
      </c>
      <c r="C510" s="28" t="s">
        <v>88</v>
      </c>
      <c r="D510" s="28" t="s">
        <v>629</v>
      </c>
      <c r="E510" s="28" t="s">
        <v>91</v>
      </c>
      <c r="F510" s="28" t="s">
        <v>369</v>
      </c>
      <c r="G510" s="28" t="s">
        <v>369</v>
      </c>
      <c r="H510" s="28" t="s">
        <v>704</v>
      </c>
      <c r="I510" s="28" t="str">
        <f>VLOOKUP(F510,표준용어사전!$B:$D,3,FALSE)</f>
        <v>명V20</v>
      </c>
      <c r="J510" s="28" t="s">
        <v>78</v>
      </c>
      <c r="K510" s="27">
        <v>20</v>
      </c>
      <c r="L510" s="29" t="s">
        <v>571</v>
      </c>
      <c r="M510" s="29" t="s">
        <v>727</v>
      </c>
      <c r="N510" s="29" t="s">
        <v>75</v>
      </c>
      <c r="O510" s="28"/>
      <c r="P510" s="28"/>
      <c r="Q510" s="28" t="s">
        <v>76</v>
      </c>
      <c r="R510" s="29"/>
      <c r="S510" s="28"/>
      <c r="T510" s="28" t="s">
        <v>571</v>
      </c>
      <c r="U510" s="28" t="s">
        <v>75</v>
      </c>
      <c r="V510" s="28" t="s">
        <v>75</v>
      </c>
      <c r="W510" s="28"/>
    </row>
    <row r="511" spans="1:23" s="12" customFormat="1" hidden="1">
      <c r="A511" s="46" t="s">
        <v>572</v>
      </c>
      <c r="B511" s="28" t="s">
        <v>1335</v>
      </c>
      <c r="C511" s="28" t="s">
        <v>88</v>
      </c>
      <c r="D511" s="28" t="s">
        <v>629</v>
      </c>
      <c r="E511" s="28" t="s">
        <v>92</v>
      </c>
      <c r="F511" s="28" t="s">
        <v>15</v>
      </c>
      <c r="G511" s="28" t="s">
        <v>15</v>
      </c>
      <c r="H511" s="28" t="s">
        <v>704</v>
      </c>
      <c r="I511" s="28" t="str">
        <f>VLOOKUP(F511,표준용어사전!$B:$D,3,FALSE)</f>
        <v>연월일시분초TS</v>
      </c>
      <c r="J511" s="28" t="s">
        <v>16</v>
      </c>
      <c r="K511" s="27" t="s">
        <v>571</v>
      </c>
      <c r="L511" s="29" t="s">
        <v>571</v>
      </c>
      <c r="M511" s="29" t="s">
        <v>726</v>
      </c>
      <c r="N511" s="29" t="s">
        <v>75</v>
      </c>
      <c r="O511" s="28"/>
      <c r="P511" s="28"/>
      <c r="Q511" s="28" t="s">
        <v>76</v>
      </c>
      <c r="R511" s="29"/>
      <c r="S511" s="28"/>
      <c r="T511" s="28" t="s">
        <v>574</v>
      </c>
      <c r="U511" s="28" t="s">
        <v>75</v>
      </c>
      <c r="V511" s="28" t="s">
        <v>75</v>
      </c>
      <c r="W511" s="28"/>
    </row>
    <row r="512" spans="1:23" s="12" customFormat="1" hidden="1">
      <c r="A512" s="46" t="s">
        <v>572</v>
      </c>
      <c r="B512" s="28" t="s">
        <v>1335</v>
      </c>
      <c r="C512" s="28" t="s">
        <v>88</v>
      </c>
      <c r="D512" s="28" t="s">
        <v>629</v>
      </c>
      <c r="E512" s="28" t="s">
        <v>93</v>
      </c>
      <c r="F512" s="28" t="s">
        <v>370</v>
      </c>
      <c r="G512" s="28" t="s">
        <v>370</v>
      </c>
      <c r="H512" s="28" t="s">
        <v>704</v>
      </c>
      <c r="I512" s="28" t="str">
        <f>VLOOKUP(F512,표준용어사전!$B:$D,3,FALSE)</f>
        <v>명V20</v>
      </c>
      <c r="J512" s="28" t="s">
        <v>78</v>
      </c>
      <c r="K512" s="27">
        <v>20</v>
      </c>
      <c r="L512" s="29" t="s">
        <v>571</v>
      </c>
      <c r="M512" s="29" t="s">
        <v>727</v>
      </c>
      <c r="N512" s="29" t="s">
        <v>75</v>
      </c>
      <c r="O512" s="28"/>
      <c r="P512" s="28"/>
      <c r="Q512" s="28" t="s">
        <v>76</v>
      </c>
      <c r="R512" s="29"/>
      <c r="S512" s="28"/>
      <c r="T512" s="28" t="s">
        <v>571</v>
      </c>
      <c r="U512" s="28" t="s">
        <v>75</v>
      </c>
      <c r="V512" s="28" t="s">
        <v>75</v>
      </c>
      <c r="W512" s="28"/>
    </row>
    <row r="513" spans="1:23" s="12" customFormat="1" hidden="1">
      <c r="A513" s="46" t="s">
        <v>572</v>
      </c>
      <c r="B513" s="28" t="s">
        <v>1410</v>
      </c>
      <c r="C513" s="28" t="s">
        <v>88</v>
      </c>
      <c r="D513" s="28" t="s">
        <v>958</v>
      </c>
      <c r="E513" s="28" t="s">
        <v>856</v>
      </c>
      <c r="F513" s="28" t="s">
        <v>770</v>
      </c>
      <c r="G513" s="28" t="s">
        <v>770</v>
      </c>
      <c r="H513" s="28" t="s">
        <v>705</v>
      </c>
      <c r="I513" s="28" t="e">
        <f>VLOOKUP(F513,표준용어사전!$B:$D,3,FALSE)</f>
        <v>#N/A</v>
      </c>
      <c r="J513" s="28" t="s">
        <v>717</v>
      </c>
      <c r="K513" s="27" t="s">
        <v>571</v>
      </c>
      <c r="L513" s="29" t="s">
        <v>571</v>
      </c>
      <c r="M513" s="29"/>
      <c r="N513" s="29" t="s">
        <v>711</v>
      </c>
      <c r="O513" s="28" t="s">
        <v>641</v>
      </c>
      <c r="P513" s="28"/>
      <c r="Q513" s="28" t="s">
        <v>76</v>
      </c>
      <c r="R513" s="29"/>
      <c r="S513" s="28"/>
      <c r="T513" s="28"/>
      <c r="U513" s="28" t="s">
        <v>75</v>
      </c>
      <c r="V513" s="28" t="s">
        <v>75</v>
      </c>
      <c r="W513" s="28"/>
    </row>
    <row r="514" spans="1:23" s="12" customFormat="1" hidden="1">
      <c r="A514" s="46" t="s">
        <v>572</v>
      </c>
      <c r="B514" s="28" t="s">
        <v>1410</v>
      </c>
      <c r="C514" s="28" t="s">
        <v>88</v>
      </c>
      <c r="D514" s="28" t="s">
        <v>682</v>
      </c>
      <c r="E514" s="28" t="s">
        <v>246</v>
      </c>
      <c r="F514" s="28" t="s">
        <v>17</v>
      </c>
      <c r="G514" s="28" t="s">
        <v>17</v>
      </c>
      <c r="H514" s="28" t="s">
        <v>705</v>
      </c>
      <c r="I514" s="28" t="str">
        <f>VLOOKUP(F514,표준용어사전!$B:$D,3,FALSE)</f>
        <v>명V20</v>
      </c>
      <c r="J514" s="28" t="s">
        <v>718</v>
      </c>
      <c r="K514" s="27">
        <v>20</v>
      </c>
      <c r="L514" s="29" t="s">
        <v>571</v>
      </c>
      <c r="M514" s="29" t="s">
        <v>727</v>
      </c>
      <c r="N514" s="29" t="s">
        <v>711</v>
      </c>
      <c r="O514" s="28"/>
      <c r="P514" s="28"/>
      <c r="Q514" s="28" t="s">
        <v>76</v>
      </c>
      <c r="R514" s="29"/>
      <c r="S514" s="28"/>
      <c r="T514" s="28"/>
      <c r="U514" s="28" t="s">
        <v>75</v>
      </c>
      <c r="V514" s="28" t="s">
        <v>75</v>
      </c>
      <c r="W514" s="28"/>
    </row>
    <row r="515" spans="1:23" s="12" customFormat="1" hidden="1">
      <c r="A515" s="46" t="s">
        <v>572</v>
      </c>
      <c r="B515" s="28" t="s">
        <v>1410</v>
      </c>
      <c r="C515" s="28" t="s">
        <v>88</v>
      </c>
      <c r="D515" s="28" t="s">
        <v>682</v>
      </c>
      <c r="E515" s="28" t="s">
        <v>89</v>
      </c>
      <c r="F515" s="28" t="s">
        <v>501</v>
      </c>
      <c r="G515" s="28" t="s">
        <v>501</v>
      </c>
      <c r="H515" s="28" t="s">
        <v>705</v>
      </c>
      <c r="I515" s="28" t="str">
        <f>VLOOKUP(F515,표준용어사전!$B:$D,3,FALSE)</f>
        <v>명V20</v>
      </c>
      <c r="J515" s="28" t="s">
        <v>718</v>
      </c>
      <c r="K515" s="27">
        <v>50</v>
      </c>
      <c r="L515" s="29" t="s">
        <v>571</v>
      </c>
      <c r="M515" s="29" t="s">
        <v>720</v>
      </c>
      <c r="N515" s="29" t="s">
        <v>711</v>
      </c>
      <c r="O515" s="28"/>
      <c r="P515" s="28"/>
      <c r="Q515" s="28" t="s">
        <v>1841</v>
      </c>
      <c r="R515" s="29">
        <v>2</v>
      </c>
      <c r="S515" s="28"/>
      <c r="T515" s="28"/>
      <c r="U515" s="28" t="s">
        <v>75</v>
      </c>
      <c r="V515" s="28" t="s">
        <v>75</v>
      </c>
      <c r="W515" s="28"/>
    </row>
    <row r="516" spans="1:23" s="12" customFormat="1" hidden="1">
      <c r="A516" s="46" t="s">
        <v>572</v>
      </c>
      <c r="B516" s="28" t="s">
        <v>1410</v>
      </c>
      <c r="C516" s="28" t="s">
        <v>88</v>
      </c>
      <c r="D516" s="28" t="s">
        <v>682</v>
      </c>
      <c r="E516" s="28" t="s">
        <v>268</v>
      </c>
      <c r="F516" s="28" t="s">
        <v>500</v>
      </c>
      <c r="G516" s="28" t="s">
        <v>763</v>
      </c>
      <c r="H516" s="28" t="s">
        <v>705</v>
      </c>
      <c r="I516" s="28" t="str">
        <f>VLOOKUP(F516,표준용어사전!$B:$D,3,FALSE)</f>
        <v>코드C1</v>
      </c>
      <c r="J516" s="28" t="s">
        <v>709</v>
      </c>
      <c r="K516" s="27">
        <v>1</v>
      </c>
      <c r="L516" s="29" t="s">
        <v>571</v>
      </c>
      <c r="M516" s="29" t="s">
        <v>722</v>
      </c>
      <c r="N516" s="29" t="s">
        <v>572</v>
      </c>
      <c r="O516" s="28"/>
      <c r="P516" s="28"/>
      <c r="Q516" s="28" t="s">
        <v>1392</v>
      </c>
      <c r="R516" s="29">
        <v>1</v>
      </c>
      <c r="S516" s="28"/>
      <c r="T516" s="28"/>
      <c r="U516" s="28" t="s">
        <v>75</v>
      </c>
      <c r="V516" s="28" t="s">
        <v>75</v>
      </c>
      <c r="W516" s="28"/>
    </row>
    <row r="517" spans="1:23" s="12" customFormat="1" hidden="1">
      <c r="A517" s="46" t="s">
        <v>572</v>
      </c>
      <c r="B517" s="28" t="s">
        <v>1410</v>
      </c>
      <c r="C517" s="28" t="s">
        <v>88</v>
      </c>
      <c r="D517" s="28" t="s">
        <v>682</v>
      </c>
      <c r="E517" s="28" t="s">
        <v>252</v>
      </c>
      <c r="F517" s="28" t="s">
        <v>77</v>
      </c>
      <c r="G517" s="28" t="s">
        <v>77</v>
      </c>
      <c r="H517" s="28" t="s">
        <v>705</v>
      </c>
      <c r="I517" s="28" t="str">
        <f>VLOOKUP(F517,표준용어사전!$B:$D,3,FALSE)</f>
        <v>내용TXT</v>
      </c>
      <c r="J517" s="28" t="s">
        <v>713</v>
      </c>
      <c r="K517" s="27" t="s">
        <v>571</v>
      </c>
      <c r="L517" s="29" t="s">
        <v>571</v>
      </c>
      <c r="M517" s="29"/>
      <c r="N517" s="29" t="s">
        <v>572</v>
      </c>
      <c r="O517" s="28"/>
      <c r="P517" s="28"/>
      <c r="Q517" s="28" t="s">
        <v>76</v>
      </c>
      <c r="R517" s="29"/>
      <c r="S517" s="28"/>
      <c r="T517" s="28"/>
      <c r="U517" s="28" t="s">
        <v>75</v>
      </c>
      <c r="V517" s="28" t="s">
        <v>75</v>
      </c>
      <c r="W517" s="28"/>
    </row>
    <row r="518" spans="1:23" s="12" customFormat="1" hidden="1">
      <c r="A518" s="46" t="s">
        <v>572</v>
      </c>
      <c r="B518" s="28" t="s">
        <v>1410</v>
      </c>
      <c r="C518" s="28" t="s">
        <v>88</v>
      </c>
      <c r="D518" s="28" t="s">
        <v>682</v>
      </c>
      <c r="E518" s="28" t="s">
        <v>90</v>
      </c>
      <c r="F518" s="28" t="s">
        <v>14</v>
      </c>
      <c r="G518" s="28" t="s">
        <v>14</v>
      </c>
      <c r="H518" s="28" t="s">
        <v>705</v>
      </c>
      <c r="I518" s="28" t="str">
        <f>VLOOKUP(F518,표준용어사전!$B:$D,3,FALSE)</f>
        <v>연월일시분초TS</v>
      </c>
      <c r="J518" s="28" t="s">
        <v>16</v>
      </c>
      <c r="K518" s="27" t="s">
        <v>571</v>
      </c>
      <c r="L518" s="29" t="s">
        <v>571</v>
      </c>
      <c r="M518" s="29" t="s">
        <v>726</v>
      </c>
      <c r="N518" s="29" t="s">
        <v>711</v>
      </c>
      <c r="O518" s="28"/>
      <c r="P518" s="28"/>
      <c r="Q518" s="28" t="s">
        <v>76</v>
      </c>
      <c r="R518" s="29"/>
      <c r="S518" s="28"/>
      <c r="T518" s="28" t="s">
        <v>574</v>
      </c>
      <c r="U518" s="28" t="s">
        <v>75</v>
      </c>
      <c r="V518" s="28" t="s">
        <v>75</v>
      </c>
      <c r="W518" s="28"/>
    </row>
    <row r="519" spans="1:23" s="12" customFormat="1" hidden="1">
      <c r="A519" s="46" t="s">
        <v>572</v>
      </c>
      <c r="B519" s="28" t="s">
        <v>1410</v>
      </c>
      <c r="C519" s="28" t="s">
        <v>88</v>
      </c>
      <c r="D519" s="28" t="s">
        <v>682</v>
      </c>
      <c r="E519" s="28" t="s">
        <v>91</v>
      </c>
      <c r="F519" s="28" t="s">
        <v>369</v>
      </c>
      <c r="G519" s="28" t="s">
        <v>369</v>
      </c>
      <c r="H519" s="28" t="s">
        <v>705</v>
      </c>
      <c r="I519" s="28" t="str">
        <f>VLOOKUP(F519,표준용어사전!$B:$D,3,FALSE)</f>
        <v>명V20</v>
      </c>
      <c r="J519" s="28" t="s">
        <v>78</v>
      </c>
      <c r="K519" s="27">
        <v>20</v>
      </c>
      <c r="L519" s="29" t="s">
        <v>571</v>
      </c>
      <c r="M519" s="29" t="s">
        <v>727</v>
      </c>
      <c r="N519" s="29" t="s">
        <v>75</v>
      </c>
      <c r="O519" s="28"/>
      <c r="P519" s="28"/>
      <c r="Q519" s="28" t="s">
        <v>76</v>
      </c>
      <c r="R519" s="29"/>
      <c r="S519" s="28"/>
      <c r="T519" s="28" t="s">
        <v>571</v>
      </c>
      <c r="U519" s="28" t="s">
        <v>75</v>
      </c>
      <c r="V519" s="28" t="s">
        <v>75</v>
      </c>
      <c r="W519" s="28"/>
    </row>
    <row r="520" spans="1:23" s="12" customFormat="1" hidden="1">
      <c r="A520" s="46" t="s">
        <v>572</v>
      </c>
      <c r="B520" s="28" t="s">
        <v>1410</v>
      </c>
      <c r="C520" s="28" t="s">
        <v>88</v>
      </c>
      <c r="D520" s="28" t="s">
        <v>682</v>
      </c>
      <c r="E520" s="28" t="s">
        <v>92</v>
      </c>
      <c r="F520" s="28" t="s">
        <v>15</v>
      </c>
      <c r="G520" s="28" t="s">
        <v>15</v>
      </c>
      <c r="H520" s="28" t="s">
        <v>705</v>
      </c>
      <c r="I520" s="28" t="str">
        <f>VLOOKUP(F520,표준용어사전!$B:$D,3,FALSE)</f>
        <v>연월일시분초TS</v>
      </c>
      <c r="J520" s="28" t="s">
        <v>16</v>
      </c>
      <c r="K520" s="27" t="s">
        <v>571</v>
      </c>
      <c r="L520" s="29" t="s">
        <v>571</v>
      </c>
      <c r="M520" s="29" t="s">
        <v>726</v>
      </c>
      <c r="N520" s="29" t="s">
        <v>75</v>
      </c>
      <c r="O520" s="28"/>
      <c r="P520" s="28"/>
      <c r="Q520" s="28" t="s">
        <v>76</v>
      </c>
      <c r="R520" s="29"/>
      <c r="S520" s="28"/>
      <c r="T520" s="28" t="s">
        <v>574</v>
      </c>
      <c r="U520" s="28" t="s">
        <v>75</v>
      </c>
      <c r="V520" s="28" t="s">
        <v>75</v>
      </c>
      <c r="W520" s="28"/>
    </row>
    <row r="521" spans="1:23" s="12" customFormat="1" hidden="1">
      <c r="A521" s="46" t="s">
        <v>572</v>
      </c>
      <c r="B521" s="28" t="s">
        <v>1410</v>
      </c>
      <c r="C521" s="28" t="s">
        <v>88</v>
      </c>
      <c r="D521" s="28" t="s">
        <v>682</v>
      </c>
      <c r="E521" s="28" t="s">
        <v>93</v>
      </c>
      <c r="F521" s="28" t="s">
        <v>370</v>
      </c>
      <c r="G521" s="28" t="s">
        <v>370</v>
      </c>
      <c r="H521" s="28" t="s">
        <v>705</v>
      </c>
      <c r="I521" s="28" t="str">
        <f>VLOOKUP(F521,표준용어사전!$B:$D,3,FALSE)</f>
        <v>명V20</v>
      </c>
      <c r="J521" s="28" t="s">
        <v>78</v>
      </c>
      <c r="K521" s="27">
        <v>20</v>
      </c>
      <c r="L521" s="29" t="s">
        <v>571</v>
      </c>
      <c r="M521" s="29" t="s">
        <v>727</v>
      </c>
      <c r="N521" s="29" t="s">
        <v>75</v>
      </c>
      <c r="O521" s="28"/>
      <c r="P521" s="28"/>
      <c r="Q521" s="28" t="s">
        <v>76</v>
      </c>
      <c r="R521" s="29"/>
      <c r="S521" s="28"/>
      <c r="T521" s="28" t="s">
        <v>571</v>
      </c>
      <c r="U521" s="28" t="s">
        <v>75</v>
      </c>
      <c r="V521" s="28" t="s">
        <v>75</v>
      </c>
      <c r="W521" s="28"/>
    </row>
    <row r="522" spans="1:23" s="12" customFormat="1" hidden="1">
      <c r="A522" s="46" t="s">
        <v>572</v>
      </c>
      <c r="B522" s="28" t="s">
        <v>1335</v>
      </c>
      <c r="C522" s="28" t="s">
        <v>88</v>
      </c>
      <c r="D522" s="28" t="s">
        <v>683</v>
      </c>
      <c r="E522" s="28" t="s">
        <v>136</v>
      </c>
      <c r="F522" s="28" t="s">
        <v>402</v>
      </c>
      <c r="G522" s="28" t="s">
        <v>402</v>
      </c>
      <c r="H522" s="28" t="s">
        <v>706</v>
      </c>
      <c r="I522" s="28" t="str">
        <f>VLOOKUP(F522,표준용어사전!$B:$D,3,FALSE)</f>
        <v>번호I</v>
      </c>
      <c r="J522" s="28" t="s">
        <v>717</v>
      </c>
      <c r="K522" s="27" t="s">
        <v>571</v>
      </c>
      <c r="L522" s="29" t="s">
        <v>571</v>
      </c>
      <c r="M522" s="29"/>
      <c r="N522" s="29" t="s">
        <v>711</v>
      </c>
      <c r="O522" s="28" t="s">
        <v>641</v>
      </c>
      <c r="P522" s="28"/>
      <c r="Q522" s="28" t="s">
        <v>76</v>
      </c>
      <c r="R522" s="29"/>
      <c r="S522" s="28"/>
      <c r="T522" s="28"/>
      <c r="U522" s="28" t="s">
        <v>75</v>
      </c>
      <c r="V522" s="28" t="s">
        <v>75</v>
      </c>
      <c r="W522" s="28"/>
    </row>
    <row r="523" spans="1:23" s="12" customFormat="1" hidden="1">
      <c r="A523" s="46" t="s">
        <v>572</v>
      </c>
      <c r="B523" s="28" t="s">
        <v>1335</v>
      </c>
      <c r="C523" s="28" t="s">
        <v>88</v>
      </c>
      <c r="D523" s="28" t="s">
        <v>683</v>
      </c>
      <c r="E523" s="28" t="s">
        <v>89</v>
      </c>
      <c r="F523" s="28" t="s">
        <v>501</v>
      </c>
      <c r="G523" s="28" t="s">
        <v>501</v>
      </c>
      <c r="H523" s="28" t="s">
        <v>706</v>
      </c>
      <c r="I523" s="28" t="str">
        <f>VLOOKUP(F523,표준용어사전!$B:$D,3,FALSE)</f>
        <v>명V20</v>
      </c>
      <c r="J523" s="28" t="s">
        <v>718</v>
      </c>
      <c r="K523" s="27">
        <v>50</v>
      </c>
      <c r="L523" s="29" t="s">
        <v>571</v>
      </c>
      <c r="M523" s="29" t="s">
        <v>720</v>
      </c>
      <c r="N523" s="29" t="s">
        <v>711</v>
      </c>
      <c r="O523" s="28"/>
      <c r="P523" s="28"/>
      <c r="Q523" s="28" t="s">
        <v>76</v>
      </c>
      <c r="R523" s="29"/>
      <c r="S523" s="28"/>
      <c r="T523" s="28"/>
      <c r="U523" s="28" t="s">
        <v>75</v>
      </c>
      <c r="V523" s="28" t="s">
        <v>75</v>
      </c>
      <c r="W523" s="28"/>
    </row>
    <row r="524" spans="1:23" s="12" customFormat="1" hidden="1">
      <c r="A524" s="46" t="s">
        <v>572</v>
      </c>
      <c r="B524" s="28" t="s">
        <v>1335</v>
      </c>
      <c r="C524" s="28" t="s">
        <v>88</v>
      </c>
      <c r="D524" s="28" t="s">
        <v>683</v>
      </c>
      <c r="E524" s="28" t="s">
        <v>137</v>
      </c>
      <c r="F524" s="28" t="s">
        <v>1613</v>
      </c>
      <c r="G524" s="28" t="s">
        <v>1613</v>
      </c>
      <c r="H524" s="28" t="s">
        <v>706</v>
      </c>
      <c r="I524" s="28" t="str">
        <f>VLOOKUP(F524,표준용어사전!$B:$D,3,FALSE)</f>
        <v>명V50</v>
      </c>
      <c r="J524" s="28" t="s">
        <v>718</v>
      </c>
      <c r="K524" s="27">
        <v>50</v>
      </c>
      <c r="L524" s="29" t="s">
        <v>571</v>
      </c>
      <c r="M524" s="29" t="s">
        <v>720</v>
      </c>
      <c r="N524" s="29" t="s">
        <v>75</v>
      </c>
      <c r="O524" s="28"/>
      <c r="P524" s="28"/>
      <c r="Q524" s="28" t="s">
        <v>76</v>
      </c>
      <c r="R524" s="29"/>
      <c r="S524" s="28"/>
      <c r="T524" s="28"/>
      <c r="U524" s="28" t="s">
        <v>75</v>
      </c>
      <c r="V524" s="28" t="s">
        <v>75</v>
      </c>
      <c r="W524" s="28"/>
    </row>
    <row r="525" spans="1:23" s="12" customFormat="1" hidden="1">
      <c r="A525" s="46" t="s">
        <v>572</v>
      </c>
      <c r="B525" s="28" t="s">
        <v>1335</v>
      </c>
      <c r="C525" s="28" t="s">
        <v>88</v>
      </c>
      <c r="D525" s="28" t="s">
        <v>683</v>
      </c>
      <c r="E525" s="28" t="s">
        <v>138</v>
      </c>
      <c r="F525" s="28" t="s">
        <v>403</v>
      </c>
      <c r="G525" s="28" t="s">
        <v>403</v>
      </c>
      <c r="H525" s="28" t="s">
        <v>706</v>
      </c>
      <c r="I525" s="28" t="e">
        <f>VLOOKUP(F525,표준용어사전!$B:$D,3,FALSE)</f>
        <v>#N/A</v>
      </c>
      <c r="J525" s="28" t="s">
        <v>718</v>
      </c>
      <c r="K525" s="27">
        <v>15</v>
      </c>
      <c r="L525" s="29" t="s">
        <v>571</v>
      </c>
      <c r="M525" s="29" t="s">
        <v>769</v>
      </c>
      <c r="N525" s="29" t="s">
        <v>75</v>
      </c>
      <c r="O525" s="28"/>
      <c r="P525" s="28"/>
      <c r="Q525" s="28" t="s">
        <v>1393</v>
      </c>
      <c r="R525" s="29">
        <v>1</v>
      </c>
      <c r="S525" s="28"/>
      <c r="T525" s="28"/>
      <c r="U525" s="28" t="s">
        <v>75</v>
      </c>
      <c r="V525" s="28" t="s">
        <v>75</v>
      </c>
      <c r="W525" s="28"/>
    </row>
    <row r="526" spans="1:23" s="12" customFormat="1" hidden="1">
      <c r="A526" s="46" t="s">
        <v>572</v>
      </c>
      <c r="B526" s="28" t="s">
        <v>1335</v>
      </c>
      <c r="C526" s="28" t="s">
        <v>88</v>
      </c>
      <c r="D526" s="28" t="s">
        <v>683</v>
      </c>
      <c r="E526" s="28" t="s">
        <v>139</v>
      </c>
      <c r="F526" s="28" t="s">
        <v>404</v>
      </c>
      <c r="G526" s="28" t="s">
        <v>404</v>
      </c>
      <c r="H526" s="28" t="s">
        <v>706</v>
      </c>
      <c r="I526" s="28" t="str">
        <f>VLOOKUP(F526,표준용어사전!$B:$D,3,FALSE)</f>
        <v>명V512</v>
      </c>
      <c r="J526" s="28" t="s">
        <v>718</v>
      </c>
      <c r="K526" s="27">
        <v>512</v>
      </c>
      <c r="L526" s="29" t="s">
        <v>571</v>
      </c>
      <c r="M526" s="29" t="s">
        <v>721</v>
      </c>
      <c r="N526" s="29" t="s">
        <v>75</v>
      </c>
      <c r="O526" s="28"/>
      <c r="P526" s="28"/>
      <c r="Q526" s="28" t="s">
        <v>76</v>
      </c>
      <c r="R526" s="29"/>
      <c r="S526" s="28"/>
      <c r="T526" s="28"/>
      <c r="U526" s="28" t="s">
        <v>75</v>
      </c>
      <c r="V526" s="28" t="s">
        <v>75</v>
      </c>
      <c r="W526" s="28"/>
    </row>
    <row r="527" spans="1:23" s="12" customFormat="1" hidden="1">
      <c r="A527" s="46" t="s">
        <v>572</v>
      </c>
      <c r="B527" s="28" t="s">
        <v>1335</v>
      </c>
      <c r="C527" s="28" t="s">
        <v>88</v>
      </c>
      <c r="D527" s="28" t="s">
        <v>683</v>
      </c>
      <c r="E527" s="28" t="s">
        <v>140</v>
      </c>
      <c r="F527" s="28" t="s">
        <v>405</v>
      </c>
      <c r="G527" s="28" t="s">
        <v>405</v>
      </c>
      <c r="H527" s="28" t="s">
        <v>706</v>
      </c>
      <c r="I527" s="28" t="e">
        <f>VLOOKUP(F527,표준용어사전!$B:$D,3,FALSE)</f>
        <v>#N/A</v>
      </c>
      <c r="J527" s="28" t="s">
        <v>718</v>
      </c>
      <c r="K527" s="27">
        <v>2000</v>
      </c>
      <c r="L527" s="29" t="s">
        <v>571</v>
      </c>
      <c r="M527" s="29" t="s">
        <v>728</v>
      </c>
      <c r="N527" s="29" t="s">
        <v>75</v>
      </c>
      <c r="O527" s="28"/>
      <c r="P527" s="28"/>
      <c r="Q527" s="28" t="s">
        <v>76</v>
      </c>
      <c r="R527" s="29"/>
      <c r="S527" s="28"/>
      <c r="T527" s="28"/>
      <c r="U527" s="28" t="s">
        <v>75</v>
      </c>
      <c r="V527" s="28" t="s">
        <v>75</v>
      </c>
      <c r="W527" s="28"/>
    </row>
    <row r="528" spans="1:23" s="12" customFormat="1" hidden="1">
      <c r="A528" s="46" t="s">
        <v>572</v>
      </c>
      <c r="B528" s="28" t="s">
        <v>1335</v>
      </c>
      <c r="C528" s="28" t="s">
        <v>88</v>
      </c>
      <c r="D528" s="28" t="s">
        <v>683</v>
      </c>
      <c r="E528" s="28" t="s">
        <v>853</v>
      </c>
      <c r="F528" s="28" t="s">
        <v>767</v>
      </c>
      <c r="G528" s="28" t="s">
        <v>767</v>
      </c>
      <c r="H528" s="28" t="s">
        <v>706</v>
      </c>
      <c r="I528" s="28" t="str">
        <f>VLOOKUP(F528,표준용어사전!$B:$D,3,FALSE)</f>
        <v>명V256</v>
      </c>
      <c r="J528" s="28" t="s">
        <v>718</v>
      </c>
      <c r="K528" s="27">
        <v>256</v>
      </c>
      <c r="L528" s="29" t="s">
        <v>571</v>
      </c>
      <c r="M528" s="29" t="s">
        <v>730</v>
      </c>
      <c r="N528" s="29" t="s">
        <v>75</v>
      </c>
      <c r="O528" s="28"/>
      <c r="P528" s="28"/>
      <c r="Q528" s="28" t="s">
        <v>76</v>
      </c>
      <c r="R528" s="29"/>
      <c r="S528" s="28"/>
      <c r="T528" s="28"/>
      <c r="U528" s="28" t="s">
        <v>75</v>
      </c>
      <c r="V528" s="28" t="s">
        <v>75</v>
      </c>
      <c r="W528" s="28"/>
    </row>
    <row r="529" spans="1:23" s="12" customFormat="1" hidden="1">
      <c r="A529" s="46" t="s">
        <v>572</v>
      </c>
      <c r="B529" s="28" t="s">
        <v>1335</v>
      </c>
      <c r="C529" s="28" t="s">
        <v>88</v>
      </c>
      <c r="D529" s="28" t="s">
        <v>683</v>
      </c>
      <c r="E529" s="28" t="s">
        <v>854</v>
      </c>
      <c r="F529" s="28" t="s">
        <v>768</v>
      </c>
      <c r="G529" s="28" t="s">
        <v>768</v>
      </c>
      <c r="H529" s="28" t="s">
        <v>706</v>
      </c>
      <c r="I529" s="28" t="str">
        <f>VLOOKUP(F529,표준용어사전!$B:$D,3,FALSE)</f>
        <v>명V256</v>
      </c>
      <c r="J529" s="28" t="s">
        <v>718</v>
      </c>
      <c r="K529" s="27">
        <v>256</v>
      </c>
      <c r="L529" s="29" t="s">
        <v>571</v>
      </c>
      <c r="M529" s="29" t="s">
        <v>730</v>
      </c>
      <c r="N529" s="29" t="s">
        <v>75</v>
      </c>
      <c r="O529" s="28"/>
      <c r="P529" s="28"/>
      <c r="Q529" s="28" t="s">
        <v>76</v>
      </c>
      <c r="R529" s="29"/>
      <c r="S529" s="28"/>
      <c r="T529" s="28"/>
      <c r="U529" s="28" t="s">
        <v>75</v>
      </c>
      <c r="V529" s="28" t="s">
        <v>75</v>
      </c>
      <c r="W529" s="28"/>
    </row>
    <row r="530" spans="1:23" s="12" customFormat="1" hidden="1">
      <c r="A530" s="46" t="s">
        <v>572</v>
      </c>
      <c r="B530" s="28" t="s">
        <v>1335</v>
      </c>
      <c r="C530" s="28" t="s">
        <v>88</v>
      </c>
      <c r="D530" s="28" t="s">
        <v>683</v>
      </c>
      <c r="E530" s="28" t="s">
        <v>855</v>
      </c>
      <c r="F530" s="28" t="s">
        <v>1614</v>
      </c>
      <c r="G530" s="28" t="s">
        <v>1614</v>
      </c>
      <c r="H530" s="28" t="s">
        <v>706</v>
      </c>
      <c r="I530" s="28" t="e">
        <f>VLOOKUP(F530,표준용어사전!$B:$D,3,FALSE)</f>
        <v>#N/A</v>
      </c>
      <c r="J530" s="28" t="s">
        <v>713</v>
      </c>
      <c r="K530" s="27" t="s">
        <v>571</v>
      </c>
      <c r="L530" s="29" t="s">
        <v>571</v>
      </c>
      <c r="M530" s="29"/>
      <c r="N530" s="29" t="s">
        <v>75</v>
      </c>
      <c r="O530" s="28"/>
      <c r="P530" s="28"/>
      <c r="Q530" s="28" t="s">
        <v>76</v>
      </c>
      <c r="R530" s="29"/>
      <c r="S530" s="28"/>
      <c r="T530" s="28"/>
      <c r="U530" s="28" t="s">
        <v>75</v>
      </c>
      <c r="V530" s="28" t="s">
        <v>75</v>
      </c>
      <c r="W530" s="28"/>
    </row>
    <row r="531" spans="1:23" s="12" customFormat="1" hidden="1">
      <c r="A531" s="46" t="s">
        <v>572</v>
      </c>
      <c r="B531" s="28" t="s">
        <v>1335</v>
      </c>
      <c r="C531" s="28" t="s">
        <v>88</v>
      </c>
      <c r="D531" s="28" t="s">
        <v>683</v>
      </c>
      <c r="E531" s="28" t="s">
        <v>141</v>
      </c>
      <c r="F531" s="28" t="s">
        <v>86</v>
      </c>
      <c r="G531" s="28" t="s">
        <v>86</v>
      </c>
      <c r="H531" s="28" t="s">
        <v>706</v>
      </c>
      <c r="I531" s="28" t="e">
        <f>VLOOKUP(F531,표준용어사전!$B:$D,3,FALSE)</f>
        <v>#N/A</v>
      </c>
      <c r="J531" s="28" t="s">
        <v>718</v>
      </c>
      <c r="K531" s="27">
        <v>2000</v>
      </c>
      <c r="L531" s="29" t="s">
        <v>571</v>
      </c>
      <c r="M531" s="29" t="s">
        <v>728</v>
      </c>
      <c r="N531" s="29" t="s">
        <v>75</v>
      </c>
      <c r="O531" s="28"/>
      <c r="P531" s="28"/>
      <c r="Q531" s="28" t="s">
        <v>76</v>
      </c>
      <c r="R531" s="29"/>
      <c r="S531" s="28"/>
      <c r="T531" s="28"/>
      <c r="U531" s="28" t="s">
        <v>75</v>
      </c>
      <c r="V531" s="28" t="s">
        <v>75</v>
      </c>
      <c r="W531" s="28"/>
    </row>
    <row r="532" spans="1:23" s="12" customFormat="1" hidden="1">
      <c r="A532" s="46" t="s">
        <v>572</v>
      </c>
      <c r="B532" s="28" t="s">
        <v>1335</v>
      </c>
      <c r="C532" s="28" t="s">
        <v>88</v>
      </c>
      <c r="D532" s="28" t="s">
        <v>683</v>
      </c>
      <c r="E532" s="28" t="s">
        <v>142</v>
      </c>
      <c r="F532" s="28" t="s">
        <v>1612</v>
      </c>
      <c r="G532" s="28" t="s">
        <v>1612</v>
      </c>
      <c r="H532" s="28" t="s">
        <v>706</v>
      </c>
      <c r="I532" s="28" t="e">
        <f>VLOOKUP(F532,표준용어사전!$B:$D,3,FALSE)</f>
        <v>#N/A</v>
      </c>
      <c r="J532" s="28" t="s">
        <v>718</v>
      </c>
      <c r="K532" s="27">
        <v>2000</v>
      </c>
      <c r="L532" s="29" t="s">
        <v>571</v>
      </c>
      <c r="M532" s="29" t="s">
        <v>728</v>
      </c>
      <c r="N532" s="29" t="s">
        <v>75</v>
      </c>
      <c r="O532" s="28"/>
      <c r="P532" s="28"/>
      <c r="Q532" s="28" t="s">
        <v>76</v>
      </c>
      <c r="R532" s="29"/>
      <c r="S532" s="28"/>
      <c r="T532" s="28"/>
      <c r="U532" s="28" t="s">
        <v>75</v>
      </c>
      <c r="V532" s="28" t="s">
        <v>75</v>
      </c>
      <c r="W532" s="28"/>
    </row>
    <row r="533" spans="1:23" s="12" customFormat="1" hidden="1">
      <c r="A533" s="46" t="s">
        <v>572</v>
      </c>
      <c r="B533" s="28" t="s">
        <v>1335</v>
      </c>
      <c r="C533" s="28" t="s">
        <v>88</v>
      </c>
      <c r="D533" s="28" t="s">
        <v>683</v>
      </c>
      <c r="E533" s="28" t="s">
        <v>143</v>
      </c>
      <c r="F533" s="28" t="s">
        <v>406</v>
      </c>
      <c r="G533" s="28" t="s">
        <v>406</v>
      </c>
      <c r="H533" s="28" t="s">
        <v>706</v>
      </c>
      <c r="I533" s="28" t="str">
        <f>VLOOKUP(F533,표준용어사전!$B:$D,3,FALSE)</f>
        <v>명V256</v>
      </c>
      <c r="J533" s="28" t="s">
        <v>718</v>
      </c>
      <c r="K533" s="27">
        <v>256</v>
      </c>
      <c r="L533" s="29" t="s">
        <v>571</v>
      </c>
      <c r="M533" s="29" t="s">
        <v>730</v>
      </c>
      <c r="N533" s="29" t="s">
        <v>75</v>
      </c>
      <c r="O533" s="28"/>
      <c r="P533" s="28"/>
      <c r="Q533" s="28" t="s">
        <v>76</v>
      </c>
      <c r="R533" s="29"/>
      <c r="S533" s="28"/>
      <c r="T533" s="28"/>
      <c r="U533" s="28" t="s">
        <v>75</v>
      </c>
      <c r="V533" s="28" t="s">
        <v>75</v>
      </c>
      <c r="W533" s="28"/>
    </row>
    <row r="534" spans="1:23" s="12" customFormat="1" hidden="1">
      <c r="A534" s="46" t="s">
        <v>572</v>
      </c>
      <c r="B534" s="28" t="s">
        <v>1335</v>
      </c>
      <c r="C534" s="28" t="s">
        <v>88</v>
      </c>
      <c r="D534" s="28" t="s">
        <v>683</v>
      </c>
      <c r="E534" s="28" t="s">
        <v>144</v>
      </c>
      <c r="F534" s="28" t="s">
        <v>407</v>
      </c>
      <c r="G534" s="28" t="s">
        <v>407</v>
      </c>
      <c r="H534" s="28" t="s">
        <v>706</v>
      </c>
      <c r="I534" s="28" t="e">
        <f>VLOOKUP(F534,표준용어사전!$B:$D,3,FALSE)</f>
        <v>#N/A</v>
      </c>
      <c r="J534" s="28" t="s">
        <v>718</v>
      </c>
      <c r="K534" s="27">
        <v>2000</v>
      </c>
      <c r="L534" s="29" t="s">
        <v>571</v>
      </c>
      <c r="M534" s="29" t="s">
        <v>728</v>
      </c>
      <c r="N534" s="29" t="s">
        <v>75</v>
      </c>
      <c r="O534" s="28"/>
      <c r="P534" s="28"/>
      <c r="Q534" s="28" t="s">
        <v>76</v>
      </c>
      <c r="R534" s="29"/>
      <c r="S534" s="28"/>
      <c r="T534" s="28"/>
      <c r="U534" s="28" t="s">
        <v>75</v>
      </c>
      <c r="V534" s="28" t="s">
        <v>75</v>
      </c>
      <c r="W534" s="28"/>
    </row>
    <row r="535" spans="1:23" s="12" customFormat="1" hidden="1">
      <c r="A535" s="46" t="s">
        <v>572</v>
      </c>
      <c r="B535" s="28" t="s">
        <v>1335</v>
      </c>
      <c r="C535" s="28" t="s">
        <v>88</v>
      </c>
      <c r="D535" s="28" t="s">
        <v>683</v>
      </c>
      <c r="E535" s="28" t="s">
        <v>183</v>
      </c>
      <c r="F535" s="28" t="s">
        <v>437</v>
      </c>
      <c r="G535" s="28" t="s">
        <v>437</v>
      </c>
      <c r="H535" s="28" t="s">
        <v>706</v>
      </c>
      <c r="I535" s="28" t="str">
        <f>VLOOKUP(F535,표준용어사전!$B:$D,3,FALSE)</f>
        <v>여부C1</v>
      </c>
      <c r="J535" s="28" t="s">
        <v>709</v>
      </c>
      <c r="K535" s="27">
        <v>1</v>
      </c>
      <c r="L535" s="29" t="s">
        <v>571</v>
      </c>
      <c r="M535" s="29" t="s">
        <v>722</v>
      </c>
      <c r="N535" s="29" t="s">
        <v>75</v>
      </c>
      <c r="O535" s="28"/>
      <c r="P535" s="28"/>
      <c r="Q535" s="28" t="s">
        <v>76</v>
      </c>
      <c r="R535" s="29"/>
      <c r="S535" s="28"/>
      <c r="T535" s="28" t="s">
        <v>576</v>
      </c>
      <c r="U535" s="28" t="s">
        <v>75</v>
      </c>
      <c r="V535" s="28" t="s">
        <v>75</v>
      </c>
      <c r="W535" s="28"/>
    </row>
    <row r="536" spans="1:23" s="12" customFormat="1" hidden="1">
      <c r="A536" s="46" t="s">
        <v>572</v>
      </c>
      <c r="B536" s="28" t="s">
        <v>1335</v>
      </c>
      <c r="C536" s="28" t="s">
        <v>88</v>
      </c>
      <c r="D536" s="28" t="s">
        <v>683</v>
      </c>
      <c r="E536" s="28" t="s">
        <v>90</v>
      </c>
      <c r="F536" s="28" t="s">
        <v>14</v>
      </c>
      <c r="G536" s="28" t="s">
        <v>14</v>
      </c>
      <c r="H536" s="28" t="s">
        <v>706</v>
      </c>
      <c r="I536" s="28" t="str">
        <f>VLOOKUP(F536,표준용어사전!$B:$D,3,FALSE)</f>
        <v>연월일시분초TS</v>
      </c>
      <c r="J536" s="28" t="s">
        <v>16</v>
      </c>
      <c r="K536" s="27" t="s">
        <v>571</v>
      </c>
      <c r="L536" s="29" t="s">
        <v>571</v>
      </c>
      <c r="M536" s="29" t="s">
        <v>726</v>
      </c>
      <c r="N536" s="29" t="s">
        <v>711</v>
      </c>
      <c r="O536" s="28"/>
      <c r="P536" s="28"/>
      <c r="Q536" s="28" t="s">
        <v>76</v>
      </c>
      <c r="R536" s="29"/>
      <c r="S536" s="28"/>
      <c r="T536" s="28" t="s">
        <v>574</v>
      </c>
      <c r="U536" s="28" t="s">
        <v>75</v>
      </c>
      <c r="V536" s="28" t="s">
        <v>75</v>
      </c>
      <c r="W536" s="28"/>
    </row>
    <row r="537" spans="1:23" s="12" customFormat="1" hidden="1">
      <c r="A537" s="46" t="s">
        <v>572</v>
      </c>
      <c r="B537" s="28" t="s">
        <v>1335</v>
      </c>
      <c r="C537" s="28" t="s">
        <v>88</v>
      </c>
      <c r="D537" s="28" t="s">
        <v>683</v>
      </c>
      <c r="E537" s="28" t="s">
        <v>91</v>
      </c>
      <c r="F537" s="28" t="s">
        <v>369</v>
      </c>
      <c r="G537" s="28" t="s">
        <v>369</v>
      </c>
      <c r="H537" s="28" t="s">
        <v>706</v>
      </c>
      <c r="I537" s="28" t="str">
        <f>VLOOKUP(F537,표준용어사전!$B:$D,3,FALSE)</f>
        <v>명V20</v>
      </c>
      <c r="J537" s="28" t="s">
        <v>78</v>
      </c>
      <c r="K537" s="27">
        <v>20</v>
      </c>
      <c r="L537" s="29" t="s">
        <v>571</v>
      </c>
      <c r="M537" s="29" t="s">
        <v>727</v>
      </c>
      <c r="N537" s="29" t="s">
        <v>75</v>
      </c>
      <c r="O537" s="28"/>
      <c r="P537" s="28"/>
      <c r="Q537" s="28" t="s">
        <v>76</v>
      </c>
      <c r="R537" s="29"/>
      <c r="S537" s="28"/>
      <c r="T537" s="28" t="s">
        <v>571</v>
      </c>
      <c r="U537" s="28" t="s">
        <v>75</v>
      </c>
      <c r="V537" s="28" t="s">
        <v>75</v>
      </c>
      <c r="W537" s="28"/>
    </row>
    <row r="538" spans="1:23" s="12" customFormat="1" hidden="1">
      <c r="A538" s="46" t="s">
        <v>572</v>
      </c>
      <c r="B538" s="28" t="s">
        <v>1335</v>
      </c>
      <c r="C538" s="28" t="s">
        <v>88</v>
      </c>
      <c r="D538" s="28" t="s">
        <v>683</v>
      </c>
      <c r="E538" s="28" t="s">
        <v>92</v>
      </c>
      <c r="F538" s="28" t="s">
        <v>15</v>
      </c>
      <c r="G538" s="28" t="s">
        <v>15</v>
      </c>
      <c r="H538" s="28" t="s">
        <v>706</v>
      </c>
      <c r="I538" s="28" t="str">
        <f>VLOOKUP(F538,표준용어사전!$B:$D,3,FALSE)</f>
        <v>연월일시분초TS</v>
      </c>
      <c r="J538" s="28" t="s">
        <v>16</v>
      </c>
      <c r="K538" s="27" t="s">
        <v>571</v>
      </c>
      <c r="L538" s="29" t="s">
        <v>571</v>
      </c>
      <c r="M538" s="29" t="s">
        <v>726</v>
      </c>
      <c r="N538" s="29" t="s">
        <v>75</v>
      </c>
      <c r="O538" s="28"/>
      <c r="P538" s="28"/>
      <c r="Q538" s="28" t="s">
        <v>76</v>
      </c>
      <c r="R538" s="29"/>
      <c r="S538" s="28"/>
      <c r="T538" s="28" t="s">
        <v>574</v>
      </c>
      <c r="U538" s="28" t="s">
        <v>75</v>
      </c>
      <c r="V538" s="28" t="s">
        <v>75</v>
      </c>
      <c r="W538" s="28"/>
    </row>
    <row r="539" spans="1:23" s="12" customFormat="1" hidden="1">
      <c r="A539" s="46" t="s">
        <v>572</v>
      </c>
      <c r="B539" s="28" t="s">
        <v>1335</v>
      </c>
      <c r="C539" s="28" t="s">
        <v>88</v>
      </c>
      <c r="D539" s="28" t="s">
        <v>683</v>
      </c>
      <c r="E539" s="28" t="s">
        <v>93</v>
      </c>
      <c r="F539" s="28" t="s">
        <v>370</v>
      </c>
      <c r="G539" s="28" t="s">
        <v>370</v>
      </c>
      <c r="H539" s="28" t="s">
        <v>706</v>
      </c>
      <c r="I539" s="28" t="str">
        <f>VLOOKUP(F539,표준용어사전!$B:$D,3,FALSE)</f>
        <v>명V20</v>
      </c>
      <c r="J539" s="28" t="s">
        <v>78</v>
      </c>
      <c r="K539" s="27">
        <v>20</v>
      </c>
      <c r="L539" s="29" t="s">
        <v>571</v>
      </c>
      <c r="M539" s="29" t="s">
        <v>727</v>
      </c>
      <c r="N539" s="29" t="s">
        <v>75</v>
      </c>
      <c r="O539" s="28"/>
      <c r="P539" s="28"/>
      <c r="Q539" s="28" t="s">
        <v>76</v>
      </c>
      <c r="R539" s="29"/>
      <c r="S539" s="28"/>
      <c r="T539" s="28" t="s">
        <v>571</v>
      </c>
      <c r="U539" s="28" t="s">
        <v>75</v>
      </c>
      <c r="V539" s="28" t="s">
        <v>75</v>
      </c>
      <c r="W539" s="28"/>
    </row>
    <row r="540" spans="1:23" s="12" customFormat="1" hidden="1">
      <c r="A540" s="46" t="s">
        <v>572</v>
      </c>
      <c r="B540" s="28" t="s">
        <v>1336</v>
      </c>
      <c r="C540" s="28" t="s">
        <v>88</v>
      </c>
      <c r="D540" s="28" t="s">
        <v>296</v>
      </c>
      <c r="E540" s="28" t="s">
        <v>297</v>
      </c>
      <c r="F540" s="28" t="s">
        <v>519</v>
      </c>
      <c r="G540" s="28" t="s">
        <v>519</v>
      </c>
      <c r="H540" s="28" t="s">
        <v>298</v>
      </c>
      <c r="I540" s="28" t="str">
        <f>VLOOKUP(F540,표준용어사전!$B:$D,3,FALSE)</f>
        <v>명V20</v>
      </c>
      <c r="J540" s="28" t="s">
        <v>718</v>
      </c>
      <c r="K540" s="27">
        <v>20</v>
      </c>
      <c r="L540" s="29" t="s">
        <v>571</v>
      </c>
      <c r="M540" s="29" t="s">
        <v>727</v>
      </c>
      <c r="N540" s="29" t="s">
        <v>711</v>
      </c>
      <c r="O540" s="28" t="s">
        <v>641</v>
      </c>
      <c r="P540" s="28"/>
      <c r="Q540" s="28" t="s">
        <v>76</v>
      </c>
      <c r="R540" s="29"/>
      <c r="S540" s="28"/>
      <c r="T540" s="28"/>
      <c r="U540" s="28" t="s">
        <v>75</v>
      </c>
      <c r="V540" s="28" t="s">
        <v>75</v>
      </c>
      <c r="W540" s="28"/>
    </row>
    <row r="541" spans="1:23" s="12" customFormat="1" hidden="1">
      <c r="A541" s="46" t="s">
        <v>572</v>
      </c>
      <c r="B541" s="28" t="s">
        <v>1336</v>
      </c>
      <c r="C541" s="28" t="s">
        <v>88</v>
      </c>
      <c r="D541" s="28" t="s">
        <v>296</v>
      </c>
      <c r="E541" s="28" t="s">
        <v>299</v>
      </c>
      <c r="F541" s="28" t="s">
        <v>520</v>
      </c>
      <c r="G541" s="28" t="s">
        <v>520</v>
      </c>
      <c r="H541" s="28" t="s">
        <v>298</v>
      </c>
      <c r="I541" s="28" t="e">
        <f>VLOOKUP(F541,표준용어사전!$B:$D,3,FALSE)</f>
        <v>#N/A</v>
      </c>
      <c r="J541" s="28" t="s">
        <v>718</v>
      </c>
      <c r="K541" s="27">
        <v>2000</v>
      </c>
      <c r="L541" s="29" t="s">
        <v>571</v>
      </c>
      <c r="M541" s="29" t="s">
        <v>728</v>
      </c>
      <c r="N541" s="29" t="s">
        <v>75</v>
      </c>
      <c r="O541" s="28"/>
      <c r="P541" s="28"/>
      <c r="Q541" s="28" t="s">
        <v>76</v>
      </c>
      <c r="R541" s="29"/>
      <c r="S541" s="28"/>
      <c r="T541" s="28"/>
      <c r="U541" s="28" t="s">
        <v>75</v>
      </c>
      <c r="V541" s="28" t="s">
        <v>75</v>
      </c>
      <c r="W541" s="28"/>
    </row>
    <row r="542" spans="1:23" s="12" customFormat="1" hidden="1">
      <c r="A542" s="46" t="s">
        <v>572</v>
      </c>
      <c r="B542" s="28" t="s">
        <v>1336</v>
      </c>
      <c r="C542" s="28" t="s">
        <v>88</v>
      </c>
      <c r="D542" s="28" t="s">
        <v>296</v>
      </c>
      <c r="E542" s="28" t="s">
        <v>300</v>
      </c>
      <c r="F542" s="28" t="s">
        <v>521</v>
      </c>
      <c r="G542" s="28" t="s">
        <v>521</v>
      </c>
      <c r="H542" s="28" t="s">
        <v>298</v>
      </c>
      <c r="I542" s="28" t="str">
        <f>VLOOKUP(F542,표준용어사전!$B:$D,3,FALSE)</f>
        <v>명V512</v>
      </c>
      <c r="J542" s="28" t="s">
        <v>718</v>
      </c>
      <c r="K542" s="27">
        <v>512</v>
      </c>
      <c r="L542" s="29" t="s">
        <v>571</v>
      </c>
      <c r="M542" s="29" t="s">
        <v>721</v>
      </c>
      <c r="N542" s="29" t="s">
        <v>75</v>
      </c>
      <c r="O542" s="28"/>
      <c r="P542" s="28"/>
      <c r="Q542" s="28" t="s">
        <v>76</v>
      </c>
      <c r="R542" s="29"/>
      <c r="S542" s="28"/>
      <c r="T542" s="28"/>
      <c r="U542" s="28" t="s">
        <v>75</v>
      </c>
      <c r="V542" s="28" t="s">
        <v>75</v>
      </c>
      <c r="W542" s="28"/>
    </row>
    <row r="543" spans="1:23" s="12" customFormat="1" hidden="1">
      <c r="A543" s="46" t="s">
        <v>572</v>
      </c>
      <c r="B543" s="28" t="s">
        <v>1336</v>
      </c>
      <c r="C543" s="28" t="s">
        <v>88</v>
      </c>
      <c r="D543" s="28" t="s">
        <v>296</v>
      </c>
      <c r="E543" s="28" t="s">
        <v>301</v>
      </c>
      <c r="F543" s="28" t="s">
        <v>522</v>
      </c>
      <c r="G543" s="28" t="s">
        <v>522</v>
      </c>
      <c r="H543" s="28" t="s">
        <v>298</v>
      </c>
      <c r="I543" s="28" t="e">
        <f>VLOOKUP(F543,표준용어사전!$B:$D,3,FALSE)</f>
        <v>#N/A</v>
      </c>
      <c r="J543" s="28" t="s">
        <v>718</v>
      </c>
      <c r="K543" s="27">
        <v>2000</v>
      </c>
      <c r="L543" s="29" t="s">
        <v>571</v>
      </c>
      <c r="M543" s="29" t="s">
        <v>728</v>
      </c>
      <c r="N543" s="29" t="s">
        <v>75</v>
      </c>
      <c r="O543" s="28"/>
      <c r="P543" s="28"/>
      <c r="Q543" s="28" t="s">
        <v>76</v>
      </c>
      <c r="R543" s="29"/>
      <c r="S543" s="28"/>
      <c r="T543" s="28"/>
      <c r="U543" s="28" t="s">
        <v>75</v>
      </c>
      <c r="V543" s="28" t="s">
        <v>75</v>
      </c>
      <c r="W543" s="28"/>
    </row>
    <row r="544" spans="1:23" s="12" customFormat="1" hidden="1">
      <c r="A544" s="46" t="s">
        <v>572</v>
      </c>
      <c r="B544" s="28" t="s">
        <v>1336</v>
      </c>
      <c r="C544" s="28" t="s">
        <v>88</v>
      </c>
      <c r="D544" s="28" t="s">
        <v>296</v>
      </c>
      <c r="E544" s="28" t="s">
        <v>302</v>
      </c>
      <c r="F544" s="28" t="s">
        <v>523</v>
      </c>
      <c r="G544" s="28" t="s">
        <v>523</v>
      </c>
      <c r="H544" s="28" t="s">
        <v>298</v>
      </c>
      <c r="I544" s="28" t="str">
        <f>VLOOKUP(F544,표준용어사전!$B:$D,3,FALSE)</f>
        <v>연월일시분초TS</v>
      </c>
      <c r="J544" s="28" t="s">
        <v>16</v>
      </c>
      <c r="K544" s="27" t="s">
        <v>571</v>
      </c>
      <c r="L544" s="29" t="s">
        <v>571</v>
      </c>
      <c r="M544" s="29" t="s">
        <v>726</v>
      </c>
      <c r="N544" s="29" t="s">
        <v>75</v>
      </c>
      <c r="O544" s="28"/>
      <c r="P544" s="28"/>
      <c r="Q544" s="28" t="s">
        <v>76</v>
      </c>
      <c r="R544" s="29"/>
      <c r="S544" s="28"/>
      <c r="T544" s="28" t="s">
        <v>574</v>
      </c>
      <c r="U544" s="28" t="s">
        <v>75</v>
      </c>
      <c r="V544" s="28" t="s">
        <v>75</v>
      </c>
      <c r="W544" s="28"/>
    </row>
    <row r="545" spans="1:23" s="12" customFormat="1" hidden="1">
      <c r="A545" s="46" t="s">
        <v>572</v>
      </c>
      <c r="B545" s="28" t="s">
        <v>1336</v>
      </c>
      <c r="C545" s="28" t="s">
        <v>88</v>
      </c>
      <c r="D545" s="28" t="s">
        <v>296</v>
      </c>
      <c r="E545" s="28" t="s">
        <v>309</v>
      </c>
      <c r="F545" s="28" t="s">
        <v>771</v>
      </c>
      <c r="G545" s="28" t="s">
        <v>771</v>
      </c>
      <c r="H545" s="28" t="s">
        <v>298</v>
      </c>
      <c r="I545" s="28" t="str">
        <f>VLOOKUP(F545,표준용어사전!$B:$D,3,FALSE)</f>
        <v>명V20</v>
      </c>
      <c r="J545" s="28" t="s">
        <v>718</v>
      </c>
      <c r="K545" s="27">
        <v>20</v>
      </c>
      <c r="L545" s="29" t="s">
        <v>571</v>
      </c>
      <c r="M545" s="29" t="s">
        <v>727</v>
      </c>
      <c r="N545" s="29" t="s">
        <v>711</v>
      </c>
      <c r="O545" s="28"/>
      <c r="P545" s="28"/>
      <c r="Q545" s="28" t="s">
        <v>76</v>
      </c>
      <c r="R545" s="29"/>
      <c r="S545" s="28"/>
      <c r="T545" s="28"/>
      <c r="U545" s="28" t="s">
        <v>75</v>
      </c>
      <c r="V545" s="28" t="s">
        <v>75</v>
      </c>
      <c r="W545" s="28"/>
    </row>
    <row r="546" spans="1:23" s="12" customFormat="1" hidden="1">
      <c r="A546" s="46" t="s">
        <v>572</v>
      </c>
      <c r="B546" s="28" t="s">
        <v>1336</v>
      </c>
      <c r="C546" s="28" t="s">
        <v>88</v>
      </c>
      <c r="D546" s="28" t="s">
        <v>303</v>
      </c>
      <c r="E546" s="28" t="s">
        <v>304</v>
      </c>
      <c r="F546" s="28" t="s">
        <v>524</v>
      </c>
      <c r="G546" s="28" t="s">
        <v>524</v>
      </c>
      <c r="H546" s="28" t="s">
        <v>305</v>
      </c>
      <c r="I546" s="28" t="str">
        <f>VLOOKUP(F546,표준용어사전!$B:$D,3,FALSE)</f>
        <v>명V100</v>
      </c>
      <c r="J546" s="28" t="s">
        <v>718</v>
      </c>
      <c r="K546" s="27">
        <v>100</v>
      </c>
      <c r="L546" s="29" t="s">
        <v>571</v>
      </c>
      <c r="M546" s="29" t="s">
        <v>729</v>
      </c>
      <c r="N546" s="29" t="s">
        <v>711</v>
      </c>
      <c r="O546" s="28" t="s">
        <v>641</v>
      </c>
      <c r="P546" s="28"/>
      <c r="Q546" s="28" t="s">
        <v>1407</v>
      </c>
      <c r="R546" s="29">
        <v>1</v>
      </c>
      <c r="S546" s="28"/>
      <c r="T546" s="28" t="s">
        <v>626</v>
      </c>
      <c r="U546" s="28" t="s">
        <v>75</v>
      </c>
      <c r="V546" s="28" t="s">
        <v>75</v>
      </c>
      <c r="W546" s="28"/>
    </row>
    <row r="547" spans="1:23" s="12" customFormat="1" hidden="1">
      <c r="A547" s="46" t="s">
        <v>572</v>
      </c>
      <c r="B547" s="28" t="s">
        <v>1336</v>
      </c>
      <c r="C547" s="28" t="s">
        <v>88</v>
      </c>
      <c r="D547" s="28" t="s">
        <v>303</v>
      </c>
      <c r="E547" s="28" t="s">
        <v>306</v>
      </c>
      <c r="F547" s="28" t="s">
        <v>525</v>
      </c>
      <c r="G547" s="28" t="s">
        <v>525</v>
      </c>
      <c r="H547" s="28" t="s">
        <v>305</v>
      </c>
      <c r="I547" s="28" t="str">
        <f>VLOOKUP(F547,표준용어사전!$B:$D,3,FALSE)</f>
        <v>명V20</v>
      </c>
      <c r="J547" s="28" t="s">
        <v>718</v>
      </c>
      <c r="K547" s="27">
        <v>20</v>
      </c>
      <c r="L547" s="29" t="s">
        <v>571</v>
      </c>
      <c r="M547" s="29" t="s">
        <v>727</v>
      </c>
      <c r="N547" s="29" t="s">
        <v>572</v>
      </c>
      <c r="O547" s="28"/>
      <c r="P547" s="28"/>
      <c r="Q547" s="28" t="s">
        <v>76</v>
      </c>
      <c r="R547" s="29"/>
      <c r="S547" s="28"/>
      <c r="T547" s="28"/>
      <c r="U547" s="28" t="s">
        <v>75</v>
      </c>
      <c r="V547" s="28" t="s">
        <v>75</v>
      </c>
      <c r="W547" s="28"/>
    </row>
    <row r="548" spans="1:23" s="12" customFormat="1" hidden="1">
      <c r="A548" s="46" t="s">
        <v>572</v>
      </c>
      <c r="B548" s="28" t="s">
        <v>1336</v>
      </c>
      <c r="C548" s="28" t="s">
        <v>88</v>
      </c>
      <c r="D548" s="28" t="s">
        <v>303</v>
      </c>
      <c r="E548" s="28" t="s">
        <v>307</v>
      </c>
      <c r="F548" s="28" t="s">
        <v>526</v>
      </c>
      <c r="G548" s="28" t="s">
        <v>526</v>
      </c>
      <c r="H548" s="28" t="s">
        <v>305</v>
      </c>
      <c r="I548" s="28" t="str">
        <f>VLOOKUP(F548,표준용어사전!$B:$D,3,FALSE)</f>
        <v>연월일시분초TS</v>
      </c>
      <c r="J548" s="28" t="s">
        <v>16</v>
      </c>
      <c r="K548" s="27" t="s">
        <v>571</v>
      </c>
      <c r="L548" s="29" t="s">
        <v>571</v>
      </c>
      <c r="M548" s="29" t="s">
        <v>726</v>
      </c>
      <c r="N548" s="29" t="s">
        <v>75</v>
      </c>
      <c r="O548" s="28"/>
      <c r="P548" s="28"/>
      <c r="Q548" s="28" t="s">
        <v>76</v>
      </c>
      <c r="R548" s="29"/>
      <c r="S548" s="28"/>
      <c r="T548" s="28" t="s">
        <v>574</v>
      </c>
      <c r="U548" s="28" t="s">
        <v>75</v>
      </c>
      <c r="V548" s="28" t="s">
        <v>75</v>
      </c>
      <c r="W548" s="28"/>
    </row>
    <row r="549" spans="1:23" s="12" customFormat="1" hidden="1">
      <c r="A549" s="46" t="s">
        <v>572</v>
      </c>
      <c r="B549" s="28" t="s">
        <v>1336</v>
      </c>
      <c r="C549" s="28" t="s">
        <v>88</v>
      </c>
      <c r="D549" s="28" t="s">
        <v>308</v>
      </c>
      <c r="E549" s="28" t="s">
        <v>309</v>
      </c>
      <c r="F549" s="28" t="s">
        <v>527</v>
      </c>
      <c r="G549" s="28" t="s">
        <v>527</v>
      </c>
      <c r="H549" s="28" t="s">
        <v>310</v>
      </c>
      <c r="I549" s="28" t="str">
        <f>VLOOKUP(F549,표준용어사전!$B:$D,3,FALSE)</f>
        <v>명V20</v>
      </c>
      <c r="J549" s="28" t="s">
        <v>718</v>
      </c>
      <c r="K549" s="27">
        <v>20</v>
      </c>
      <c r="L549" s="29" t="s">
        <v>571</v>
      </c>
      <c r="M549" s="29" t="s">
        <v>727</v>
      </c>
      <c r="N549" s="29" t="s">
        <v>711</v>
      </c>
      <c r="O549" s="28" t="s">
        <v>641</v>
      </c>
      <c r="P549" s="28"/>
      <c r="Q549" s="28" t="s">
        <v>76</v>
      </c>
      <c r="R549" s="29"/>
      <c r="S549" s="28"/>
      <c r="T549" s="28"/>
      <c r="U549" s="28" t="s">
        <v>75</v>
      </c>
      <c r="V549" s="28" t="s">
        <v>75</v>
      </c>
      <c r="W549" s="28"/>
    </row>
    <row r="550" spans="1:23" s="12" customFormat="1" hidden="1">
      <c r="A550" s="46" t="s">
        <v>572</v>
      </c>
      <c r="B550" s="28" t="s">
        <v>1336</v>
      </c>
      <c r="C550" s="28" t="s">
        <v>88</v>
      </c>
      <c r="D550" s="28" t="s">
        <v>308</v>
      </c>
      <c r="E550" s="28" t="s">
        <v>306</v>
      </c>
      <c r="F550" s="28" t="s">
        <v>525</v>
      </c>
      <c r="G550" s="28" t="s">
        <v>525</v>
      </c>
      <c r="H550" s="28" t="s">
        <v>310</v>
      </c>
      <c r="I550" s="28" t="str">
        <f>VLOOKUP(F550,표준용어사전!$B:$D,3,FALSE)</f>
        <v>명V20</v>
      </c>
      <c r="J550" s="28" t="s">
        <v>718</v>
      </c>
      <c r="K550" s="27">
        <v>20</v>
      </c>
      <c r="L550" s="29" t="s">
        <v>571</v>
      </c>
      <c r="M550" s="29" t="s">
        <v>727</v>
      </c>
      <c r="N550" s="29" t="s">
        <v>572</v>
      </c>
      <c r="O550" s="28"/>
      <c r="P550" s="28"/>
      <c r="Q550" s="28" t="s">
        <v>76</v>
      </c>
      <c r="R550" s="29"/>
      <c r="S550" s="28"/>
      <c r="T550" s="28"/>
      <c r="U550" s="28" t="s">
        <v>75</v>
      </c>
      <c r="V550" s="28" t="s">
        <v>75</v>
      </c>
      <c r="W550" s="28"/>
    </row>
    <row r="551" spans="1:23" s="12" customFormat="1" hidden="1">
      <c r="A551" s="46" t="s">
        <v>572</v>
      </c>
      <c r="B551" s="28" t="s">
        <v>1336</v>
      </c>
      <c r="C551" s="28" t="s">
        <v>88</v>
      </c>
      <c r="D551" s="28" t="s">
        <v>308</v>
      </c>
      <c r="E551" s="28" t="s">
        <v>311</v>
      </c>
      <c r="F551" s="28" t="s">
        <v>528</v>
      </c>
      <c r="G551" s="28" t="s">
        <v>528</v>
      </c>
      <c r="H551" s="28" t="s">
        <v>310</v>
      </c>
      <c r="I551" s="28" t="str">
        <f>VLOOKUP(F551,표준용어사전!$B:$D,3,FALSE)</f>
        <v>연월일시분초TS</v>
      </c>
      <c r="J551" s="28" t="s">
        <v>16</v>
      </c>
      <c r="K551" s="27" t="s">
        <v>571</v>
      </c>
      <c r="L551" s="29" t="s">
        <v>571</v>
      </c>
      <c r="M551" s="29" t="s">
        <v>726</v>
      </c>
      <c r="N551" s="29" t="s">
        <v>75</v>
      </c>
      <c r="O551" s="28"/>
      <c r="P551" s="28"/>
      <c r="Q551" s="28" t="s">
        <v>76</v>
      </c>
      <c r="R551" s="29"/>
      <c r="S551" s="28"/>
      <c r="T551" s="28" t="s">
        <v>574</v>
      </c>
      <c r="U551" s="28" t="s">
        <v>75</v>
      </c>
      <c r="V551" s="28" t="s">
        <v>75</v>
      </c>
      <c r="W551" s="28"/>
    </row>
    <row r="552" spans="1:23" s="12" customFormat="1" hidden="1">
      <c r="A552" s="46" t="s">
        <v>572</v>
      </c>
      <c r="B552" s="28" t="s">
        <v>1336</v>
      </c>
      <c r="C552" s="28" t="s">
        <v>88</v>
      </c>
      <c r="D552" s="28" t="s">
        <v>308</v>
      </c>
      <c r="E552" s="28" t="s">
        <v>312</v>
      </c>
      <c r="F552" s="28" t="s">
        <v>1409</v>
      </c>
      <c r="G552" s="27" t="s">
        <v>772</v>
      </c>
      <c r="H552" s="28" t="s">
        <v>310</v>
      </c>
      <c r="I552" s="28" t="e">
        <f>VLOOKUP(F552,표준용어사전!$B:$D,3,FALSE)</f>
        <v>#N/A</v>
      </c>
      <c r="J552" s="28" t="s">
        <v>709</v>
      </c>
      <c r="K552" s="27">
        <v>50</v>
      </c>
      <c r="L552" s="29" t="s">
        <v>571</v>
      </c>
      <c r="M552" s="29" t="s">
        <v>725</v>
      </c>
      <c r="N552" s="29" t="s">
        <v>572</v>
      </c>
      <c r="O552" s="28"/>
      <c r="P552" s="28"/>
      <c r="Q552" s="28" t="s">
        <v>76</v>
      </c>
      <c r="R552" s="29"/>
      <c r="S552" s="28"/>
      <c r="T552" s="28"/>
      <c r="U552" s="28" t="s">
        <v>75</v>
      </c>
      <c r="V552" s="28" t="s">
        <v>75</v>
      </c>
      <c r="W552" s="28"/>
    </row>
    <row r="553" spans="1:23" s="12" customFormat="1" hidden="1">
      <c r="A553" s="46" t="s">
        <v>572</v>
      </c>
      <c r="B553" s="28" t="s">
        <v>1336</v>
      </c>
      <c r="C553" s="28" t="s">
        <v>88</v>
      </c>
      <c r="D553" s="28" t="s">
        <v>308</v>
      </c>
      <c r="E553" s="28" t="s">
        <v>313</v>
      </c>
      <c r="F553" s="28" t="s">
        <v>529</v>
      </c>
      <c r="G553" s="28" t="s">
        <v>529</v>
      </c>
      <c r="H553" s="28" t="s">
        <v>310</v>
      </c>
      <c r="I553" s="28" t="str">
        <f>VLOOKUP(F553,표준용어사전!$B:$D,3,FALSE)</f>
        <v>수N14</v>
      </c>
      <c r="J553" s="28" t="s">
        <v>748</v>
      </c>
      <c r="K553" s="27">
        <v>14</v>
      </c>
      <c r="L553" s="29" t="s">
        <v>571</v>
      </c>
      <c r="M553" s="29" t="s">
        <v>776</v>
      </c>
      <c r="N553" s="29" t="s">
        <v>572</v>
      </c>
      <c r="O553" s="28"/>
      <c r="P553" s="28"/>
      <c r="Q553" s="28" t="s">
        <v>76</v>
      </c>
      <c r="R553" s="29"/>
      <c r="S553" s="28"/>
      <c r="T553" s="28"/>
      <c r="U553" s="28" t="s">
        <v>75</v>
      </c>
      <c r="V553" s="28" t="s">
        <v>75</v>
      </c>
      <c r="W553" s="28"/>
    </row>
    <row r="554" spans="1:23" s="12" customFormat="1" hidden="1">
      <c r="A554" s="46" t="s">
        <v>572</v>
      </c>
      <c r="B554" s="28" t="s">
        <v>1336</v>
      </c>
      <c r="C554" s="28" t="s">
        <v>88</v>
      </c>
      <c r="D554" s="28" t="s">
        <v>308</v>
      </c>
      <c r="E554" s="28" t="s">
        <v>314</v>
      </c>
      <c r="F554" s="28" t="s">
        <v>530</v>
      </c>
      <c r="G554" s="28" t="s">
        <v>530</v>
      </c>
      <c r="H554" s="28" t="s">
        <v>310</v>
      </c>
      <c r="I554" s="28" t="str">
        <f>VLOOKUP(F554,표준용어사전!$B:$D,3,FALSE)</f>
        <v>내용V2000</v>
      </c>
      <c r="J554" s="28" t="s">
        <v>718</v>
      </c>
      <c r="K554" s="27">
        <v>4000</v>
      </c>
      <c r="L554" s="29" t="s">
        <v>571</v>
      </c>
      <c r="M554" s="29" t="s">
        <v>737</v>
      </c>
      <c r="N554" s="29" t="s">
        <v>572</v>
      </c>
      <c r="O554" s="28"/>
      <c r="P554" s="28"/>
      <c r="Q554" s="28" t="s">
        <v>76</v>
      </c>
      <c r="R554" s="29"/>
      <c r="S554" s="28"/>
      <c r="T554" s="28"/>
      <c r="U554" s="28" t="s">
        <v>75</v>
      </c>
      <c r="V554" s="28" t="s">
        <v>75</v>
      </c>
      <c r="W554" s="28"/>
    </row>
    <row r="555" spans="1:23" s="12" customFormat="1" hidden="1">
      <c r="A555" s="46" t="s">
        <v>572</v>
      </c>
      <c r="B555" s="28" t="s">
        <v>1336</v>
      </c>
      <c r="C555" s="28" t="s">
        <v>88</v>
      </c>
      <c r="D555" s="28" t="s">
        <v>308</v>
      </c>
      <c r="E555" s="28" t="s">
        <v>649</v>
      </c>
      <c r="F555" s="28" t="s">
        <v>773</v>
      </c>
      <c r="G555" s="28" t="s">
        <v>773</v>
      </c>
      <c r="H555" s="28" t="s">
        <v>310</v>
      </c>
      <c r="I555" s="28" t="str">
        <f>VLOOKUP(F555,표준용어사전!$B:$D,3,FALSE)</f>
        <v>수N14</v>
      </c>
      <c r="J555" s="28" t="s">
        <v>748</v>
      </c>
      <c r="K555" s="27">
        <v>14</v>
      </c>
      <c r="L555" s="29" t="s">
        <v>571</v>
      </c>
      <c r="M555" s="29" t="s">
        <v>776</v>
      </c>
      <c r="N555" s="29" t="s">
        <v>572</v>
      </c>
      <c r="O555" s="28"/>
      <c r="P555" s="28"/>
      <c r="Q555" s="28" t="s">
        <v>76</v>
      </c>
      <c r="R555" s="29"/>
      <c r="S555" s="28"/>
      <c r="T555" s="28"/>
      <c r="U555" s="28" t="s">
        <v>75</v>
      </c>
      <c r="V555" s="28" t="s">
        <v>75</v>
      </c>
      <c r="W555" s="28"/>
    </row>
    <row r="556" spans="1:23" s="12" customFormat="1" hidden="1">
      <c r="A556" s="46" t="s">
        <v>572</v>
      </c>
      <c r="B556" s="28" t="s">
        <v>1336</v>
      </c>
      <c r="C556" s="28" t="s">
        <v>88</v>
      </c>
      <c r="D556" s="28" t="s">
        <v>915</v>
      </c>
      <c r="E556" s="28" t="s">
        <v>916</v>
      </c>
      <c r="F556" s="28" t="s">
        <v>1414</v>
      </c>
      <c r="G556" s="28" t="s">
        <v>917</v>
      </c>
      <c r="H556" s="28" t="s">
        <v>918</v>
      </c>
      <c r="I556" s="28" t="e">
        <f>VLOOKUP(F556,표준용어사전!$B:$D,3,FALSE)</f>
        <v>#N/A</v>
      </c>
      <c r="J556" s="28" t="s">
        <v>748</v>
      </c>
      <c r="K556" s="24">
        <v>10</v>
      </c>
      <c r="L556" s="29">
        <v>3</v>
      </c>
      <c r="M556" s="29" t="s">
        <v>775</v>
      </c>
      <c r="N556" s="29" t="s">
        <v>711</v>
      </c>
      <c r="O556" s="28" t="s">
        <v>641</v>
      </c>
      <c r="P556" s="28"/>
      <c r="Q556" s="28" t="s">
        <v>76</v>
      </c>
      <c r="R556" s="29"/>
      <c r="S556" s="28"/>
      <c r="T556" s="28"/>
      <c r="U556" s="28" t="s">
        <v>75</v>
      </c>
      <c r="V556" s="28" t="s">
        <v>75</v>
      </c>
      <c r="W556" s="28"/>
    </row>
    <row r="557" spans="1:23" s="12" customFormat="1" hidden="1">
      <c r="A557" s="46" t="s">
        <v>572</v>
      </c>
      <c r="B557" s="28" t="s">
        <v>1336</v>
      </c>
      <c r="C557" s="28" t="s">
        <v>88</v>
      </c>
      <c r="D557" s="28" t="s">
        <v>915</v>
      </c>
      <c r="E557" s="28" t="s">
        <v>90</v>
      </c>
      <c r="F557" s="28" t="s">
        <v>14</v>
      </c>
      <c r="G557" s="28" t="s">
        <v>14</v>
      </c>
      <c r="H557" s="28" t="s">
        <v>918</v>
      </c>
      <c r="I557" s="28" t="str">
        <f>VLOOKUP(F557,표준용어사전!$B:$D,3,FALSE)</f>
        <v>연월일시분초TS</v>
      </c>
      <c r="J557" s="28" t="s">
        <v>16</v>
      </c>
      <c r="K557" s="27" t="s">
        <v>571</v>
      </c>
      <c r="L557" s="29" t="s">
        <v>571</v>
      </c>
      <c r="M557" s="29" t="s">
        <v>726</v>
      </c>
      <c r="N557" s="29" t="s">
        <v>711</v>
      </c>
      <c r="O557" s="28"/>
      <c r="P557" s="28"/>
      <c r="Q557" s="28" t="s">
        <v>76</v>
      </c>
      <c r="R557" s="29"/>
      <c r="S557" s="28"/>
      <c r="T557" s="28" t="s">
        <v>574</v>
      </c>
      <c r="U557" s="28" t="s">
        <v>75</v>
      </c>
      <c r="V557" s="28" t="s">
        <v>75</v>
      </c>
      <c r="W557" s="28"/>
    </row>
    <row r="558" spans="1:23" s="12" customFormat="1" hidden="1">
      <c r="A558" s="46" t="s">
        <v>572</v>
      </c>
      <c r="B558" s="28" t="s">
        <v>1336</v>
      </c>
      <c r="C558" s="28" t="s">
        <v>88</v>
      </c>
      <c r="D558" s="28" t="s">
        <v>915</v>
      </c>
      <c r="E558" s="28" t="s">
        <v>91</v>
      </c>
      <c r="F558" s="28" t="s">
        <v>369</v>
      </c>
      <c r="G558" s="28" t="s">
        <v>369</v>
      </c>
      <c r="H558" s="28" t="s">
        <v>918</v>
      </c>
      <c r="I558" s="28" t="str">
        <f>VLOOKUP(F558,표준용어사전!$B:$D,3,FALSE)</f>
        <v>명V20</v>
      </c>
      <c r="J558" s="28" t="s">
        <v>78</v>
      </c>
      <c r="K558" s="27">
        <v>20</v>
      </c>
      <c r="L558" s="29" t="s">
        <v>571</v>
      </c>
      <c r="M558" s="29" t="s">
        <v>727</v>
      </c>
      <c r="N558" s="29" t="s">
        <v>75</v>
      </c>
      <c r="O558" s="28"/>
      <c r="P558" s="28"/>
      <c r="Q558" s="28" t="s">
        <v>76</v>
      </c>
      <c r="R558" s="29"/>
      <c r="S558" s="28"/>
      <c r="T558" s="28" t="s">
        <v>571</v>
      </c>
      <c r="U558" s="28" t="s">
        <v>75</v>
      </c>
      <c r="V558" s="28" t="s">
        <v>75</v>
      </c>
      <c r="W558" s="28"/>
    </row>
    <row r="559" spans="1:23" s="12" customFormat="1" hidden="1">
      <c r="A559" s="46" t="s">
        <v>572</v>
      </c>
      <c r="B559" s="28" t="s">
        <v>1336</v>
      </c>
      <c r="C559" s="28" t="s">
        <v>88</v>
      </c>
      <c r="D559" s="28" t="s">
        <v>915</v>
      </c>
      <c r="E559" s="28" t="s">
        <v>92</v>
      </c>
      <c r="F559" s="28" t="s">
        <v>15</v>
      </c>
      <c r="G559" s="28" t="s">
        <v>15</v>
      </c>
      <c r="H559" s="28" t="s">
        <v>918</v>
      </c>
      <c r="I559" s="28" t="str">
        <f>VLOOKUP(F559,표준용어사전!$B:$D,3,FALSE)</f>
        <v>연월일시분초TS</v>
      </c>
      <c r="J559" s="28" t="s">
        <v>16</v>
      </c>
      <c r="K559" s="27" t="s">
        <v>571</v>
      </c>
      <c r="L559" s="29" t="s">
        <v>571</v>
      </c>
      <c r="M559" s="29" t="s">
        <v>726</v>
      </c>
      <c r="N559" s="29" t="s">
        <v>75</v>
      </c>
      <c r="O559" s="28"/>
      <c r="P559" s="28"/>
      <c r="Q559" s="28" t="s">
        <v>76</v>
      </c>
      <c r="R559" s="29"/>
      <c r="S559" s="28"/>
      <c r="T559" s="28" t="s">
        <v>574</v>
      </c>
      <c r="U559" s="28" t="s">
        <v>75</v>
      </c>
      <c r="V559" s="28" t="s">
        <v>75</v>
      </c>
      <c r="W559" s="28"/>
    </row>
    <row r="560" spans="1:23" s="12" customFormat="1" hidden="1">
      <c r="A560" s="46" t="s">
        <v>572</v>
      </c>
      <c r="B560" s="28" t="s">
        <v>1336</v>
      </c>
      <c r="C560" s="28" t="s">
        <v>88</v>
      </c>
      <c r="D560" s="28" t="s">
        <v>915</v>
      </c>
      <c r="E560" s="28" t="s">
        <v>93</v>
      </c>
      <c r="F560" s="28" t="s">
        <v>370</v>
      </c>
      <c r="G560" s="28" t="s">
        <v>370</v>
      </c>
      <c r="H560" s="28" t="s">
        <v>918</v>
      </c>
      <c r="I560" s="28" t="str">
        <f>VLOOKUP(F560,표준용어사전!$B:$D,3,FALSE)</f>
        <v>명V20</v>
      </c>
      <c r="J560" s="28" t="s">
        <v>78</v>
      </c>
      <c r="K560" s="27">
        <v>20</v>
      </c>
      <c r="L560" s="29" t="s">
        <v>571</v>
      </c>
      <c r="M560" s="29" t="s">
        <v>727</v>
      </c>
      <c r="N560" s="29" t="s">
        <v>75</v>
      </c>
      <c r="O560" s="28"/>
      <c r="P560" s="28"/>
      <c r="Q560" s="28" t="s">
        <v>76</v>
      </c>
      <c r="R560" s="29"/>
      <c r="S560" s="28"/>
      <c r="T560" s="28" t="s">
        <v>571</v>
      </c>
      <c r="U560" s="28" t="s">
        <v>75</v>
      </c>
      <c r="V560" s="28" t="s">
        <v>75</v>
      </c>
      <c r="W560" s="28"/>
    </row>
    <row r="561" spans="1:23" s="12" customFormat="1" hidden="1">
      <c r="A561" s="46" t="s">
        <v>572</v>
      </c>
      <c r="B561" s="28" t="s">
        <v>1336</v>
      </c>
      <c r="C561" s="28" t="s">
        <v>88</v>
      </c>
      <c r="D561" s="28" t="s">
        <v>911</v>
      </c>
      <c r="E561" s="28" t="s">
        <v>857</v>
      </c>
      <c r="F561" s="28" t="s">
        <v>774</v>
      </c>
      <c r="G561" s="28" t="s">
        <v>774</v>
      </c>
      <c r="H561" s="28" t="s">
        <v>914</v>
      </c>
      <c r="I561" s="28" t="e">
        <f>VLOOKUP(F561,표준용어사전!$B:$D,3,FALSE)</f>
        <v>#N/A</v>
      </c>
      <c r="J561" s="28" t="s">
        <v>718</v>
      </c>
      <c r="K561" s="27">
        <v>50</v>
      </c>
      <c r="L561" s="29" t="s">
        <v>571</v>
      </c>
      <c r="M561" s="29" t="s">
        <v>720</v>
      </c>
      <c r="N561" s="29" t="s">
        <v>711</v>
      </c>
      <c r="O561" s="28" t="s">
        <v>641</v>
      </c>
      <c r="P561" s="28"/>
      <c r="Q561" s="28" t="s">
        <v>76</v>
      </c>
      <c r="R561" s="29"/>
      <c r="S561" s="28"/>
      <c r="T561" s="28"/>
      <c r="U561" s="28" t="s">
        <v>75</v>
      </c>
      <c r="V561" s="28" t="s">
        <v>75</v>
      </c>
      <c r="W561" s="28"/>
    </row>
    <row r="562" spans="1:23" s="12" customFormat="1" hidden="1">
      <c r="A562" s="46" t="s">
        <v>572</v>
      </c>
      <c r="B562" s="28" t="s">
        <v>1336</v>
      </c>
      <c r="C562" s="28" t="s">
        <v>88</v>
      </c>
      <c r="D562" s="28" t="s">
        <v>911</v>
      </c>
      <c r="E562" s="28" t="s">
        <v>1423</v>
      </c>
      <c r="F562" s="28" t="s">
        <v>531</v>
      </c>
      <c r="G562" s="28" t="s">
        <v>531</v>
      </c>
      <c r="H562" s="28" t="s">
        <v>914</v>
      </c>
      <c r="I562" s="28" t="e">
        <f>VLOOKUP(F562,표준용어사전!$B:$D,3,FALSE)</f>
        <v>#N/A</v>
      </c>
      <c r="J562" s="28" t="s">
        <v>718</v>
      </c>
      <c r="K562" s="27">
        <v>256</v>
      </c>
      <c r="L562" s="29" t="s">
        <v>571</v>
      </c>
      <c r="M562" s="29" t="s">
        <v>730</v>
      </c>
      <c r="N562" s="29" t="s">
        <v>572</v>
      </c>
      <c r="O562" s="28"/>
      <c r="P562" s="28"/>
      <c r="Q562" s="28" t="s">
        <v>1394</v>
      </c>
      <c r="R562" s="29">
        <v>1</v>
      </c>
      <c r="S562" s="28"/>
      <c r="T562" s="28"/>
      <c r="U562" s="28" t="s">
        <v>75</v>
      </c>
      <c r="V562" s="28" t="s">
        <v>75</v>
      </c>
      <c r="W562" s="28"/>
    </row>
    <row r="563" spans="1:23" s="12" customFormat="1" hidden="1">
      <c r="A563" s="46" t="s">
        <v>572</v>
      </c>
      <c r="B563" s="28" t="s">
        <v>1336</v>
      </c>
      <c r="C563" s="28" t="s">
        <v>88</v>
      </c>
      <c r="D563" s="28" t="s">
        <v>911</v>
      </c>
      <c r="E563" s="22" t="s">
        <v>1424</v>
      </c>
      <c r="F563" s="28" t="s">
        <v>1425</v>
      </c>
      <c r="G563" s="28" t="s">
        <v>1425</v>
      </c>
      <c r="H563" s="28" t="s">
        <v>914</v>
      </c>
      <c r="I563" s="28" t="str">
        <f>VLOOKUP(F563,표준용어사전!$B:$D,3,FALSE)</f>
        <v>연월일시분초TS</v>
      </c>
      <c r="J563" s="28" t="s">
        <v>719</v>
      </c>
      <c r="K563" s="27" t="s">
        <v>571</v>
      </c>
      <c r="L563" s="29" t="s">
        <v>571</v>
      </c>
      <c r="M563" s="29" t="s">
        <v>726</v>
      </c>
      <c r="N563" s="29" t="s">
        <v>711</v>
      </c>
      <c r="O563" s="28"/>
      <c r="P563" s="28"/>
      <c r="Q563" s="28" t="s">
        <v>76</v>
      </c>
      <c r="R563" s="29"/>
      <c r="S563" s="28"/>
      <c r="T563" s="28" t="s">
        <v>574</v>
      </c>
      <c r="U563" s="28" t="s">
        <v>75</v>
      </c>
      <c r="V563" s="28" t="s">
        <v>75</v>
      </c>
      <c r="W563" s="28"/>
    </row>
    <row r="564" spans="1:23" s="12" customFormat="1" hidden="1">
      <c r="A564" s="46" t="s">
        <v>572</v>
      </c>
      <c r="B564" s="28" t="s">
        <v>1336</v>
      </c>
      <c r="C564" s="28" t="s">
        <v>88</v>
      </c>
      <c r="D564" s="28" t="s">
        <v>912</v>
      </c>
      <c r="E564" s="28" t="s">
        <v>857</v>
      </c>
      <c r="F564" s="28" t="s">
        <v>774</v>
      </c>
      <c r="G564" s="28" t="s">
        <v>774</v>
      </c>
      <c r="H564" s="28" t="s">
        <v>913</v>
      </c>
      <c r="I564" s="28" t="e">
        <f>VLOOKUP(F564,표준용어사전!$B:$D,3,FALSE)</f>
        <v>#N/A</v>
      </c>
      <c r="J564" s="28" t="s">
        <v>718</v>
      </c>
      <c r="K564" s="24">
        <v>50</v>
      </c>
      <c r="L564" s="29" t="s">
        <v>571</v>
      </c>
      <c r="M564" s="29" t="s">
        <v>720</v>
      </c>
      <c r="N564" s="29" t="s">
        <v>711</v>
      </c>
      <c r="O564" s="28" t="s">
        <v>641</v>
      </c>
      <c r="P564" s="28" t="s">
        <v>1362</v>
      </c>
      <c r="Q564" s="28" t="s">
        <v>76</v>
      </c>
      <c r="R564" s="29"/>
      <c r="S564" s="28"/>
      <c r="T564" s="28"/>
      <c r="U564" s="28" t="s">
        <v>75</v>
      </c>
      <c r="V564" s="28" t="s">
        <v>75</v>
      </c>
      <c r="W564" s="28"/>
    </row>
    <row r="565" spans="1:23" s="12" customFormat="1" hidden="1">
      <c r="A565" s="46" t="s">
        <v>572</v>
      </c>
      <c r="B565" s="28" t="s">
        <v>1336</v>
      </c>
      <c r="C565" s="28" t="s">
        <v>88</v>
      </c>
      <c r="D565" s="28" t="s">
        <v>912</v>
      </c>
      <c r="E565" s="28" t="s">
        <v>295</v>
      </c>
      <c r="F565" s="28" t="s">
        <v>518</v>
      </c>
      <c r="G565" s="28" t="s">
        <v>518</v>
      </c>
      <c r="H565" s="28" t="s">
        <v>913</v>
      </c>
      <c r="I565" s="28" t="str">
        <f>VLOOKUP(F565,표준용어사전!$B:$D,3,FALSE)</f>
        <v>명V50</v>
      </c>
      <c r="J565" s="28" t="s">
        <v>718</v>
      </c>
      <c r="K565" s="24">
        <v>20</v>
      </c>
      <c r="L565" s="29" t="s">
        <v>571</v>
      </c>
      <c r="M565" s="29" t="s">
        <v>720</v>
      </c>
      <c r="N565" s="29" t="s">
        <v>711</v>
      </c>
      <c r="O565" s="28" t="s">
        <v>573</v>
      </c>
      <c r="P565" s="28"/>
      <c r="Q565" s="28" t="s">
        <v>76</v>
      </c>
      <c r="R565" s="29"/>
      <c r="S565" s="28"/>
      <c r="T565" s="28"/>
      <c r="U565" s="28" t="s">
        <v>75</v>
      </c>
      <c r="V565" s="28" t="s">
        <v>75</v>
      </c>
      <c r="W565" s="28"/>
    </row>
    <row r="566" spans="1:23" s="12" customFormat="1" hidden="1">
      <c r="A566" s="46" t="s">
        <v>572</v>
      </c>
      <c r="B566" s="28" t="s">
        <v>1336</v>
      </c>
      <c r="C566" s="28" t="s">
        <v>88</v>
      </c>
      <c r="D566" s="28" t="s">
        <v>912</v>
      </c>
      <c r="E566" s="28" t="s">
        <v>315</v>
      </c>
      <c r="F566" s="28" t="s">
        <v>532</v>
      </c>
      <c r="G566" s="28" t="s">
        <v>532</v>
      </c>
      <c r="H566" s="28" t="s">
        <v>913</v>
      </c>
      <c r="I566" s="28" t="e">
        <f>VLOOKUP(F566,표준용어사전!$B:$D,3,FALSE)</f>
        <v>#N/A</v>
      </c>
      <c r="J566" s="28" t="s">
        <v>748</v>
      </c>
      <c r="K566" s="24">
        <v>10</v>
      </c>
      <c r="L566" s="29">
        <v>3</v>
      </c>
      <c r="M566" s="29" t="s">
        <v>775</v>
      </c>
      <c r="N566" s="29" t="s">
        <v>572</v>
      </c>
      <c r="O566" s="28"/>
      <c r="P566" s="28"/>
      <c r="Q566" s="28" t="s">
        <v>76</v>
      </c>
      <c r="R566" s="29"/>
      <c r="S566" s="28"/>
      <c r="T566" s="28"/>
      <c r="U566" s="28" t="s">
        <v>75</v>
      </c>
      <c r="V566" s="28" t="s">
        <v>75</v>
      </c>
      <c r="W566" s="28"/>
    </row>
    <row r="567" spans="1:23" s="12" customFormat="1" hidden="1">
      <c r="A567" s="46" t="s">
        <v>572</v>
      </c>
      <c r="B567" s="28" t="s">
        <v>1336</v>
      </c>
      <c r="C567" s="28" t="s">
        <v>88</v>
      </c>
      <c r="D567" s="28" t="s">
        <v>912</v>
      </c>
      <c r="E567" s="28" t="s">
        <v>316</v>
      </c>
      <c r="F567" s="28" t="s">
        <v>533</v>
      </c>
      <c r="G567" s="28" t="s">
        <v>533</v>
      </c>
      <c r="H567" s="28" t="s">
        <v>913</v>
      </c>
      <c r="I567" s="28" t="e">
        <f>VLOOKUP(F567,표준용어사전!$B:$D,3,FALSE)</f>
        <v>#N/A</v>
      </c>
      <c r="J567" s="28" t="s">
        <v>748</v>
      </c>
      <c r="K567" s="24">
        <v>10</v>
      </c>
      <c r="L567" s="29">
        <v>3</v>
      </c>
      <c r="M567" s="29" t="s">
        <v>775</v>
      </c>
      <c r="N567" s="29" t="s">
        <v>572</v>
      </c>
      <c r="O567" s="28"/>
      <c r="P567" s="28"/>
      <c r="Q567" s="28" t="s">
        <v>76</v>
      </c>
      <c r="R567" s="29"/>
      <c r="S567" s="28"/>
      <c r="T567" s="28"/>
      <c r="U567" s="28" t="s">
        <v>75</v>
      </c>
      <c r="V567" s="28" t="s">
        <v>75</v>
      </c>
      <c r="W567" s="28"/>
    </row>
    <row r="568" spans="1:23" s="12" customFormat="1" hidden="1">
      <c r="A568" s="46" t="s">
        <v>572</v>
      </c>
      <c r="B568" s="28" t="s">
        <v>1336</v>
      </c>
      <c r="C568" s="28" t="s">
        <v>88</v>
      </c>
      <c r="D568" s="28" t="s">
        <v>912</v>
      </c>
      <c r="E568" s="28" t="s">
        <v>317</v>
      </c>
      <c r="F568" s="28" t="s">
        <v>534</v>
      </c>
      <c r="G568" s="28" t="s">
        <v>534</v>
      </c>
      <c r="H568" s="28" t="s">
        <v>913</v>
      </c>
      <c r="I568" s="28" t="e">
        <f>VLOOKUP(F568,표준용어사전!$B:$D,3,FALSE)</f>
        <v>#N/A</v>
      </c>
      <c r="J568" s="28" t="s">
        <v>719</v>
      </c>
      <c r="K568" s="27" t="s">
        <v>571</v>
      </c>
      <c r="L568" s="29" t="s">
        <v>571</v>
      </c>
      <c r="M568" s="29" t="s">
        <v>726</v>
      </c>
      <c r="N568" s="29" t="s">
        <v>572</v>
      </c>
      <c r="O568" s="28"/>
      <c r="P568" s="28"/>
      <c r="Q568" s="28" t="s">
        <v>76</v>
      </c>
      <c r="R568" s="29"/>
      <c r="S568" s="28"/>
      <c r="T568" s="28" t="s">
        <v>574</v>
      </c>
      <c r="U568" s="28" t="s">
        <v>75</v>
      </c>
      <c r="V568" s="28" t="s">
        <v>75</v>
      </c>
      <c r="W568" s="28"/>
    </row>
    <row r="569" spans="1:23" s="12" customFormat="1" hidden="1">
      <c r="A569" s="46" t="s">
        <v>572</v>
      </c>
      <c r="B569" s="28" t="s">
        <v>1336</v>
      </c>
      <c r="C569" s="28" t="s">
        <v>88</v>
      </c>
      <c r="D569" s="28" t="s">
        <v>318</v>
      </c>
      <c r="E569" s="28" t="s">
        <v>319</v>
      </c>
      <c r="F569" s="28" t="s">
        <v>535</v>
      </c>
      <c r="G569" s="28" t="s">
        <v>535</v>
      </c>
      <c r="H569" s="28" t="s">
        <v>320</v>
      </c>
      <c r="I569" s="28" t="str">
        <f>VLOOKUP(F569,표준용어사전!$B:$D,3,FALSE)</f>
        <v>명V20</v>
      </c>
      <c r="J569" s="28" t="s">
        <v>718</v>
      </c>
      <c r="K569" s="27">
        <v>20</v>
      </c>
      <c r="L569" s="29" t="s">
        <v>571</v>
      </c>
      <c r="M569" s="29" t="s">
        <v>727</v>
      </c>
      <c r="N569" s="29" t="s">
        <v>711</v>
      </c>
      <c r="O569" s="28" t="s">
        <v>641</v>
      </c>
      <c r="P569" s="28"/>
      <c r="Q569" s="28" t="s">
        <v>319</v>
      </c>
      <c r="R569" s="29">
        <v>1</v>
      </c>
      <c r="S569" s="28"/>
      <c r="T569" s="28"/>
      <c r="U569" s="28" t="s">
        <v>75</v>
      </c>
      <c r="V569" s="28" t="s">
        <v>75</v>
      </c>
      <c r="W569" s="28"/>
    </row>
    <row r="570" spans="1:23" s="12" customFormat="1" hidden="1">
      <c r="A570" s="46" t="s">
        <v>572</v>
      </c>
      <c r="B570" s="28" t="s">
        <v>1336</v>
      </c>
      <c r="C570" s="28" t="s">
        <v>88</v>
      </c>
      <c r="D570" s="28" t="s">
        <v>318</v>
      </c>
      <c r="E570" s="28" t="s">
        <v>321</v>
      </c>
      <c r="F570" s="28" t="s">
        <v>777</v>
      </c>
      <c r="G570" s="28" t="s">
        <v>777</v>
      </c>
      <c r="H570" s="28" t="s">
        <v>320</v>
      </c>
      <c r="I570" s="28" t="e">
        <f>VLOOKUP(F570,표준용어사전!$B:$D,3,FALSE)</f>
        <v>#N/A</v>
      </c>
      <c r="J570" s="28" t="s">
        <v>709</v>
      </c>
      <c r="K570" s="27">
        <v>50</v>
      </c>
      <c r="L570" s="29" t="s">
        <v>571</v>
      </c>
      <c r="M570" s="29" t="s">
        <v>725</v>
      </c>
      <c r="N570" s="29" t="s">
        <v>572</v>
      </c>
      <c r="O570" s="28"/>
      <c r="P570" s="28"/>
      <c r="Q570" s="28" t="s">
        <v>76</v>
      </c>
      <c r="R570" s="29"/>
      <c r="S570" s="28"/>
      <c r="T570" s="28"/>
      <c r="U570" s="28" t="s">
        <v>75</v>
      </c>
      <c r="V570" s="28" t="s">
        <v>75</v>
      </c>
      <c r="W570" s="28"/>
    </row>
    <row r="571" spans="1:23" s="12" customFormat="1" hidden="1">
      <c r="A571" s="46" t="s">
        <v>572</v>
      </c>
      <c r="B571" s="28" t="s">
        <v>1336</v>
      </c>
      <c r="C571" s="28" t="s">
        <v>88</v>
      </c>
      <c r="D571" s="28" t="s">
        <v>318</v>
      </c>
      <c r="E571" s="28" t="s">
        <v>322</v>
      </c>
      <c r="F571" s="28" t="s">
        <v>778</v>
      </c>
      <c r="G571" s="28" t="s">
        <v>778</v>
      </c>
      <c r="H571" s="28" t="s">
        <v>320</v>
      </c>
      <c r="I571" s="28" t="e">
        <f>VLOOKUP(F571,표준용어사전!$B:$D,3,FALSE)</f>
        <v>#N/A</v>
      </c>
      <c r="J571" s="28" t="s">
        <v>709</v>
      </c>
      <c r="K571" s="27">
        <v>50</v>
      </c>
      <c r="L571" s="29" t="s">
        <v>571</v>
      </c>
      <c r="M571" s="29" t="s">
        <v>725</v>
      </c>
      <c r="N571" s="29" t="s">
        <v>572</v>
      </c>
      <c r="O571" s="28"/>
      <c r="P571" s="28"/>
      <c r="Q571" s="28" t="s">
        <v>76</v>
      </c>
      <c r="R571" s="29"/>
      <c r="S571" s="28"/>
      <c r="T571" s="28"/>
      <c r="U571" s="28" t="s">
        <v>75</v>
      </c>
      <c r="V571" s="28" t="s">
        <v>75</v>
      </c>
      <c r="W571" s="28"/>
    </row>
    <row r="572" spans="1:23" s="12" customFormat="1" hidden="1">
      <c r="A572" s="46" t="s">
        <v>572</v>
      </c>
      <c r="B572" s="28" t="s">
        <v>1336</v>
      </c>
      <c r="C572" s="28" t="s">
        <v>88</v>
      </c>
      <c r="D572" s="28" t="s">
        <v>318</v>
      </c>
      <c r="E572" s="28" t="s">
        <v>323</v>
      </c>
      <c r="F572" s="28" t="s">
        <v>779</v>
      </c>
      <c r="G572" s="28" t="s">
        <v>779</v>
      </c>
      <c r="H572" s="28" t="s">
        <v>320</v>
      </c>
      <c r="I572" s="28" t="e">
        <f>VLOOKUP(F572,표준용어사전!$B:$D,3,FALSE)</f>
        <v>#N/A</v>
      </c>
      <c r="J572" s="28" t="s">
        <v>709</v>
      </c>
      <c r="K572" s="27">
        <v>50</v>
      </c>
      <c r="L572" s="29" t="s">
        <v>571</v>
      </c>
      <c r="M572" s="29" t="s">
        <v>725</v>
      </c>
      <c r="N572" s="29" t="s">
        <v>572</v>
      </c>
      <c r="O572" s="28"/>
      <c r="P572" s="28"/>
      <c r="Q572" s="28" t="s">
        <v>76</v>
      </c>
      <c r="R572" s="29"/>
      <c r="S572" s="28"/>
      <c r="T572" s="28"/>
      <c r="U572" s="28" t="s">
        <v>75</v>
      </c>
      <c r="V572" s="28" t="s">
        <v>75</v>
      </c>
      <c r="W572" s="28"/>
    </row>
    <row r="573" spans="1:23" s="12" customFormat="1" hidden="1">
      <c r="A573" s="46" t="s">
        <v>572</v>
      </c>
      <c r="B573" s="28" t="s">
        <v>1336</v>
      </c>
      <c r="C573" s="28" t="s">
        <v>88</v>
      </c>
      <c r="D573" s="28" t="s">
        <v>318</v>
      </c>
      <c r="E573" s="28" t="s">
        <v>324</v>
      </c>
      <c r="F573" s="28" t="s">
        <v>536</v>
      </c>
      <c r="G573" s="28" t="s">
        <v>536</v>
      </c>
      <c r="H573" s="28" t="s">
        <v>320</v>
      </c>
      <c r="I573" s="28" t="str">
        <f>VLOOKUP(F573,표준용어사전!$B:$D,3,FALSE)</f>
        <v>수N10</v>
      </c>
      <c r="J573" s="28" t="s">
        <v>748</v>
      </c>
      <c r="K573" s="27">
        <v>10</v>
      </c>
      <c r="L573" s="29" t="s">
        <v>571</v>
      </c>
      <c r="M573" s="29">
        <v>9999999999</v>
      </c>
      <c r="N573" s="29" t="s">
        <v>572</v>
      </c>
      <c r="O573" s="28"/>
      <c r="P573" s="28"/>
      <c r="Q573" s="28" t="s">
        <v>76</v>
      </c>
      <c r="R573" s="29"/>
      <c r="S573" s="28"/>
      <c r="T573" s="28"/>
      <c r="U573" s="28" t="s">
        <v>75</v>
      </c>
      <c r="V573" s="28" t="s">
        <v>75</v>
      </c>
      <c r="W573" s="28"/>
    </row>
    <row r="574" spans="1:23" s="12" customFormat="1" hidden="1">
      <c r="A574" s="46" t="s">
        <v>572</v>
      </c>
      <c r="B574" s="28" t="s">
        <v>1336</v>
      </c>
      <c r="C574" s="28" t="s">
        <v>88</v>
      </c>
      <c r="D574" s="28" t="s">
        <v>318</v>
      </c>
      <c r="E574" s="28" t="s">
        <v>325</v>
      </c>
      <c r="F574" s="28" t="s">
        <v>537</v>
      </c>
      <c r="G574" s="28" t="s">
        <v>537</v>
      </c>
      <c r="H574" s="28" t="s">
        <v>320</v>
      </c>
      <c r="I574" s="28" t="str">
        <f>VLOOKUP(F574,표준용어사전!$B:$D,3,FALSE)</f>
        <v>여부C1</v>
      </c>
      <c r="J574" s="28" t="s">
        <v>709</v>
      </c>
      <c r="K574" s="27">
        <v>1</v>
      </c>
      <c r="L574" s="29" t="s">
        <v>571</v>
      </c>
      <c r="M574" s="29" t="s">
        <v>722</v>
      </c>
      <c r="N574" s="29" t="s">
        <v>572</v>
      </c>
      <c r="O574" s="28"/>
      <c r="P574" s="28"/>
      <c r="Q574" s="28" t="s">
        <v>76</v>
      </c>
      <c r="R574" s="29"/>
      <c r="S574" s="28"/>
      <c r="T574" s="28" t="s">
        <v>576</v>
      </c>
      <c r="U574" s="28" t="s">
        <v>75</v>
      </c>
      <c r="V574" s="28" t="s">
        <v>75</v>
      </c>
      <c r="W574" s="28"/>
    </row>
    <row r="575" spans="1:23" s="12" customFormat="1" hidden="1">
      <c r="A575" s="46" t="s">
        <v>572</v>
      </c>
      <c r="B575" s="28" t="s">
        <v>1336</v>
      </c>
      <c r="C575" s="28" t="s">
        <v>88</v>
      </c>
      <c r="D575" s="28" t="s">
        <v>318</v>
      </c>
      <c r="E575" s="28" t="s">
        <v>326</v>
      </c>
      <c r="F575" s="28" t="s">
        <v>538</v>
      </c>
      <c r="G575" s="28" t="s">
        <v>538</v>
      </c>
      <c r="H575" s="28" t="s">
        <v>320</v>
      </c>
      <c r="I575" s="28" t="str">
        <f>VLOOKUP(F575,표준용어사전!$B:$D,3,FALSE)</f>
        <v>명V512</v>
      </c>
      <c r="J575" s="28" t="s">
        <v>718</v>
      </c>
      <c r="K575" s="27">
        <v>512</v>
      </c>
      <c r="L575" s="29" t="s">
        <v>571</v>
      </c>
      <c r="M575" s="29" t="s">
        <v>721</v>
      </c>
      <c r="N575" s="29" t="s">
        <v>572</v>
      </c>
      <c r="O575" s="28"/>
      <c r="P575" s="28"/>
      <c r="Q575" s="28" t="s">
        <v>76</v>
      </c>
      <c r="R575" s="29"/>
      <c r="S575" s="28"/>
      <c r="T575" s="28"/>
      <c r="U575" s="28" t="s">
        <v>75</v>
      </c>
      <c r="V575" s="28" t="s">
        <v>75</v>
      </c>
      <c r="W575" s="28"/>
    </row>
    <row r="576" spans="1:23" s="12" customFormat="1" hidden="1">
      <c r="A576" s="46" t="s">
        <v>572</v>
      </c>
      <c r="B576" s="28" t="s">
        <v>1336</v>
      </c>
      <c r="C576" s="28" t="s">
        <v>88</v>
      </c>
      <c r="D576" s="28" t="s">
        <v>318</v>
      </c>
      <c r="E576" s="28" t="s">
        <v>327</v>
      </c>
      <c r="F576" s="28" t="s">
        <v>539</v>
      </c>
      <c r="G576" s="28" t="s">
        <v>539</v>
      </c>
      <c r="H576" s="28" t="s">
        <v>320</v>
      </c>
      <c r="I576" s="28" t="str">
        <f>VLOOKUP(F576,표준용어사전!$B:$D,3,FALSE)</f>
        <v>내용V2000</v>
      </c>
      <c r="J576" s="28" t="s">
        <v>718</v>
      </c>
      <c r="K576" s="27">
        <v>4000</v>
      </c>
      <c r="L576" s="29" t="s">
        <v>571</v>
      </c>
      <c r="M576" s="29" t="s">
        <v>737</v>
      </c>
      <c r="N576" s="29" t="s">
        <v>572</v>
      </c>
      <c r="O576" s="28"/>
      <c r="P576" s="28"/>
      <c r="Q576" s="28" t="s">
        <v>76</v>
      </c>
      <c r="R576" s="29"/>
      <c r="S576" s="28"/>
      <c r="T576" s="28"/>
      <c r="U576" s="28" t="s">
        <v>75</v>
      </c>
      <c r="V576" s="28" t="s">
        <v>75</v>
      </c>
      <c r="W576" s="28"/>
    </row>
    <row r="577" spans="1:23" s="12" customFormat="1" hidden="1">
      <c r="A577" s="46" t="s">
        <v>572</v>
      </c>
      <c r="B577" s="28" t="s">
        <v>1336</v>
      </c>
      <c r="C577" s="28" t="s">
        <v>88</v>
      </c>
      <c r="D577" s="28" t="s">
        <v>318</v>
      </c>
      <c r="E577" s="28" t="s">
        <v>328</v>
      </c>
      <c r="F577" s="28" t="s">
        <v>540</v>
      </c>
      <c r="G577" s="28" t="s">
        <v>540</v>
      </c>
      <c r="H577" s="28" t="s">
        <v>320</v>
      </c>
      <c r="I577" s="28" t="str">
        <f>VLOOKUP(F577,표준용어사전!$B:$D,3,FALSE)</f>
        <v>명V20</v>
      </c>
      <c r="J577" s="28" t="s">
        <v>718</v>
      </c>
      <c r="K577" s="27">
        <v>20</v>
      </c>
      <c r="L577" s="29" t="s">
        <v>571</v>
      </c>
      <c r="M577" s="29" t="s">
        <v>727</v>
      </c>
      <c r="N577" s="29" t="s">
        <v>572</v>
      </c>
      <c r="O577" s="28"/>
      <c r="P577" s="28"/>
      <c r="Q577" s="28" t="s">
        <v>76</v>
      </c>
      <c r="R577" s="29"/>
      <c r="S577" s="28"/>
      <c r="T577" s="28"/>
      <c r="U577" s="28" t="s">
        <v>75</v>
      </c>
      <c r="V577" s="28" t="s">
        <v>75</v>
      </c>
      <c r="W577" s="28"/>
    </row>
    <row r="578" spans="1:23" s="12" customFormat="1" hidden="1">
      <c r="A578" s="46" t="s">
        <v>572</v>
      </c>
      <c r="B578" s="28" t="s">
        <v>1336</v>
      </c>
      <c r="C578" s="28" t="s">
        <v>88</v>
      </c>
      <c r="D578" s="28" t="s">
        <v>318</v>
      </c>
      <c r="E578" s="28" t="s">
        <v>329</v>
      </c>
      <c r="F578" s="28" t="s">
        <v>541</v>
      </c>
      <c r="G578" s="28" t="s">
        <v>541</v>
      </c>
      <c r="H578" s="28" t="s">
        <v>320</v>
      </c>
      <c r="I578" s="28" t="str">
        <f>VLOOKUP(F578,표준용어사전!$B:$D,3,FALSE)</f>
        <v>연월일시분초TS</v>
      </c>
      <c r="J578" s="28" t="s">
        <v>719</v>
      </c>
      <c r="K578" s="27" t="s">
        <v>571</v>
      </c>
      <c r="L578" s="29" t="s">
        <v>571</v>
      </c>
      <c r="M578" s="29" t="s">
        <v>726</v>
      </c>
      <c r="N578" s="29" t="s">
        <v>572</v>
      </c>
      <c r="O578" s="28"/>
      <c r="P578" s="28"/>
      <c r="Q578" s="28" t="s">
        <v>76</v>
      </c>
      <c r="R578" s="29"/>
      <c r="S578" s="28"/>
      <c r="T578" s="28" t="s">
        <v>574</v>
      </c>
      <c r="U578" s="28" t="s">
        <v>75</v>
      </c>
      <c r="V578" s="28" t="s">
        <v>75</v>
      </c>
      <c r="W578" s="28"/>
    </row>
    <row r="579" spans="1:23" s="12" customFormat="1" hidden="1">
      <c r="A579" s="46" t="s">
        <v>572</v>
      </c>
      <c r="B579" s="28" t="s">
        <v>1336</v>
      </c>
      <c r="C579" s="28" t="s">
        <v>88</v>
      </c>
      <c r="D579" s="28" t="s">
        <v>318</v>
      </c>
      <c r="E579" s="28" t="s">
        <v>330</v>
      </c>
      <c r="F579" s="28" t="s">
        <v>542</v>
      </c>
      <c r="G579" s="28" t="s">
        <v>542</v>
      </c>
      <c r="H579" s="28" t="s">
        <v>320</v>
      </c>
      <c r="I579" s="28" t="str">
        <f>VLOOKUP(F579,표준용어사전!$B:$D,3,FALSE)</f>
        <v>연월일시분초TS</v>
      </c>
      <c r="J579" s="28" t="s">
        <v>719</v>
      </c>
      <c r="K579" s="27" t="s">
        <v>571</v>
      </c>
      <c r="L579" s="29" t="s">
        <v>571</v>
      </c>
      <c r="M579" s="29" t="s">
        <v>726</v>
      </c>
      <c r="N579" s="29" t="s">
        <v>572</v>
      </c>
      <c r="O579" s="28"/>
      <c r="P579" s="28"/>
      <c r="Q579" s="28" t="s">
        <v>76</v>
      </c>
      <c r="R579" s="29"/>
      <c r="S579" s="28"/>
      <c r="T579" s="28" t="s">
        <v>574</v>
      </c>
      <c r="U579" s="28" t="s">
        <v>75</v>
      </c>
      <c r="V579" s="28" t="s">
        <v>75</v>
      </c>
      <c r="W579" s="28"/>
    </row>
    <row r="580" spans="1:23" s="12" customFormat="1" hidden="1">
      <c r="A580" s="46" t="s">
        <v>572</v>
      </c>
      <c r="B580" s="28" t="s">
        <v>1336</v>
      </c>
      <c r="C580" s="28" t="s">
        <v>88</v>
      </c>
      <c r="D580" s="28" t="s">
        <v>318</v>
      </c>
      <c r="E580" s="28" t="s">
        <v>331</v>
      </c>
      <c r="F580" s="28" t="s">
        <v>543</v>
      </c>
      <c r="G580" s="28" t="s">
        <v>543</v>
      </c>
      <c r="H580" s="28" t="s">
        <v>320</v>
      </c>
      <c r="I580" s="28" t="str">
        <f>VLOOKUP(F580,표준용어사전!$B:$D,3,FALSE)</f>
        <v>명V20</v>
      </c>
      <c r="J580" s="28" t="s">
        <v>718</v>
      </c>
      <c r="K580" s="27">
        <v>20</v>
      </c>
      <c r="L580" s="29" t="s">
        <v>571</v>
      </c>
      <c r="M580" s="29" t="s">
        <v>727</v>
      </c>
      <c r="N580" s="29" t="s">
        <v>572</v>
      </c>
      <c r="O580" s="28"/>
      <c r="P580" s="28"/>
      <c r="Q580" s="28" t="s">
        <v>76</v>
      </c>
      <c r="R580" s="29"/>
      <c r="S580" s="28"/>
      <c r="T580" s="28"/>
      <c r="U580" s="28" t="s">
        <v>75</v>
      </c>
      <c r="V580" s="28" t="s">
        <v>75</v>
      </c>
      <c r="W580" s="28"/>
    </row>
    <row r="581" spans="1:23" s="12" customFormat="1" hidden="1">
      <c r="A581" s="46" t="s">
        <v>572</v>
      </c>
      <c r="B581" s="28" t="s">
        <v>1336</v>
      </c>
      <c r="C581" s="28" t="s">
        <v>88</v>
      </c>
      <c r="D581" s="28" t="s">
        <v>318</v>
      </c>
      <c r="E581" s="28" t="s">
        <v>332</v>
      </c>
      <c r="F581" s="28" t="s">
        <v>544</v>
      </c>
      <c r="G581" s="28" t="s">
        <v>544</v>
      </c>
      <c r="H581" s="28" t="s">
        <v>320</v>
      </c>
      <c r="I581" s="28" t="str">
        <f>VLOOKUP(F581,표준용어사전!$B:$D,3,FALSE)</f>
        <v>내용V2000</v>
      </c>
      <c r="J581" s="28" t="s">
        <v>718</v>
      </c>
      <c r="K581" s="27">
        <v>4000</v>
      </c>
      <c r="L581" s="29" t="s">
        <v>571</v>
      </c>
      <c r="M581" s="29" t="s">
        <v>737</v>
      </c>
      <c r="N581" s="29" t="s">
        <v>572</v>
      </c>
      <c r="O581" s="28"/>
      <c r="P581" s="28"/>
      <c r="Q581" s="28" t="s">
        <v>76</v>
      </c>
      <c r="R581" s="29"/>
      <c r="S581" s="28"/>
      <c r="T581" s="28"/>
      <c r="U581" s="28" t="s">
        <v>75</v>
      </c>
      <c r="V581" s="28" t="s">
        <v>75</v>
      </c>
      <c r="W581" s="28"/>
    </row>
    <row r="582" spans="1:23" s="12" customFormat="1" hidden="1">
      <c r="A582" s="46" t="s">
        <v>572</v>
      </c>
      <c r="B582" s="28" t="s">
        <v>1336</v>
      </c>
      <c r="C582" s="28" t="s">
        <v>88</v>
      </c>
      <c r="D582" s="28" t="s">
        <v>318</v>
      </c>
      <c r="E582" s="28" t="s">
        <v>858</v>
      </c>
      <c r="F582" s="28" t="s">
        <v>545</v>
      </c>
      <c r="G582" s="28" t="s">
        <v>545</v>
      </c>
      <c r="H582" s="28" t="s">
        <v>320</v>
      </c>
      <c r="I582" s="28" t="str">
        <f>VLOOKUP(F582,표준용어사전!$B:$D,3,FALSE)</f>
        <v>명V20</v>
      </c>
      <c r="J582" s="28" t="s">
        <v>718</v>
      </c>
      <c r="K582" s="27">
        <v>20</v>
      </c>
      <c r="L582" s="29" t="s">
        <v>571</v>
      </c>
      <c r="M582" s="29" t="s">
        <v>727</v>
      </c>
      <c r="N582" s="29" t="s">
        <v>572</v>
      </c>
      <c r="O582" s="28"/>
      <c r="P582" s="28"/>
      <c r="Q582" s="28" t="s">
        <v>76</v>
      </c>
      <c r="R582" s="29"/>
      <c r="S582" s="28"/>
      <c r="T582" s="28"/>
      <c r="U582" s="28" t="s">
        <v>75</v>
      </c>
      <c r="V582" s="28" t="s">
        <v>75</v>
      </c>
      <c r="W582" s="28"/>
    </row>
    <row r="583" spans="1:23" s="12" customFormat="1" hidden="1">
      <c r="A583" s="46" t="s">
        <v>572</v>
      </c>
      <c r="B583" s="28" t="s">
        <v>1336</v>
      </c>
      <c r="C583" s="28" t="s">
        <v>88</v>
      </c>
      <c r="D583" s="28" t="s">
        <v>318</v>
      </c>
      <c r="E583" s="28" t="s">
        <v>333</v>
      </c>
      <c r="F583" s="28" t="s">
        <v>546</v>
      </c>
      <c r="G583" s="28" t="s">
        <v>546</v>
      </c>
      <c r="H583" s="28" t="s">
        <v>320</v>
      </c>
      <c r="I583" s="28" t="str">
        <f>VLOOKUP(F583,표준용어사전!$B:$D,3,FALSE)</f>
        <v>연월일시분초TS</v>
      </c>
      <c r="J583" s="28" t="s">
        <v>719</v>
      </c>
      <c r="K583" s="27" t="s">
        <v>571</v>
      </c>
      <c r="L583" s="29" t="s">
        <v>571</v>
      </c>
      <c r="M583" s="29" t="s">
        <v>726</v>
      </c>
      <c r="N583" s="29" t="s">
        <v>572</v>
      </c>
      <c r="O583" s="28"/>
      <c r="P583" s="28"/>
      <c r="Q583" s="28" t="s">
        <v>76</v>
      </c>
      <c r="R583" s="29"/>
      <c r="S583" s="28"/>
      <c r="T583" s="28" t="s">
        <v>574</v>
      </c>
      <c r="U583" s="28" t="s">
        <v>75</v>
      </c>
      <c r="V583" s="28" t="s">
        <v>75</v>
      </c>
      <c r="W583" s="28"/>
    </row>
    <row r="584" spans="1:23" s="12" customFormat="1" hidden="1">
      <c r="A584" s="46" t="s">
        <v>572</v>
      </c>
      <c r="B584" s="28" t="s">
        <v>1336</v>
      </c>
      <c r="C584" s="28" t="s">
        <v>88</v>
      </c>
      <c r="D584" s="28" t="s">
        <v>318</v>
      </c>
      <c r="E584" s="28" t="s">
        <v>334</v>
      </c>
      <c r="F584" s="28" t="s">
        <v>547</v>
      </c>
      <c r="G584" s="28" t="s">
        <v>547</v>
      </c>
      <c r="H584" s="28" t="s">
        <v>320</v>
      </c>
      <c r="I584" s="28" t="str">
        <f>VLOOKUP(F584,표준용어사전!$B:$D,3,FALSE)</f>
        <v>연월일시분초TS</v>
      </c>
      <c r="J584" s="28" t="s">
        <v>719</v>
      </c>
      <c r="K584" s="27" t="s">
        <v>571</v>
      </c>
      <c r="L584" s="29" t="s">
        <v>571</v>
      </c>
      <c r="M584" s="29" t="s">
        <v>726</v>
      </c>
      <c r="N584" s="29" t="s">
        <v>572</v>
      </c>
      <c r="O584" s="28"/>
      <c r="P584" s="28"/>
      <c r="Q584" s="28" t="s">
        <v>76</v>
      </c>
      <c r="R584" s="29"/>
      <c r="S584" s="28"/>
      <c r="T584" s="28" t="s">
        <v>574</v>
      </c>
      <c r="U584" s="28" t="s">
        <v>75</v>
      </c>
      <c r="V584" s="28" t="s">
        <v>75</v>
      </c>
      <c r="W584" s="28"/>
    </row>
    <row r="585" spans="1:23" s="12" customFormat="1" hidden="1">
      <c r="A585" s="46" t="s">
        <v>572</v>
      </c>
      <c r="B585" s="28" t="s">
        <v>1336</v>
      </c>
      <c r="C585" s="28" t="s">
        <v>88</v>
      </c>
      <c r="D585" s="28" t="s">
        <v>318</v>
      </c>
      <c r="E585" s="28" t="s">
        <v>335</v>
      </c>
      <c r="F585" s="28" t="s">
        <v>548</v>
      </c>
      <c r="G585" s="28" t="s">
        <v>548</v>
      </c>
      <c r="H585" s="28" t="s">
        <v>320</v>
      </c>
      <c r="I585" s="28" t="str">
        <f>VLOOKUP(F585,표준용어사전!$B:$D,3,FALSE)</f>
        <v>명V20</v>
      </c>
      <c r="J585" s="28" t="s">
        <v>718</v>
      </c>
      <c r="K585" s="27">
        <v>20</v>
      </c>
      <c r="L585" s="29" t="s">
        <v>571</v>
      </c>
      <c r="M585" s="29" t="s">
        <v>727</v>
      </c>
      <c r="N585" s="29" t="s">
        <v>572</v>
      </c>
      <c r="O585" s="28"/>
      <c r="P585" s="28"/>
      <c r="Q585" s="28" t="s">
        <v>76</v>
      </c>
      <c r="R585" s="29"/>
      <c r="S585" s="28"/>
      <c r="T585" s="28"/>
      <c r="U585" s="28" t="s">
        <v>75</v>
      </c>
      <c r="V585" s="28" t="s">
        <v>75</v>
      </c>
      <c r="W585" s="28"/>
    </row>
    <row r="586" spans="1:23" s="12" customFormat="1" hidden="1">
      <c r="A586" s="46" t="s">
        <v>572</v>
      </c>
      <c r="B586" s="28" t="s">
        <v>1336</v>
      </c>
      <c r="C586" s="28" t="s">
        <v>88</v>
      </c>
      <c r="D586" s="28" t="s">
        <v>318</v>
      </c>
      <c r="E586" s="28" t="s">
        <v>648</v>
      </c>
      <c r="F586" s="28" t="s">
        <v>780</v>
      </c>
      <c r="G586" s="28" t="s">
        <v>780</v>
      </c>
      <c r="H586" s="28" t="s">
        <v>320</v>
      </c>
      <c r="I586" s="28" t="str">
        <f>VLOOKUP(F586,표준용어사전!$B:$D,3,FALSE)</f>
        <v>여부C1</v>
      </c>
      <c r="J586" s="28" t="s">
        <v>709</v>
      </c>
      <c r="K586" s="27">
        <v>1</v>
      </c>
      <c r="L586" s="29" t="s">
        <v>571</v>
      </c>
      <c r="M586" s="29" t="s">
        <v>722</v>
      </c>
      <c r="N586" s="29" t="s">
        <v>572</v>
      </c>
      <c r="O586" s="28"/>
      <c r="P586" s="28"/>
      <c r="Q586" s="28" t="s">
        <v>76</v>
      </c>
      <c r="R586" s="29"/>
      <c r="S586" s="28"/>
      <c r="T586" s="28" t="s">
        <v>576</v>
      </c>
      <c r="U586" s="28" t="s">
        <v>75</v>
      </c>
      <c r="V586" s="28" t="s">
        <v>75</v>
      </c>
      <c r="W586" s="28"/>
    </row>
    <row r="587" spans="1:23" s="12" customFormat="1" hidden="1">
      <c r="A587" s="46" t="s">
        <v>572</v>
      </c>
      <c r="B587" s="28" t="s">
        <v>1539</v>
      </c>
      <c r="C587" s="28" t="s">
        <v>88</v>
      </c>
      <c r="D587" s="28" t="s">
        <v>584</v>
      </c>
      <c r="E587" s="28" t="s">
        <v>295</v>
      </c>
      <c r="F587" s="28" t="s">
        <v>518</v>
      </c>
      <c r="G587" s="28" t="s">
        <v>518</v>
      </c>
      <c r="H587" s="28" t="s">
        <v>707</v>
      </c>
      <c r="I587" s="28" t="str">
        <f>VLOOKUP(F587,표준용어사전!$B:$D,3,FALSE)</f>
        <v>명V50</v>
      </c>
      <c r="J587" s="28" t="s">
        <v>718</v>
      </c>
      <c r="K587" s="27">
        <v>20</v>
      </c>
      <c r="L587" s="29" t="s">
        <v>571</v>
      </c>
      <c r="M587" s="29" t="s">
        <v>727</v>
      </c>
      <c r="N587" s="29" t="s">
        <v>711</v>
      </c>
      <c r="O587" s="28" t="s">
        <v>641</v>
      </c>
      <c r="P587" s="28"/>
      <c r="Q587" s="28" t="s">
        <v>76</v>
      </c>
      <c r="R587" s="29"/>
      <c r="S587" s="28"/>
      <c r="T587" s="28"/>
      <c r="U587" s="28" t="s">
        <v>75</v>
      </c>
      <c r="V587" s="28" t="s">
        <v>75</v>
      </c>
      <c r="W587" s="28"/>
    </row>
    <row r="588" spans="1:23" s="12" customFormat="1" hidden="1">
      <c r="A588" s="46" t="s">
        <v>572</v>
      </c>
      <c r="B588" s="28" t="s">
        <v>1539</v>
      </c>
      <c r="C588" s="28" t="s">
        <v>88</v>
      </c>
      <c r="D588" s="28" t="s">
        <v>584</v>
      </c>
      <c r="E588" s="28" t="s">
        <v>593</v>
      </c>
      <c r="F588" s="28" t="s">
        <v>896</v>
      </c>
      <c r="G588" s="28" t="s">
        <v>738</v>
      </c>
      <c r="H588" s="28" t="s">
        <v>707</v>
      </c>
      <c r="I588" s="28" t="str">
        <f>VLOOKUP(F588,표준용어사전!$B:$D,3,FALSE)</f>
        <v>코드C4</v>
      </c>
      <c r="J588" s="28" t="s">
        <v>709</v>
      </c>
      <c r="K588" s="27">
        <v>50</v>
      </c>
      <c r="L588" s="29" t="s">
        <v>571</v>
      </c>
      <c r="M588" s="29" t="s">
        <v>725</v>
      </c>
      <c r="N588" s="29" t="s">
        <v>711</v>
      </c>
      <c r="O588" s="28" t="s">
        <v>573</v>
      </c>
      <c r="P588" s="28"/>
      <c r="Q588" s="28" t="s">
        <v>1395</v>
      </c>
      <c r="R588" s="29">
        <v>1</v>
      </c>
      <c r="S588" s="28"/>
      <c r="T588" s="28"/>
      <c r="U588" s="28" t="s">
        <v>75</v>
      </c>
      <c r="V588" s="28" t="s">
        <v>75</v>
      </c>
      <c r="W588" s="28"/>
    </row>
    <row r="589" spans="1:23" s="12" customFormat="1" hidden="1">
      <c r="A589" s="46" t="s">
        <v>572</v>
      </c>
      <c r="B589" s="28" t="s">
        <v>1539</v>
      </c>
      <c r="C589" s="28" t="s">
        <v>88</v>
      </c>
      <c r="D589" s="28" t="s">
        <v>584</v>
      </c>
      <c r="E589" s="28" t="s">
        <v>578</v>
      </c>
      <c r="F589" s="28" t="s">
        <v>580</v>
      </c>
      <c r="G589" s="28" t="s">
        <v>580</v>
      </c>
      <c r="H589" s="28" t="s">
        <v>707</v>
      </c>
      <c r="I589" s="28" t="str">
        <f>VLOOKUP(F589,표준용어사전!$B:$D,3,FALSE)</f>
        <v>명V20</v>
      </c>
      <c r="J589" s="28" t="s">
        <v>718</v>
      </c>
      <c r="K589" s="27">
        <v>20</v>
      </c>
      <c r="L589" s="29" t="s">
        <v>571</v>
      </c>
      <c r="M589" s="29" t="s">
        <v>727</v>
      </c>
      <c r="N589" s="29" t="s">
        <v>711</v>
      </c>
      <c r="O589" s="28" t="s">
        <v>754</v>
      </c>
      <c r="P589" s="28"/>
      <c r="Q589" s="28" t="s">
        <v>76</v>
      </c>
      <c r="R589" s="29"/>
      <c r="S589" s="28"/>
      <c r="T589" s="28"/>
      <c r="U589" s="28" t="s">
        <v>75</v>
      </c>
      <c r="V589" s="28" t="s">
        <v>75</v>
      </c>
      <c r="W589" s="28"/>
    </row>
    <row r="590" spans="1:23" s="12" customFormat="1" hidden="1">
      <c r="A590" s="46" t="s">
        <v>572</v>
      </c>
      <c r="B590" s="28" t="s">
        <v>1539</v>
      </c>
      <c r="C590" s="28" t="s">
        <v>88</v>
      </c>
      <c r="D590" s="28" t="s">
        <v>584</v>
      </c>
      <c r="E590" s="28" t="s">
        <v>90</v>
      </c>
      <c r="F590" s="28" t="s">
        <v>14</v>
      </c>
      <c r="G590" s="28" t="s">
        <v>14</v>
      </c>
      <c r="H590" s="28" t="s">
        <v>707</v>
      </c>
      <c r="I590" s="28" t="str">
        <f>VLOOKUP(F590,표준용어사전!$B:$D,3,FALSE)</f>
        <v>연월일시분초TS</v>
      </c>
      <c r="J590" s="28" t="s">
        <v>16</v>
      </c>
      <c r="K590" s="27" t="s">
        <v>571</v>
      </c>
      <c r="L590" s="29" t="s">
        <v>571</v>
      </c>
      <c r="M590" s="29" t="s">
        <v>726</v>
      </c>
      <c r="N590" s="29" t="s">
        <v>711</v>
      </c>
      <c r="O590" s="28"/>
      <c r="P590" s="28"/>
      <c r="Q590" s="28" t="s">
        <v>76</v>
      </c>
      <c r="R590" s="29"/>
      <c r="S590" s="28"/>
      <c r="T590" s="28" t="s">
        <v>574</v>
      </c>
      <c r="U590" s="28" t="s">
        <v>75</v>
      </c>
      <c r="V590" s="28" t="s">
        <v>75</v>
      </c>
      <c r="W590" s="28"/>
    </row>
    <row r="591" spans="1:23" s="12" customFormat="1" hidden="1">
      <c r="A591" s="46" t="s">
        <v>572</v>
      </c>
      <c r="B591" s="28" t="s">
        <v>1539</v>
      </c>
      <c r="C591" s="28" t="s">
        <v>88</v>
      </c>
      <c r="D591" s="28" t="s">
        <v>584</v>
      </c>
      <c r="E591" s="28" t="s">
        <v>91</v>
      </c>
      <c r="F591" s="28" t="s">
        <v>369</v>
      </c>
      <c r="G591" s="28" t="s">
        <v>369</v>
      </c>
      <c r="H591" s="28" t="s">
        <v>707</v>
      </c>
      <c r="I591" s="28" t="str">
        <f>VLOOKUP(F591,표준용어사전!$B:$D,3,FALSE)</f>
        <v>명V20</v>
      </c>
      <c r="J591" s="28" t="s">
        <v>78</v>
      </c>
      <c r="K591" s="27">
        <v>20</v>
      </c>
      <c r="L591" s="29" t="s">
        <v>571</v>
      </c>
      <c r="M591" s="29" t="s">
        <v>727</v>
      </c>
      <c r="N591" s="29" t="s">
        <v>75</v>
      </c>
      <c r="O591" s="28"/>
      <c r="P591" s="28"/>
      <c r="Q591" s="28" t="s">
        <v>76</v>
      </c>
      <c r="R591" s="29"/>
      <c r="S591" s="28"/>
      <c r="T591" s="28" t="s">
        <v>571</v>
      </c>
      <c r="U591" s="28" t="s">
        <v>75</v>
      </c>
      <c r="V591" s="28" t="s">
        <v>75</v>
      </c>
      <c r="W591" s="28"/>
    </row>
    <row r="592" spans="1:23" s="12" customFormat="1" hidden="1">
      <c r="A592" s="46" t="s">
        <v>572</v>
      </c>
      <c r="B592" s="28" t="s">
        <v>1539</v>
      </c>
      <c r="C592" s="28" t="s">
        <v>88</v>
      </c>
      <c r="D592" s="28" t="s">
        <v>584</v>
      </c>
      <c r="E592" s="28" t="s">
        <v>92</v>
      </c>
      <c r="F592" s="28" t="s">
        <v>1411</v>
      </c>
      <c r="G592" s="28" t="s">
        <v>15</v>
      </c>
      <c r="H592" s="28" t="s">
        <v>707</v>
      </c>
      <c r="I592" s="28" t="str">
        <f>VLOOKUP(F592,표준용어사전!$B:$D,3,FALSE)</f>
        <v>연월일시분초TS</v>
      </c>
      <c r="J592" s="28" t="s">
        <v>16</v>
      </c>
      <c r="K592" s="27" t="s">
        <v>571</v>
      </c>
      <c r="L592" s="29" t="s">
        <v>571</v>
      </c>
      <c r="M592" s="29" t="s">
        <v>726</v>
      </c>
      <c r="N592" s="29" t="s">
        <v>75</v>
      </c>
      <c r="O592" s="28"/>
      <c r="P592" s="28"/>
      <c r="Q592" s="28" t="s">
        <v>76</v>
      </c>
      <c r="R592" s="29"/>
      <c r="S592" s="28"/>
      <c r="T592" s="28" t="s">
        <v>574</v>
      </c>
      <c r="U592" s="28" t="s">
        <v>75</v>
      </c>
      <c r="V592" s="28" t="s">
        <v>75</v>
      </c>
      <c r="W592" s="28"/>
    </row>
    <row r="593" spans="1:23" s="12" customFormat="1" hidden="1">
      <c r="A593" s="46" t="s">
        <v>572</v>
      </c>
      <c r="B593" s="28" t="s">
        <v>1539</v>
      </c>
      <c r="C593" s="28" t="s">
        <v>88</v>
      </c>
      <c r="D593" s="28" t="s">
        <v>584</v>
      </c>
      <c r="E593" s="28" t="s">
        <v>93</v>
      </c>
      <c r="F593" s="28" t="s">
        <v>370</v>
      </c>
      <c r="G593" s="28" t="s">
        <v>370</v>
      </c>
      <c r="H593" s="28" t="s">
        <v>707</v>
      </c>
      <c r="I593" s="28" t="str">
        <f>VLOOKUP(F593,표준용어사전!$B:$D,3,FALSE)</f>
        <v>명V20</v>
      </c>
      <c r="J593" s="28" t="s">
        <v>78</v>
      </c>
      <c r="K593" s="27">
        <v>20</v>
      </c>
      <c r="L593" s="29" t="s">
        <v>571</v>
      </c>
      <c r="M593" s="29" t="s">
        <v>727</v>
      </c>
      <c r="N593" s="29" t="s">
        <v>75</v>
      </c>
      <c r="O593" s="28"/>
      <c r="P593" s="28"/>
      <c r="Q593" s="28" t="s">
        <v>76</v>
      </c>
      <c r="R593" s="29"/>
      <c r="S593" s="28"/>
      <c r="T593" s="28" t="s">
        <v>571</v>
      </c>
      <c r="U593" s="28" t="s">
        <v>75</v>
      </c>
      <c r="V593" s="28" t="s">
        <v>75</v>
      </c>
      <c r="W593" s="28"/>
    </row>
    <row r="594" spans="1:23" s="12" customFormat="1" hidden="1">
      <c r="A594" s="46" t="s">
        <v>572</v>
      </c>
      <c r="B594" s="28" t="s">
        <v>1539</v>
      </c>
      <c r="C594" s="28" t="s">
        <v>88</v>
      </c>
      <c r="D594" s="28" t="s">
        <v>584</v>
      </c>
      <c r="E594" s="40" t="s">
        <v>1345</v>
      </c>
      <c r="F594" s="28" t="s">
        <v>1346</v>
      </c>
      <c r="G594" s="28" t="s">
        <v>1346</v>
      </c>
      <c r="H594" s="28" t="s">
        <v>707</v>
      </c>
      <c r="I594" s="28" t="str">
        <f>VLOOKUP(F594,표준용어사전!$B:$D,3,FALSE)</f>
        <v>수N10,3</v>
      </c>
      <c r="J594" s="28" t="s">
        <v>748</v>
      </c>
      <c r="K594" s="27">
        <v>10</v>
      </c>
      <c r="L594" s="29">
        <v>3</v>
      </c>
      <c r="M594" s="29" t="s">
        <v>775</v>
      </c>
      <c r="N594" s="29" t="s">
        <v>75</v>
      </c>
      <c r="O594" s="28"/>
      <c r="P594" s="28"/>
      <c r="Q594" s="28" t="s">
        <v>76</v>
      </c>
      <c r="R594" s="29"/>
      <c r="S594" s="28"/>
      <c r="T594" s="28" t="s">
        <v>571</v>
      </c>
      <c r="U594" s="28" t="s">
        <v>75</v>
      </c>
      <c r="V594" s="28" t="s">
        <v>75</v>
      </c>
      <c r="W594" s="28"/>
    </row>
    <row r="595" spans="1:23" s="12" customFormat="1" hidden="1">
      <c r="A595" s="46" t="s">
        <v>572</v>
      </c>
      <c r="B595" s="28" t="s">
        <v>1333</v>
      </c>
      <c r="C595" s="28" t="s">
        <v>88</v>
      </c>
      <c r="D595" s="28" t="s">
        <v>684</v>
      </c>
      <c r="E595" s="28" t="s">
        <v>246</v>
      </c>
      <c r="F595" s="28" t="s">
        <v>17</v>
      </c>
      <c r="G595" s="28" t="s">
        <v>17</v>
      </c>
      <c r="H595" s="28" t="s">
        <v>1622</v>
      </c>
      <c r="I595" s="28" t="str">
        <f>VLOOKUP(F595,표준용어사전!$B:$D,3,FALSE)</f>
        <v>명V20</v>
      </c>
      <c r="J595" s="28" t="s">
        <v>718</v>
      </c>
      <c r="K595" s="27">
        <v>20</v>
      </c>
      <c r="L595" s="29"/>
      <c r="M595" s="29" t="s">
        <v>727</v>
      </c>
      <c r="N595" s="29" t="s">
        <v>711</v>
      </c>
      <c r="O595" s="28" t="s">
        <v>641</v>
      </c>
      <c r="P595" s="28"/>
      <c r="Q595" s="28" t="s">
        <v>76</v>
      </c>
      <c r="R595" s="29"/>
      <c r="S595" s="28"/>
      <c r="T595" s="28"/>
      <c r="U595" s="28" t="s">
        <v>75</v>
      </c>
      <c r="V595" s="28" t="s">
        <v>75</v>
      </c>
      <c r="W595" s="28"/>
    </row>
    <row r="596" spans="1:23" s="12" customFormat="1" hidden="1">
      <c r="A596" s="46" t="s">
        <v>572</v>
      </c>
      <c r="B596" s="28" t="s">
        <v>1333</v>
      </c>
      <c r="C596" s="28" t="s">
        <v>88</v>
      </c>
      <c r="D596" s="28" t="s">
        <v>684</v>
      </c>
      <c r="E596" s="28" t="s">
        <v>247</v>
      </c>
      <c r="F596" s="28" t="s">
        <v>781</v>
      </c>
      <c r="G596" s="28" t="s">
        <v>781</v>
      </c>
      <c r="H596" s="28" t="s">
        <v>1622</v>
      </c>
      <c r="I596" s="28" t="e">
        <f>VLOOKUP(F596,표준용어사전!$B:$D,3,FALSE)</f>
        <v>#N/A</v>
      </c>
      <c r="J596" s="28" t="s">
        <v>709</v>
      </c>
      <c r="K596" s="27">
        <v>2</v>
      </c>
      <c r="L596" s="29"/>
      <c r="M596" s="29" t="s">
        <v>766</v>
      </c>
      <c r="N596" s="29" t="s">
        <v>572</v>
      </c>
      <c r="O596" s="28"/>
      <c r="P596" s="28"/>
      <c r="Q596" s="28" t="s">
        <v>76</v>
      </c>
      <c r="R596" s="29"/>
      <c r="S596" s="28"/>
      <c r="T596" s="28"/>
      <c r="U596" s="28" t="s">
        <v>75</v>
      </c>
      <c r="V596" s="28" t="s">
        <v>75</v>
      </c>
      <c r="W596" s="28"/>
    </row>
    <row r="597" spans="1:23" s="12" customFormat="1" hidden="1">
      <c r="A597" s="46" t="s">
        <v>572</v>
      </c>
      <c r="B597" s="28" t="s">
        <v>1333</v>
      </c>
      <c r="C597" s="28" t="s">
        <v>88</v>
      </c>
      <c r="D597" s="28" t="s">
        <v>684</v>
      </c>
      <c r="E597" s="28" t="s">
        <v>248</v>
      </c>
      <c r="F597" s="28" t="s">
        <v>782</v>
      </c>
      <c r="G597" s="28" t="s">
        <v>782</v>
      </c>
      <c r="H597" s="28" t="s">
        <v>1622</v>
      </c>
      <c r="I597" s="28" t="e">
        <f>VLOOKUP(F597,표준용어사전!$B:$D,3,FALSE)</f>
        <v>#N/A</v>
      </c>
      <c r="J597" s="28" t="s">
        <v>709</v>
      </c>
      <c r="K597" s="27">
        <v>2</v>
      </c>
      <c r="L597" s="29"/>
      <c r="M597" s="29" t="s">
        <v>766</v>
      </c>
      <c r="N597" s="29" t="s">
        <v>572</v>
      </c>
      <c r="O597" s="28"/>
      <c r="P597" s="28"/>
      <c r="Q597" s="28" t="s">
        <v>76</v>
      </c>
      <c r="R597" s="29"/>
      <c r="S597" s="28"/>
      <c r="T597" s="28"/>
      <c r="U597" s="28" t="s">
        <v>75</v>
      </c>
      <c r="V597" s="28" t="s">
        <v>75</v>
      </c>
      <c r="W597" s="28"/>
    </row>
    <row r="598" spans="1:23" s="12" customFormat="1" hidden="1">
      <c r="A598" s="46" t="s">
        <v>572</v>
      </c>
      <c r="B598" s="28" t="s">
        <v>1333</v>
      </c>
      <c r="C598" s="28" t="s">
        <v>88</v>
      </c>
      <c r="D598" s="28" t="s">
        <v>684</v>
      </c>
      <c r="E598" s="28" t="s">
        <v>249</v>
      </c>
      <c r="F598" s="28" t="s">
        <v>783</v>
      </c>
      <c r="G598" s="28" t="s">
        <v>783</v>
      </c>
      <c r="H598" s="28" t="s">
        <v>1622</v>
      </c>
      <c r="I598" s="28" t="e">
        <f>VLOOKUP(F598,표준용어사전!$B:$D,3,FALSE)</f>
        <v>#N/A</v>
      </c>
      <c r="J598" s="28" t="s">
        <v>709</v>
      </c>
      <c r="K598" s="27">
        <v>2</v>
      </c>
      <c r="L598" s="29"/>
      <c r="M598" s="29" t="s">
        <v>766</v>
      </c>
      <c r="N598" s="29" t="s">
        <v>572</v>
      </c>
      <c r="O598" s="28"/>
      <c r="P598" s="28"/>
      <c r="Q598" s="28" t="s">
        <v>76</v>
      </c>
      <c r="R598" s="29"/>
      <c r="S598" s="28"/>
      <c r="T598" s="28"/>
      <c r="U598" s="28" t="s">
        <v>75</v>
      </c>
      <c r="V598" s="28" t="s">
        <v>75</v>
      </c>
      <c r="W598" s="28"/>
    </row>
    <row r="599" spans="1:23" s="12" customFormat="1" hidden="1">
      <c r="A599" s="46" t="s">
        <v>572</v>
      </c>
      <c r="B599" s="28" t="s">
        <v>1333</v>
      </c>
      <c r="C599" s="28" t="s">
        <v>88</v>
      </c>
      <c r="D599" s="28" t="s">
        <v>684</v>
      </c>
      <c r="E599" s="28" t="s">
        <v>250</v>
      </c>
      <c r="F599" s="28" t="s">
        <v>483</v>
      </c>
      <c r="G599" s="28" t="s">
        <v>483</v>
      </c>
      <c r="H599" s="28" t="s">
        <v>1622</v>
      </c>
      <c r="I599" s="28" t="str">
        <f>VLOOKUP(F599,표준용어사전!$B:$D,3,FALSE)</f>
        <v>연월일시분초TS</v>
      </c>
      <c r="J599" s="28" t="s">
        <v>16</v>
      </c>
      <c r="K599" s="27" t="s">
        <v>571</v>
      </c>
      <c r="L599" s="29"/>
      <c r="M599" s="29" t="s">
        <v>726</v>
      </c>
      <c r="N599" s="29" t="s">
        <v>572</v>
      </c>
      <c r="O599" s="28"/>
      <c r="P599" s="28"/>
      <c r="Q599" s="28" t="s">
        <v>76</v>
      </c>
      <c r="R599" s="29"/>
      <c r="S599" s="28"/>
      <c r="T599" s="28" t="s">
        <v>574</v>
      </c>
      <c r="U599" s="28" t="s">
        <v>75</v>
      </c>
      <c r="V599" s="28" t="s">
        <v>75</v>
      </c>
      <c r="W599" s="28"/>
    </row>
    <row r="600" spans="1:23" s="12" customFormat="1" hidden="1">
      <c r="A600" s="46" t="s">
        <v>572</v>
      </c>
      <c r="B600" s="28" t="s">
        <v>1333</v>
      </c>
      <c r="C600" s="28" t="s">
        <v>88</v>
      </c>
      <c r="D600" s="28" t="s">
        <v>684</v>
      </c>
      <c r="E600" s="28" t="s">
        <v>859</v>
      </c>
      <c r="F600" s="28" t="s">
        <v>784</v>
      </c>
      <c r="G600" s="28" t="s">
        <v>784</v>
      </c>
      <c r="H600" s="28" t="s">
        <v>1622</v>
      </c>
      <c r="I600" s="28" t="str">
        <f>VLOOKUP(F600,표준용어사전!$B:$D,3,FALSE)</f>
        <v>번호N10</v>
      </c>
      <c r="J600" s="28" t="s">
        <v>748</v>
      </c>
      <c r="K600" s="27">
        <v>10</v>
      </c>
      <c r="L600" s="29"/>
      <c r="M600" s="29">
        <v>9999999999</v>
      </c>
      <c r="N600" s="29" t="s">
        <v>572</v>
      </c>
      <c r="O600" s="28"/>
      <c r="P600" s="28"/>
      <c r="Q600" s="28" t="s">
        <v>76</v>
      </c>
      <c r="R600" s="29"/>
      <c r="S600" s="28"/>
      <c r="T600" s="28"/>
      <c r="U600" s="28" t="s">
        <v>75</v>
      </c>
      <c r="V600" s="28" t="s">
        <v>75</v>
      </c>
      <c r="W600" s="28"/>
    </row>
    <row r="601" spans="1:23" s="12" customFormat="1" hidden="1">
      <c r="A601" s="46" t="s">
        <v>572</v>
      </c>
      <c r="B601" s="28" t="s">
        <v>1333</v>
      </c>
      <c r="C601" s="28" t="s">
        <v>88</v>
      </c>
      <c r="D601" s="28" t="s">
        <v>684</v>
      </c>
      <c r="E601" s="28" t="s">
        <v>860</v>
      </c>
      <c r="F601" s="28" t="s">
        <v>785</v>
      </c>
      <c r="G601" s="28" t="s">
        <v>785</v>
      </c>
      <c r="H601" s="28" t="s">
        <v>1622</v>
      </c>
      <c r="I601" s="28" t="str">
        <f>VLOOKUP(F601,표준용어사전!$B:$D,3,FALSE)</f>
        <v>연월일시분초TS</v>
      </c>
      <c r="J601" s="28" t="s">
        <v>16</v>
      </c>
      <c r="K601" s="27" t="s">
        <v>571</v>
      </c>
      <c r="L601" s="29"/>
      <c r="M601" s="29" t="s">
        <v>726</v>
      </c>
      <c r="N601" s="29" t="s">
        <v>572</v>
      </c>
      <c r="O601" s="28"/>
      <c r="P601" s="28"/>
      <c r="Q601" s="28" t="s">
        <v>76</v>
      </c>
      <c r="R601" s="29"/>
      <c r="S601" s="28"/>
      <c r="T601" s="28" t="s">
        <v>574</v>
      </c>
      <c r="U601" s="28" t="s">
        <v>75</v>
      </c>
      <c r="V601" s="28" t="s">
        <v>75</v>
      </c>
      <c r="W601" s="28"/>
    </row>
    <row r="602" spans="1:23" s="12" customFormat="1" hidden="1">
      <c r="A602" s="46" t="s">
        <v>572</v>
      </c>
      <c r="B602" s="28" t="s">
        <v>1333</v>
      </c>
      <c r="C602" s="28" t="s">
        <v>88</v>
      </c>
      <c r="D602" s="28" t="s">
        <v>684</v>
      </c>
      <c r="E602" s="28" t="s">
        <v>861</v>
      </c>
      <c r="F602" s="28" t="s">
        <v>786</v>
      </c>
      <c r="G602" s="28" t="s">
        <v>786</v>
      </c>
      <c r="H602" s="28" t="s">
        <v>1622</v>
      </c>
      <c r="I602" s="28" t="str">
        <f>VLOOKUP(F602,표준용어사전!$B:$D,3,FALSE)</f>
        <v>연월일시분초TS</v>
      </c>
      <c r="J602" s="28" t="s">
        <v>16</v>
      </c>
      <c r="K602" s="27" t="s">
        <v>571</v>
      </c>
      <c r="L602" s="29"/>
      <c r="M602" s="29" t="s">
        <v>726</v>
      </c>
      <c r="N602" s="29" t="s">
        <v>572</v>
      </c>
      <c r="O602" s="28"/>
      <c r="P602" s="28"/>
      <c r="Q602" s="28" t="s">
        <v>76</v>
      </c>
      <c r="R602" s="29"/>
      <c r="S602" s="28"/>
      <c r="T602" s="28" t="s">
        <v>574</v>
      </c>
      <c r="U602" s="28" t="s">
        <v>75</v>
      </c>
      <c r="V602" s="28" t="s">
        <v>75</v>
      </c>
      <c r="W602" s="28"/>
    </row>
    <row r="603" spans="1:23" s="12" customFormat="1" hidden="1">
      <c r="A603" s="46" t="s">
        <v>572</v>
      </c>
      <c r="B603" s="28" t="s">
        <v>1333</v>
      </c>
      <c r="C603" s="28" t="s">
        <v>88</v>
      </c>
      <c r="D603" s="28" t="s">
        <v>684</v>
      </c>
      <c r="E603" s="28" t="s">
        <v>90</v>
      </c>
      <c r="F603" s="28" t="s">
        <v>14</v>
      </c>
      <c r="G603" s="28" t="s">
        <v>14</v>
      </c>
      <c r="H603" s="28" t="s">
        <v>1622</v>
      </c>
      <c r="I603" s="28" t="str">
        <f>VLOOKUP(F603,표준용어사전!$B:$D,3,FALSE)</f>
        <v>연월일시분초TS</v>
      </c>
      <c r="J603" s="28" t="s">
        <v>16</v>
      </c>
      <c r="K603" s="27" t="s">
        <v>571</v>
      </c>
      <c r="L603" s="29" t="s">
        <v>571</v>
      </c>
      <c r="M603" s="29" t="s">
        <v>726</v>
      </c>
      <c r="N603" s="29" t="s">
        <v>711</v>
      </c>
      <c r="O603" s="28"/>
      <c r="P603" s="28"/>
      <c r="Q603" s="28" t="s">
        <v>76</v>
      </c>
      <c r="R603" s="29"/>
      <c r="S603" s="28"/>
      <c r="T603" s="28" t="s">
        <v>574</v>
      </c>
      <c r="U603" s="28" t="s">
        <v>75</v>
      </c>
      <c r="V603" s="28" t="s">
        <v>75</v>
      </c>
      <c r="W603" s="28"/>
    </row>
    <row r="604" spans="1:23" s="12" customFormat="1" hidden="1">
      <c r="A604" s="46" t="s">
        <v>572</v>
      </c>
      <c r="B604" s="28" t="s">
        <v>1333</v>
      </c>
      <c r="C604" s="28" t="s">
        <v>88</v>
      </c>
      <c r="D604" s="28" t="s">
        <v>684</v>
      </c>
      <c r="E604" s="28" t="s">
        <v>91</v>
      </c>
      <c r="F604" s="28" t="s">
        <v>369</v>
      </c>
      <c r="G604" s="28" t="s">
        <v>369</v>
      </c>
      <c r="H604" s="28" t="s">
        <v>1622</v>
      </c>
      <c r="I604" s="28" t="str">
        <f>VLOOKUP(F604,표준용어사전!$B:$D,3,FALSE)</f>
        <v>명V20</v>
      </c>
      <c r="J604" s="28" t="s">
        <v>78</v>
      </c>
      <c r="K604" s="27">
        <v>20</v>
      </c>
      <c r="L604" s="29" t="s">
        <v>571</v>
      </c>
      <c r="M604" s="29" t="s">
        <v>727</v>
      </c>
      <c r="N604" s="29" t="s">
        <v>75</v>
      </c>
      <c r="O604" s="28"/>
      <c r="P604" s="28"/>
      <c r="Q604" s="28" t="s">
        <v>76</v>
      </c>
      <c r="R604" s="29"/>
      <c r="S604" s="28"/>
      <c r="T604" s="28" t="s">
        <v>571</v>
      </c>
      <c r="U604" s="28" t="s">
        <v>75</v>
      </c>
      <c r="V604" s="28" t="s">
        <v>75</v>
      </c>
      <c r="W604" s="28"/>
    </row>
    <row r="605" spans="1:23" s="12" customFormat="1" hidden="1">
      <c r="A605" s="46" t="s">
        <v>572</v>
      </c>
      <c r="B605" s="28" t="s">
        <v>1333</v>
      </c>
      <c r="C605" s="28" t="s">
        <v>88</v>
      </c>
      <c r="D605" s="28" t="s">
        <v>685</v>
      </c>
      <c r="E605" s="28" t="s">
        <v>251</v>
      </c>
      <c r="F605" s="28" t="s">
        <v>484</v>
      </c>
      <c r="G605" s="28" t="s">
        <v>484</v>
      </c>
      <c r="H605" s="28" t="s">
        <v>1623</v>
      </c>
      <c r="I605" s="28" t="str">
        <f>VLOOKUP(F605,표준용어사전!$B:$D,3,FALSE)</f>
        <v>번호I</v>
      </c>
      <c r="J605" s="28" t="s">
        <v>717</v>
      </c>
      <c r="K605" s="27" t="s">
        <v>571</v>
      </c>
      <c r="L605" s="29" t="s">
        <v>571</v>
      </c>
      <c r="M605" s="29"/>
      <c r="N605" s="29" t="s">
        <v>711</v>
      </c>
      <c r="O605" s="28" t="s">
        <v>641</v>
      </c>
      <c r="P605" s="28"/>
      <c r="Q605" s="28" t="s">
        <v>76</v>
      </c>
      <c r="R605" s="29"/>
      <c r="S605" s="28"/>
      <c r="T605" s="28"/>
      <c r="U605" s="28" t="s">
        <v>75</v>
      </c>
      <c r="V605" s="28" t="s">
        <v>75</v>
      </c>
      <c r="W605" s="28"/>
    </row>
    <row r="606" spans="1:23" s="12" customFormat="1" hidden="1">
      <c r="A606" s="46" t="s">
        <v>572</v>
      </c>
      <c r="B606" s="28" t="s">
        <v>1333</v>
      </c>
      <c r="C606" s="28" t="s">
        <v>88</v>
      </c>
      <c r="D606" s="28" t="s">
        <v>685</v>
      </c>
      <c r="E606" s="28" t="s">
        <v>246</v>
      </c>
      <c r="F606" s="28" t="s">
        <v>17</v>
      </c>
      <c r="G606" s="28" t="s">
        <v>17</v>
      </c>
      <c r="H606" s="28" t="s">
        <v>1623</v>
      </c>
      <c r="I606" s="28" t="str">
        <f>VLOOKUP(F606,표준용어사전!$B:$D,3,FALSE)</f>
        <v>명V20</v>
      </c>
      <c r="J606" s="28" t="s">
        <v>718</v>
      </c>
      <c r="K606" s="27">
        <v>20</v>
      </c>
      <c r="L606" s="29" t="s">
        <v>571</v>
      </c>
      <c r="M606" s="29" t="s">
        <v>727</v>
      </c>
      <c r="N606" s="29" t="s">
        <v>711</v>
      </c>
      <c r="O606" s="28"/>
      <c r="P606" s="28"/>
      <c r="Q606" s="28" t="s">
        <v>76</v>
      </c>
      <c r="R606" s="29"/>
      <c r="S606" s="28"/>
      <c r="T606" s="28"/>
      <c r="U606" s="28" t="s">
        <v>75</v>
      </c>
      <c r="V606" s="28" t="s">
        <v>75</v>
      </c>
      <c r="W606" s="28"/>
    </row>
    <row r="607" spans="1:23" s="12" customFormat="1" hidden="1">
      <c r="A607" s="46" t="s">
        <v>572</v>
      </c>
      <c r="B607" s="28" t="s">
        <v>1333</v>
      </c>
      <c r="C607" s="28" t="s">
        <v>88</v>
      </c>
      <c r="D607" s="28" t="s">
        <v>685</v>
      </c>
      <c r="E607" s="28" t="s">
        <v>252</v>
      </c>
      <c r="F607" s="28" t="s">
        <v>77</v>
      </c>
      <c r="G607" s="28" t="s">
        <v>77</v>
      </c>
      <c r="H607" s="28" t="s">
        <v>1623</v>
      </c>
      <c r="I607" s="28" t="str">
        <f>VLOOKUP(F607,표준용어사전!$B:$D,3,FALSE)</f>
        <v>내용TXT</v>
      </c>
      <c r="J607" s="28" t="s">
        <v>713</v>
      </c>
      <c r="K607" s="27" t="s">
        <v>571</v>
      </c>
      <c r="L607" s="29" t="s">
        <v>571</v>
      </c>
      <c r="M607" s="29"/>
      <c r="N607" s="29" t="s">
        <v>572</v>
      </c>
      <c r="O607" s="28"/>
      <c r="P607" s="28"/>
      <c r="Q607" s="28" t="s">
        <v>76</v>
      </c>
      <c r="R607" s="29"/>
      <c r="S607" s="28"/>
      <c r="T607" s="28"/>
      <c r="U607" s="28" t="s">
        <v>75</v>
      </c>
      <c r="V607" s="28" t="s">
        <v>75</v>
      </c>
      <c r="W607" s="28"/>
    </row>
    <row r="608" spans="1:23" s="12" customFormat="1" hidden="1">
      <c r="A608" s="46" t="s">
        <v>572</v>
      </c>
      <c r="B608" s="28" t="s">
        <v>1333</v>
      </c>
      <c r="C608" s="28" t="s">
        <v>88</v>
      </c>
      <c r="D608" s="28" t="s">
        <v>685</v>
      </c>
      <c r="E608" s="28" t="s">
        <v>90</v>
      </c>
      <c r="F608" s="28" t="s">
        <v>14</v>
      </c>
      <c r="G608" s="28" t="s">
        <v>14</v>
      </c>
      <c r="H608" s="28" t="s">
        <v>1623</v>
      </c>
      <c r="I608" s="28" t="str">
        <f>VLOOKUP(F608,표준용어사전!$B:$D,3,FALSE)</f>
        <v>연월일시분초TS</v>
      </c>
      <c r="J608" s="28" t="s">
        <v>16</v>
      </c>
      <c r="K608" s="27" t="s">
        <v>571</v>
      </c>
      <c r="L608" s="29" t="s">
        <v>571</v>
      </c>
      <c r="M608" s="29" t="s">
        <v>726</v>
      </c>
      <c r="N608" s="29" t="s">
        <v>711</v>
      </c>
      <c r="O608" s="28"/>
      <c r="P608" s="28"/>
      <c r="Q608" s="28" t="s">
        <v>76</v>
      </c>
      <c r="R608" s="29"/>
      <c r="S608" s="28"/>
      <c r="T608" s="28" t="s">
        <v>574</v>
      </c>
      <c r="U608" s="28" t="s">
        <v>75</v>
      </c>
      <c r="V608" s="28" t="s">
        <v>75</v>
      </c>
      <c r="W608" s="28"/>
    </row>
    <row r="609" spans="1:23" s="12" customFormat="1" hidden="1">
      <c r="A609" s="46" t="s">
        <v>572</v>
      </c>
      <c r="B609" s="28" t="s">
        <v>1333</v>
      </c>
      <c r="C609" s="28" t="s">
        <v>88</v>
      </c>
      <c r="D609" s="28" t="s">
        <v>685</v>
      </c>
      <c r="E609" s="28" t="s">
        <v>91</v>
      </c>
      <c r="F609" s="28" t="s">
        <v>369</v>
      </c>
      <c r="G609" s="28" t="s">
        <v>369</v>
      </c>
      <c r="H609" s="28" t="s">
        <v>1623</v>
      </c>
      <c r="I609" s="28" t="str">
        <f>VLOOKUP(F609,표준용어사전!$B:$D,3,FALSE)</f>
        <v>명V20</v>
      </c>
      <c r="J609" s="28" t="s">
        <v>78</v>
      </c>
      <c r="K609" s="27">
        <v>20</v>
      </c>
      <c r="L609" s="29" t="s">
        <v>571</v>
      </c>
      <c r="M609" s="29" t="s">
        <v>727</v>
      </c>
      <c r="N609" s="29" t="s">
        <v>75</v>
      </c>
      <c r="O609" s="28"/>
      <c r="P609" s="28"/>
      <c r="Q609" s="28" t="s">
        <v>76</v>
      </c>
      <c r="R609" s="29"/>
      <c r="S609" s="28"/>
      <c r="T609" s="28" t="s">
        <v>571</v>
      </c>
      <c r="U609" s="28" t="s">
        <v>75</v>
      </c>
      <c r="V609" s="28" t="s">
        <v>75</v>
      </c>
      <c r="W609" s="28"/>
    </row>
    <row r="610" spans="1:23" s="12" customFormat="1" hidden="1">
      <c r="A610" s="46" t="s">
        <v>572</v>
      </c>
      <c r="B610" s="28" t="s">
        <v>1337</v>
      </c>
      <c r="C610" s="28" t="s">
        <v>88</v>
      </c>
      <c r="D610" s="28" t="s">
        <v>686</v>
      </c>
      <c r="E610" s="28" t="s">
        <v>862</v>
      </c>
      <c r="F610" s="28" t="s">
        <v>1597</v>
      </c>
      <c r="G610" s="28" t="s">
        <v>1597</v>
      </c>
      <c r="H610" s="28" t="s">
        <v>1598</v>
      </c>
      <c r="I610" s="28" t="str">
        <f>VLOOKUP(F610,표준용어사전!$B:$D,3,FALSE)</f>
        <v>명V20</v>
      </c>
      <c r="J610" s="28" t="s">
        <v>718</v>
      </c>
      <c r="K610" s="27">
        <v>20</v>
      </c>
      <c r="L610" s="29" t="s">
        <v>571</v>
      </c>
      <c r="M610" s="29" t="s">
        <v>727</v>
      </c>
      <c r="N610" s="29" t="s">
        <v>711</v>
      </c>
      <c r="O610" s="28" t="s">
        <v>641</v>
      </c>
      <c r="P610" s="28"/>
      <c r="Q610" s="28" t="s">
        <v>76</v>
      </c>
      <c r="R610" s="29"/>
      <c r="S610" s="28"/>
      <c r="T610" s="28"/>
      <c r="U610" s="28" t="s">
        <v>75</v>
      </c>
      <c r="V610" s="28" t="s">
        <v>75</v>
      </c>
      <c r="W610" s="28"/>
    </row>
    <row r="611" spans="1:23" s="12" customFormat="1" hidden="1">
      <c r="A611" s="46" t="s">
        <v>572</v>
      </c>
      <c r="B611" s="28" t="s">
        <v>1337</v>
      </c>
      <c r="C611" s="28" t="s">
        <v>88</v>
      </c>
      <c r="D611" s="28" t="s">
        <v>686</v>
      </c>
      <c r="E611" s="28" t="s">
        <v>863</v>
      </c>
      <c r="F611" s="28" t="s">
        <v>1625</v>
      </c>
      <c r="G611" s="28" t="s">
        <v>1625</v>
      </c>
      <c r="H611" s="28" t="s">
        <v>1598</v>
      </c>
      <c r="I611" s="28" t="e">
        <f>VLOOKUP(F611,표준용어사전!$B:$D,3,FALSE)</f>
        <v>#N/A</v>
      </c>
      <c r="J611" s="28" t="s">
        <v>718</v>
      </c>
      <c r="K611" s="27">
        <v>23</v>
      </c>
      <c r="L611" s="29" t="s">
        <v>571</v>
      </c>
      <c r="M611" s="29" t="s">
        <v>788</v>
      </c>
      <c r="N611" s="29" t="s">
        <v>572</v>
      </c>
      <c r="O611" s="28"/>
      <c r="P611" s="28"/>
      <c r="Q611" s="28" t="s">
        <v>76</v>
      </c>
      <c r="R611" s="29"/>
      <c r="S611" s="28"/>
      <c r="T611" s="28"/>
      <c r="U611" s="28" t="s">
        <v>75</v>
      </c>
      <c r="V611" s="28" t="s">
        <v>75</v>
      </c>
      <c r="W611" s="28"/>
    </row>
    <row r="612" spans="1:23" s="12" customFormat="1" hidden="1">
      <c r="A612" s="46" t="s">
        <v>572</v>
      </c>
      <c r="B612" s="28" t="s">
        <v>1337</v>
      </c>
      <c r="C612" s="28" t="s">
        <v>88</v>
      </c>
      <c r="D612" s="28" t="s">
        <v>686</v>
      </c>
      <c r="E612" s="28" t="s">
        <v>864</v>
      </c>
      <c r="F612" s="28" t="s">
        <v>787</v>
      </c>
      <c r="G612" s="28" t="s">
        <v>787</v>
      </c>
      <c r="H612" s="28" t="s">
        <v>1598</v>
      </c>
      <c r="I612" s="28" t="str">
        <f>VLOOKUP(F612,표준용어사전!$B:$D,3,FALSE)</f>
        <v>명V20</v>
      </c>
      <c r="J612" s="28" t="s">
        <v>718</v>
      </c>
      <c r="K612" s="27">
        <v>20</v>
      </c>
      <c r="L612" s="29" t="s">
        <v>571</v>
      </c>
      <c r="M612" s="29" t="s">
        <v>727</v>
      </c>
      <c r="N612" s="29" t="s">
        <v>572</v>
      </c>
      <c r="O612" s="28"/>
      <c r="P612" s="28"/>
      <c r="Q612" s="28" t="s">
        <v>76</v>
      </c>
      <c r="R612" s="29"/>
      <c r="S612" s="28"/>
      <c r="T612" s="28"/>
      <c r="U612" s="28" t="s">
        <v>75</v>
      </c>
      <c r="V612" s="28" t="s">
        <v>75</v>
      </c>
      <c r="W612" s="28"/>
    </row>
    <row r="613" spans="1:23" s="12" customFormat="1" hidden="1">
      <c r="A613" s="46" t="s">
        <v>572</v>
      </c>
      <c r="B613" s="28" t="s">
        <v>1337</v>
      </c>
      <c r="C613" s="28" t="s">
        <v>88</v>
      </c>
      <c r="D613" s="28" t="s">
        <v>686</v>
      </c>
      <c r="E613" s="28" t="s">
        <v>593</v>
      </c>
      <c r="F613" s="28" t="s">
        <v>896</v>
      </c>
      <c r="G613" s="38" t="s">
        <v>738</v>
      </c>
      <c r="H613" s="28" t="s">
        <v>1598</v>
      </c>
      <c r="I613" s="28" t="str">
        <f>VLOOKUP(F613,표준용어사전!$B:$D,3,FALSE)</f>
        <v>코드C4</v>
      </c>
      <c r="J613" s="28" t="s">
        <v>709</v>
      </c>
      <c r="K613" s="27">
        <v>50</v>
      </c>
      <c r="L613" s="29" t="s">
        <v>571</v>
      </c>
      <c r="M613" s="29" t="s">
        <v>725</v>
      </c>
      <c r="N613" s="29" t="s">
        <v>711</v>
      </c>
      <c r="O613" s="28"/>
      <c r="P613" s="28"/>
      <c r="Q613" s="28" t="s">
        <v>76</v>
      </c>
      <c r="R613" s="29"/>
      <c r="S613" s="28"/>
      <c r="T613" s="28"/>
      <c r="U613" s="28" t="s">
        <v>75</v>
      </c>
      <c r="V613" s="28" t="s">
        <v>75</v>
      </c>
      <c r="W613" s="28"/>
    </row>
    <row r="614" spans="1:23" s="12" customFormat="1" hidden="1">
      <c r="A614" s="46" t="s">
        <v>572</v>
      </c>
      <c r="B614" s="28" t="s">
        <v>1337</v>
      </c>
      <c r="C614" s="28" t="s">
        <v>88</v>
      </c>
      <c r="D614" s="28" t="s">
        <v>686</v>
      </c>
      <c r="E614" s="28" t="s">
        <v>578</v>
      </c>
      <c r="F614" s="28" t="s">
        <v>580</v>
      </c>
      <c r="G614" s="28" t="s">
        <v>580</v>
      </c>
      <c r="H614" s="28" t="s">
        <v>1598</v>
      </c>
      <c r="I614" s="28" t="str">
        <f>VLOOKUP(F614,표준용어사전!$B:$D,3,FALSE)</f>
        <v>명V20</v>
      </c>
      <c r="J614" s="28" t="s">
        <v>718</v>
      </c>
      <c r="K614" s="27">
        <v>20</v>
      </c>
      <c r="L614" s="29" t="s">
        <v>571</v>
      </c>
      <c r="M614" s="29" t="s">
        <v>727</v>
      </c>
      <c r="N614" s="29" t="s">
        <v>711</v>
      </c>
      <c r="O614" s="28"/>
      <c r="P614" s="28"/>
      <c r="Q614" s="28" t="s">
        <v>76</v>
      </c>
      <c r="R614" s="29"/>
      <c r="S614" s="28"/>
      <c r="T614" s="28"/>
      <c r="U614" s="28" t="s">
        <v>75</v>
      </c>
      <c r="V614" s="28" t="s">
        <v>75</v>
      </c>
      <c r="W614" s="28"/>
    </row>
    <row r="615" spans="1:23" s="12" customFormat="1" hidden="1">
      <c r="A615" s="46" t="s">
        <v>572</v>
      </c>
      <c r="B615" s="28" t="s">
        <v>1337</v>
      </c>
      <c r="C615" s="28" t="s">
        <v>88</v>
      </c>
      <c r="D615" s="28" t="s">
        <v>686</v>
      </c>
      <c r="E615" s="28" t="s">
        <v>90</v>
      </c>
      <c r="F615" s="28" t="s">
        <v>14</v>
      </c>
      <c r="G615" s="28" t="s">
        <v>14</v>
      </c>
      <c r="H615" s="28" t="s">
        <v>1598</v>
      </c>
      <c r="I615" s="28" t="str">
        <f>VLOOKUP(F615,표준용어사전!$B:$D,3,FALSE)</f>
        <v>연월일시분초TS</v>
      </c>
      <c r="J615" s="28" t="s">
        <v>16</v>
      </c>
      <c r="K615" s="27" t="s">
        <v>571</v>
      </c>
      <c r="L615" s="29" t="s">
        <v>571</v>
      </c>
      <c r="M615" s="29" t="s">
        <v>726</v>
      </c>
      <c r="N615" s="29" t="s">
        <v>711</v>
      </c>
      <c r="O615" s="28"/>
      <c r="P615" s="28"/>
      <c r="Q615" s="28" t="s">
        <v>76</v>
      </c>
      <c r="R615" s="29"/>
      <c r="S615" s="28"/>
      <c r="T615" s="28" t="s">
        <v>574</v>
      </c>
      <c r="U615" s="28" t="s">
        <v>75</v>
      </c>
      <c r="V615" s="28" t="s">
        <v>75</v>
      </c>
      <c r="W615" s="28"/>
    </row>
    <row r="616" spans="1:23" s="12" customFormat="1" hidden="1">
      <c r="A616" s="46" t="s">
        <v>572</v>
      </c>
      <c r="B616" s="28" t="s">
        <v>1333</v>
      </c>
      <c r="C616" s="28" t="s">
        <v>88</v>
      </c>
      <c r="D616" s="28" t="s">
        <v>687</v>
      </c>
      <c r="E616" s="28" t="s">
        <v>865</v>
      </c>
      <c r="F616" s="28" t="s">
        <v>789</v>
      </c>
      <c r="G616" s="28" t="s">
        <v>789</v>
      </c>
      <c r="H616" s="28" t="s">
        <v>708</v>
      </c>
      <c r="I616" s="28" t="str">
        <f>VLOOKUP(F616,표준용어사전!$B:$D,3,FALSE)</f>
        <v>번호I</v>
      </c>
      <c r="J616" s="28" t="s">
        <v>717</v>
      </c>
      <c r="K616" s="27" t="s">
        <v>571</v>
      </c>
      <c r="L616" s="29" t="s">
        <v>571</v>
      </c>
      <c r="M616" s="29"/>
      <c r="N616" s="29" t="s">
        <v>711</v>
      </c>
      <c r="O616" s="28" t="s">
        <v>641</v>
      </c>
      <c r="P616" s="28"/>
      <c r="Q616" s="28" t="s">
        <v>76</v>
      </c>
      <c r="R616" s="29"/>
      <c r="S616" s="28"/>
      <c r="T616" s="28"/>
      <c r="U616" s="28" t="s">
        <v>75</v>
      </c>
      <c r="V616" s="28" t="s">
        <v>75</v>
      </c>
      <c r="W616" s="28"/>
    </row>
    <row r="617" spans="1:23" s="12" customFormat="1" hidden="1">
      <c r="A617" s="46" t="s">
        <v>572</v>
      </c>
      <c r="B617" s="28" t="s">
        <v>1333</v>
      </c>
      <c r="C617" s="28" t="s">
        <v>88</v>
      </c>
      <c r="D617" s="28" t="s">
        <v>687</v>
      </c>
      <c r="E617" s="28" t="s">
        <v>243</v>
      </c>
      <c r="F617" s="28" t="s">
        <v>790</v>
      </c>
      <c r="G617" s="28" t="s">
        <v>790</v>
      </c>
      <c r="H617" s="28" t="s">
        <v>708</v>
      </c>
      <c r="I617" s="28" t="e">
        <f>VLOOKUP(F617,표준용어사전!$B:$D,3,FALSE)</f>
        <v>#N/A</v>
      </c>
      <c r="J617" s="28" t="s">
        <v>709</v>
      </c>
      <c r="K617" s="27">
        <v>2</v>
      </c>
      <c r="L617" s="29" t="s">
        <v>571</v>
      </c>
      <c r="M617" s="29" t="s">
        <v>766</v>
      </c>
      <c r="N617" s="29" t="s">
        <v>572</v>
      </c>
      <c r="O617" s="28"/>
      <c r="P617" s="28"/>
      <c r="Q617" s="28" t="s">
        <v>76</v>
      </c>
      <c r="R617" s="29"/>
      <c r="S617" s="28"/>
      <c r="T617" s="28"/>
      <c r="U617" s="28" t="s">
        <v>75</v>
      </c>
      <c r="V617" s="28" t="s">
        <v>75</v>
      </c>
      <c r="W617" s="28"/>
    </row>
    <row r="618" spans="1:23" s="12" customFormat="1" hidden="1">
      <c r="A618" s="46" t="s">
        <v>572</v>
      </c>
      <c r="B618" s="28" t="s">
        <v>1333</v>
      </c>
      <c r="C618" s="28" t="s">
        <v>88</v>
      </c>
      <c r="D618" s="28" t="s">
        <v>687</v>
      </c>
      <c r="E618" s="28" t="s">
        <v>244</v>
      </c>
      <c r="F618" s="28" t="s">
        <v>791</v>
      </c>
      <c r="G618" s="28" t="s">
        <v>791</v>
      </c>
      <c r="H618" s="28" t="s">
        <v>708</v>
      </c>
      <c r="I618" s="28" t="e">
        <f>VLOOKUP(F618,표준용어사전!$B:$D,3,FALSE)</f>
        <v>#N/A</v>
      </c>
      <c r="J618" s="28" t="s">
        <v>709</v>
      </c>
      <c r="K618" s="27">
        <v>2</v>
      </c>
      <c r="L618" s="29" t="s">
        <v>571</v>
      </c>
      <c r="M618" s="29" t="s">
        <v>766</v>
      </c>
      <c r="N618" s="29" t="s">
        <v>572</v>
      </c>
      <c r="O618" s="28"/>
      <c r="P618" s="28"/>
      <c r="Q618" s="28" t="s">
        <v>76</v>
      </c>
      <c r="R618" s="29"/>
      <c r="S618" s="28"/>
      <c r="T618" s="28"/>
      <c r="U618" s="28" t="s">
        <v>75</v>
      </c>
      <c r="V618" s="28" t="s">
        <v>75</v>
      </c>
      <c r="W618" s="28"/>
    </row>
    <row r="619" spans="1:23" s="12" customFormat="1" hidden="1">
      <c r="A619" s="46" t="s">
        <v>572</v>
      </c>
      <c r="B619" s="28" t="s">
        <v>1333</v>
      </c>
      <c r="C619" s="28" t="s">
        <v>88</v>
      </c>
      <c r="D619" s="28" t="s">
        <v>687</v>
      </c>
      <c r="E619" s="28" t="s">
        <v>245</v>
      </c>
      <c r="F619" s="28" t="s">
        <v>482</v>
      </c>
      <c r="G619" s="28" t="s">
        <v>482</v>
      </c>
      <c r="H619" s="28" t="s">
        <v>708</v>
      </c>
      <c r="I619" s="28" t="str">
        <f>VLOOKUP(F619,표준용어사전!$B:$D,3,FALSE)</f>
        <v>내용V2000</v>
      </c>
      <c r="J619" s="28" t="s">
        <v>718</v>
      </c>
      <c r="K619" s="27">
        <v>2000</v>
      </c>
      <c r="L619" s="29" t="s">
        <v>571</v>
      </c>
      <c r="M619" s="29" t="s">
        <v>728</v>
      </c>
      <c r="N619" s="29" t="s">
        <v>572</v>
      </c>
      <c r="O619" s="28"/>
      <c r="P619" s="28"/>
      <c r="Q619" s="28" t="s">
        <v>76</v>
      </c>
      <c r="R619" s="29"/>
      <c r="S619" s="28"/>
      <c r="T619" s="28"/>
      <c r="U619" s="28" t="s">
        <v>75</v>
      </c>
      <c r="V619" s="28" t="s">
        <v>75</v>
      </c>
      <c r="W619" s="28"/>
    </row>
    <row r="620" spans="1:23" s="12" customFormat="1" hidden="1">
      <c r="A620" s="46" t="s">
        <v>572</v>
      </c>
      <c r="B620" s="28" t="s">
        <v>1333</v>
      </c>
      <c r="C620" s="28" t="s">
        <v>88</v>
      </c>
      <c r="D620" s="28" t="s">
        <v>687</v>
      </c>
      <c r="E620" s="28" t="s">
        <v>90</v>
      </c>
      <c r="F620" s="28" t="s">
        <v>14</v>
      </c>
      <c r="G620" s="28" t="s">
        <v>14</v>
      </c>
      <c r="H620" s="28" t="s">
        <v>708</v>
      </c>
      <c r="I620" s="28" t="str">
        <f>VLOOKUP(F620,표준용어사전!$B:$D,3,FALSE)</f>
        <v>연월일시분초TS</v>
      </c>
      <c r="J620" s="28" t="s">
        <v>16</v>
      </c>
      <c r="K620" s="27" t="s">
        <v>571</v>
      </c>
      <c r="L620" s="29" t="s">
        <v>571</v>
      </c>
      <c r="M620" s="29" t="s">
        <v>726</v>
      </c>
      <c r="N620" s="29" t="s">
        <v>711</v>
      </c>
      <c r="O620" s="28"/>
      <c r="P620" s="28"/>
      <c r="Q620" s="28" t="s">
        <v>76</v>
      </c>
      <c r="R620" s="29"/>
      <c r="S620" s="28"/>
      <c r="T620" s="28" t="s">
        <v>574</v>
      </c>
      <c r="U620" s="28" t="s">
        <v>75</v>
      </c>
      <c r="V620" s="28" t="s">
        <v>75</v>
      </c>
      <c r="W620" s="28"/>
    </row>
    <row r="621" spans="1:23" s="12" customFormat="1" hidden="1">
      <c r="A621" s="46" t="s">
        <v>572</v>
      </c>
      <c r="B621" s="28" t="s">
        <v>1333</v>
      </c>
      <c r="C621" s="28" t="s">
        <v>88</v>
      </c>
      <c r="D621" s="28" t="s">
        <v>687</v>
      </c>
      <c r="E621" s="28" t="s">
        <v>91</v>
      </c>
      <c r="F621" s="28" t="s">
        <v>369</v>
      </c>
      <c r="G621" s="28" t="s">
        <v>369</v>
      </c>
      <c r="H621" s="28" t="s">
        <v>708</v>
      </c>
      <c r="I621" s="28" t="str">
        <f>VLOOKUP(F621,표준용어사전!$B:$D,3,FALSE)</f>
        <v>명V20</v>
      </c>
      <c r="J621" s="28" t="s">
        <v>78</v>
      </c>
      <c r="K621" s="27">
        <v>20</v>
      </c>
      <c r="L621" s="29" t="s">
        <v>571</v>
      </c>
      <c r="M621" s="29" t="s">
        <v>727</v>
      </c>
      <c r="N621" s="29" t="s">
        <v>75</v>
      </c>
      <c r="O621" s="28"/>
      <c r="P621" s="28"/>
      <c r="Q621" s="28" t="s">
        <v>76</v>
      </c>
      <c r="R621" s="29"/>
      <c r="S621" s="28"/>
      <c r="T621" s="28" t="s">
        <v>571</v>
      </c>
      <c r="U621" s="28" t="s">
        <v>75</v>
      </c>
      <c r="V621" s="28" t="s">
        <v>75</v>
      </c>
      <c r="W621" s="28"/>
    </row>
    <row r="622" spans="1:23" s="12" customFormat="1" hidden="1">
      <c r="A622" s="46" t="s">
        <v>572</v>
      </c>
      <c r="B622" s="28" t="s">
        <v>1333</v>
      </c>
      <c r="C622" s="28" t="s">
        <v>88</v>
      </c>
      <c r="D622" s="28" t="s">
        <v>688</v>
      </c>
      <c r="E622" s="28" t="s">
        <v>89</v>
      </c>
      <c r="F622" s="28" t="s">
        <v>501</v>
      </c>
      <c r="G622" s="28" t="s">
        <v>501</v>
      </c>
      <c r="H622" s="28" t="s">
        <v>128</v>
      </c>
      <c r="I622" s="28" t="str">
        <f>VLOOKUP(F622,표준용어사전!$B:$D,3,FALSE)</f>
        <v>명V20</v>
      </c>
      <c r="J622" s="28" t="s">
        <v>718</v>
      </c>
      <c r="K622" s="27">
        <v>50</v>
      </c>
      <c r="L622" s="29" t="s">
        <v>571</v>
      </c>
      <c r="M622" s="29" t="s">
        <v>720</v>
      </c>
      <c r="N622" s="29" t="s">
        <v>711</v>
      </c>
      <c r="O622" s="28" t="s">
        <v>641</v>
      </c>
      <c r="P622" s="28"/>
      <c r="Q622" s="28" t="s">
        <v>76</v>
      </c>
      <c r="R622" s="29"/>
      <c r="S622" s="28"/>
      <c r="T622" s="28"/>
      <c r="U622" s="28" t="s">
        <v>75</v>
      </c>
      <c r="V622" s="28" t="s">
        <v>75</v>
      </c>
      <c r="W622" s="28"/>
    </row>
    <row r="623" spans="1:23" s="12" customFormat="1" hidden="1">
      <c r="A623" s="46" t="s">
        <v>572</v>
      </c>
      <c r="B623" s="28" t="s">
        <v>1333</v>
      </c>
      <c r="C623" s="28" t="s">
        <v>88</v>
      </c>
      <c r="D623" s="28" t="s">
        <v>688</v>
      </c>
      <c r="E623" s="28" t="s">
        <v>129</v>
      </c>
      <c r="F623" s="28" t="s">
        <v>395</v>
      </c>
      <c r="G623" s="28" t="s">
        <v>395</v>
      </c>
      <c r="H623" s="28" t="s">
        <v>128</v>
      </c>
      <c r="I623" s="28" t="str">
        <f>VLOOKUP(F623,표준용어사전!$B:$D,3,FALSE)</f>
        <v>수N14</v>
      </c>
      <c r="J623" s="28" t="s">
        <v>748</v>
      </c>
      <c r="K623" s="27">
        <v>14</v>
      </c>
      <c r="L623" s="29" t="s">
        <v>571</v>
      </c>
      <c r="M623" s="29" t="s">
        <v>776</v>
      </c>
      <c r="N623" s="29" t="s">
        <v>572</v>
      </c>
      <c r="O623" s="28"/>
      <c r="P623" s="28"/>
      <c r="Q623" s="28" t="s">
        <v>76</v>
      </c>
      <c r="R623" s="29"/>
      <c r="S623" s="28"/>
      <c r="T623" s="28"/>
      <c r="U623" s="28" t="s">
        <v>75</v>
      </c>
      <c r="V623" s="28" t="s">
        <v>75</v>
      </c>
      <c r="W623" s="28"/>
    </row>
    <row r="624" spans="1:23" s="12" customFormat="1" hidden="1">
      <c r="A624" s="46" t="s">
        <v>572</v>
      </c>
      <c r="B624" s="28" t="s">
        <v>1333</v>
      </c>
      <c r="C624" s="28" t="s">
        <v>88</v>
      </c>
      <c r="D624" s="28" t="s">
        <v>688</v>
      </c>
      <c r="E624" s="28" t="s">
        <v>130</v>
      </c>
      <c r="F624" s="28" t="s">
        <v>396</v>
      </c>
      <c r="G624" s="28" t="s">
        <v>396</v>
      </c>
      <c r="H624" s="28" t="s">
        <v>128</v>
      </c>
      <c r="I624" s="28" t="str">
        <f>VLOOKUP(F624,표준용어사전!$B:$D,3,FALSE)</f>
        <v>수N14</v>
      </c>
      <c r="J624" s="28" t="s">
        <v>748</v>
      </c>
      <c r="K624" s="27">
        <v>14</v>
      </c>
      <c r="L624" s="29" t="s">
        <v>571</v>
      </c>
      <c r="M624" s="29" t="s">
        <v>776</v>
      </c>
      <c r="N624" s="29" t="s">
        <v>572</v>
      </c>
      <c r="O624" s="28"/>
      <c r="P624" s="28"/>
      <c r="Q624" s="28" t="s">
        <v>76</v>
      </c>
      <c r="R624" s="29"/>
      <c r="S624" s="28"/>
      <c r="T624" s="28"/>
      <c r="U624" s="28" t="s">
        <v>75</v>
      </c>
      <c r="V624" s="28" t="s">
        <v>75</v>
      </c>
      <c r="W624" s="28"/>
    </row>
    <row r="625" spans="1:23" s="12" customFormat="1" hidden="1">
      <c r="A625" s="46" t="s">
        <v>572</v>
      </c>
      <c r="B625" s="28" t="s">
        <v>1333</v>
      </c>
      <c r="C625" s="28" t="s">
        <v>88</v>
      </c>
      <c r="D625" s="28" t="s">
        <v>688</v>
      </c>
      <c r="E625" s="28" t="s">
        <v>131</v>
      </c>
      <c r="F625" s="28" t="s">
        <v>397</v>
      </c>
      <c r="G625" s="28" t="s">
        <v>397</v>
      </c>
      <c r="H625" s="28" t="s">
        <v>128</v>
      </c>
      <c r="I625" s="28" t="str">
        <f>VLOOKUP(F625,표준용어사전!$B:$D,3,FALSE)</f>
        <v>수N14</v>
      </c>
      <c r="J625" s="28" t="s">
        <v>748</v>
      </c>
      <c r="K625" s="27">
        <v>14</v>
      </c>
      <c r="L625" s="29" t="s">
        <v>571</v>
      </c>
      <c r="M625" s="29" t="s">
        <v>776</v>
      </c>
      <c r="N625" s="29" t="s">
        <v>572</v>
      </c>
      <c r="O625" s="28"/>
      <c r="P625" s="28"/>
      <c r="Q625" s="28" t="s">
        <v>76</v>
      </c>
      <c r="R625" s="29"/>
      <c r="S625" s="28"/>
      <c r="T625" s="28"/>
      <c r="U625" s="28" t="s">
        <v>75</v>
      </c>
      <c r="V625" s="28" t="s">
        <v>75</v>
      </c>
      <c r="W625" s="28"/>
    </row>
    <row r="626" spans="1:23" s="12" customFormat="1" hidden="1">
      <c r="A626" s="46" t="s">
        <v>572</v>
      </c>
      <c r="B626" s="28" t="s">
        <v>1333</v>
      </c>
      <c r="C626" s="28" t="s">
        <v>88</v>
      </c>
      <c r="D626" s="28" t="s">
        <v>688</v>
      </c>
      <c r="E626" s="28" t="s">
        <v>132</v>
      </c>
      <c r="F626" s="28" t="s">
        <v>398</v>
      </c>
      <c r="G626" s="28" t="s">
        <v>398</v>
      </c>
      <c r="H626" s="28" t="s">
        <v>128</v>
      </c>
      <c r="I626" s="28" t="str">
        <f>VLOOKUP(F626,표준용어사전!$B:$D,3,FALSE)</f>
        <v>수N14</v>
      </c>
      <c r="J626" s="28" t="s">
        <v>748</v>
      </c>
      <c r="K626" s="27">
        <v>14</v>
      </c>
      <c r="L626" s="29" t="s">
        <v>571</v>
      </c>
      <c r="M626" s="29" t="s">
        <v>776</v>
      </c>
      <c r="N626" s="29" t="s">
        <v>572</v>
      </c>
      <c r="O626" s="28"/>
      <c r="P626" s="28"/>
      <c r="Q626" s="28" t="s">
        <v>76</v>
      </c>
      <c r="R626" s="29"/>
      <c r="S626" s="28"/>
      <c r="T626" s="28"/>
      <c r="U626" s="28" t="s">
        <v>75</v>
      </c>
      <c r="V626" s="28" t="s">
        <v>75</v>
      </c>
      <c r="W626" s="28"/>
    </row>
    <row r="627" spans="1:23" s="12" customFormat="1" hidden="1">
      <c r="A627" s="46" t="s">
        <v>572</v>
      </c>
      <c r="B627" s="28" t="s">
        <v>1333</v>
      </c>
      <c r="C627" s="28" t="s">
        <v>88</v>
      </c>
      <c r="D627" s="28" t="s">
        <v>688</v>
      </c>
      <c r="E627" s="28" t="s">
        <v>866</v>
      </c>
      <c r="F627" s="28" t="s">
        <v>792</v>
      </c>
      <c r="G627" s="28" t="s">
        <v>792</v>
      </c>
      <c r="H627" s="28" t="s">
        <v>128</v>
      </c>
      <c r="I627" s="28" t="e">
        <f>VLOOKUP(F627,표준용어사전!$B:$D,3,FALSE)</f>
        <v>#N/A</v>
      </c>
      <c r="J627" s="28" t="s">
        <v>748</v>
      </c>
      <c r="K627" s="27">
        <v>14</v>
      </c>
      <c r="L627" s="29" t="s">
        <v>571</v>
      </c>
      <c r="M627" s="29" t="s">
        <v>776</v>
      </c>
      <c r="N627" s="29" t="s">
        <v>572</v>
      </c>
      <c r="O627" s="28"/>
      <c r="P627" s="28"/>
      <c r="Q627" s="28" t="s">
        <v>76</v>
      </c>
      <c r="R627" s="29"/>
      <c r="S627" s="28"/>
      <c r="T627" s="28"/>
      <c r="U627" s="28" t="s">
        <v>75</v>
      </c>
      <c r="V627" s="28" t="s">
        <v>75</v>
      </c>
      <c r="W627" s="28"/>
    </row>
    <row r="628" spans="1:23" s="12" customFormat="1" hidden="1">
      <c r="A628" s="46" t="s">
        <v>572</v>
      </c>
      <c r="B628" s="28" t="s">
        <v>1333</v>
      </c>
      <c r="C628" s="28" t="s">
        <v>88</v>
      </c>
      <c r="D628" s="28" t="s">
        <v>688</v>
      </c>
      <c r="E628" s="28" t="s">
        <v>135</v>
      </c>
      <c r="F628" s="28" t="s">
        <v>401</v>
      </c>
      <c r="G628" s="28" t="s">
        <v>401</v>
      </c>
      <c r="H628" s="28" t="s">
        <v>128</v>
      </c>
      <c r="I628" s="28" t="str">
        <f>VLOOKUP(F628,표준용어사전!$B:$D,3,FALSE)</f>
        <v>수N14</v>
      </c>
      <c r="J628" s="28" t="s">
        <v>748</v>
      </c>
      <c r="K628" s="27">
        <v>14</v>
      </c>
      <c r="L628" s="29" t="s">
        <v>571</v>
      </c>
      <c r="M628" s="29" t="s">
        <v>776</v>
      </c>
      <c r="N628" s="29" t="s">
        <v>572</v>
      </c>
      <c r="O628" s="28"/>
      <c r="P628" s="28"/>
      <c r="Q628" s="28" t="s">
        <v>76</v>
      </c>
      <c r="R628" s="29"/>
      <c r="S628" s="28"/>
      <c r="T628" s="28"/>
      <c r="U628" s="28" t="s">
        <v>75</v>
      </c>
      <c r="V628" s="28" t="s">
        <v>75</v>
      </c>
      <c r="W628" s="28"/>
    </row>
    <row r="629" spans="1:23" s="12" customFormat="1" hidden="1">
      <c r="A629" s="46" t="s">
        <v>572</v>
      </c>
      <c r="B629" s="28" t="s">
        <v>1333</v>
      </c>
      <c r="C629" s="28" t="s">
        <v>88</v>
      </c>
      <c r="D629" s="28" t="s">
        <v>688</v>
      </c>
      <c r="E629" s="28" t="s">
        <v>133</v>
      </c>
      <c r="F629" s="28" t="s">
        <v>399</v>
      </c>
      <c r="G629" s="28" t="s">
        <v>399</v>
      </c>
      <c r="H629" s="28" t="s">
        <v>128</v>
      </c>
      <c r="I629" s="28" t="e">
        <f>VLOOKUP(F629,표준용어사전!$B:$D,3,FALSE)</f>
        <v>#N/A</v>
      </c>
      <c r="J629" s="28" t="s">
        <v>748</v>
      </c>
      <c r="K629" s="27">
        <v>14</v>
      </c>
      <c r="L629" s="29" t="s">
        <v>571</v>
      </c>
      <c r="M629" s="29" t="s">
        <v>776</v>
      </c>
      <c r="N629" s="29" t="s">
        <v>572</v>
      </c>
      <c r="O629" s="28"/>
      <c r="P629" s="28"/>
      <c r="Q629" s="28" t="s">
        <v>76</v>
      </c>
      <c r="R629" s="29"/>
      <c r="S629" s="28"/>
      <c r="T629" s="28"/>
      <c r="U629" s="28" t="s">
        <v>75</v>
      </c>
      <c r="V629" s="28" t="s">
        <v>75</v>
      </c>
      <c r="W629" s="28"/>
    </row>
    <row r="630" spans="1:23" s="12" customFormat="1" hidden="1">
      <c r="A630" s="46" t="s">
        <v>572</v>
      </c>
      <c r="B630" s="28" t="s">
        <v>1333</v>
      </c>
      <c r="C630" s="28" t="s">
        <v>88</v>
      </c>
      <c r="D630" s="28" t="s">
        <v>688</v>
      </c>
      <c r="E630" s="28" t="s">
        <v>134</v>
      </c>
      <c r="F630" s="28" t="s">
        <v>400</v>
      </c>
      <c r="G630" s="28" t="s">
        <v>400</v>
      </c>
      <c r="H630" s="28" t="s">
        <v>128</v>
      </c>
      <c r="I630" s="28" t="str">
        <f>VLOOKUP(F630,표준용어사전!$B:$D,3,FALSE)</f>
        <v>수N14</v>
      </c>
      <c r="J630" s="28" t="s">
        <v>748</v>
      </c>
      <c r="K630" s="27">
        <v>14</v>
      </c>
      <c r="L630" s="29" t="s">
        <v>571</v>
      </c>
      <c r="M630" s="29" t="s">
        <v>776</v>
      </c>
      <c r="N630" s="29" t="s">
        <v>572</v>
      </c>
      <c r="O630" s="28"/>
      <c r="P630" s="28"/>
      <c r="Q630" s="28" t="s">
        <v>76</v>
      </c>
      <c r="R630" s="29"/>
      <c r="S630" s="28"/>
      <c r="T630" s="28"/>
      <c r="U630" s="28" t="s">
        <v>75</v>
      </c>
      <c r="V630" s="28" t="s">
        <v>75</v>
      </c>
      <c r="W630" s="28"/>
    </row>
    <row r="631" spans="1:23" s="12" customFormat="1" hidden="1">
      <c r="A631" s="46" t="s">
        <v>572</v>
      </c>
      <c r="B631" s="28" t="s">
        <v>1333</v>
      </c>
      <c r="C631" s="28" t="s">
        <v>88</v>
      </c>
      <c r="D631" s="28" t="s">
        <v>688</v>
      </c>
      <c r="E631" s="28" t="s">
        <v>867</v>
      </c>
      <c r="F631" s="28" t="s">
        <v>793</v>
      </c>
      <c r="G631" s="28" t="s">
        <v>793</v>
      </c>
      <c r="H631" s="28" t="s">
        <v>128</v>
      </c>
      <c r="I631" s="28" t="e">
        <f>VLOOKUP(F631,표준용어사전!$B:$D,3,FALSE)</f>
        <v>#N/A</v>
      </c>
      <c r="J631" s="28" t="s">
        <v>748</v>
      </c>
      <c r="K631" s="27">
        <v>14</v>
      </c>
      <c r="L631" s="29" t="s">
        <v>571</v>
      </c>
      <c r="M631" s="29" t="s">
        <v>776</v>
      </c>
      <c r="N631" s="29" t="s">
        <v>572</v>
      </c>
      <c r="O631" s="28"/>
      <c r="P631" s="28"/>
      <c r="Q631" s="28" t="s">
        <v>76</v>
      </c>
      <c r="R631" s="29"/>
      <c r="S631" s="28"/>
      <c r="T631" s="28"/>
      <c r="U631" s="28" t="s">
        <v>75</v>
      </c>
      <c r="V631" s="28" t="s">
        <v>75</v>
      </c>
      <c r="W631" s="28"/>
    </row>
    <row r="632" spans="1:23" s="12" customFormat="1" hidden="1">
      <c r="A632" s="46" t="s">
        <v>572</v>
      </c>
      <c r="B632" s="28" t="s">
        <v>1333</v>
      </c>
      <c r="C632" s="28" t="s">
        <v>88</v>
      </c>
      <c r="D632" s="28" t="s">
        <v>1957</v>
      </c>
      <c r="E632" s="28" t="s">
        <v>1953</v>
      </c>
      <c r="F632" s="28" t="s">
        <v>1952</v>
      </c>
      <c r="G632" s="28" t="s">
        <v>1952</v>
      </c>
      <c r="H632" s="28" t="s">
        <v>1958</v>
      </c>
      <c r="I632" s="28" t="s">
        <v>610</v>
      </c>
      <c r="J632" s="28" t="s">
        <v>748</v>
      </c>
      <c r="K632" s="27">
        <v>14</v>
      </c>
      <c r="L632" s="29" t="s">
        <v>571</v>
      </c>
      <c r="M632" s="29" t="s">
        <v>776</v>
      </c>
      <c r="N632" s="29" t="s">
        <v>572</v>
      </c>
      <c r="O632" s="28"/>
      <c r="P632" s="28"/>
      <c r="Q632" s="28" t="s">
        <v>76</v>
      </c>
      <c r="R632" s="29"/>
      <c r="S632" s="28"/>
      <c r="T632" s="28"/>
      <c r="U632" s="28" t="s">
        <v>75</v>
      </c>
      <c r="V632" s="28" t="s">
        <v>75</v>
      </c>
      <c r="W632" s="28"/>
    </row>
    <row r="633" spans="1:23" s="12" customFormat="1" hidden="1">
      <c r="A633" s="46" t="s">
        <v>572</v>
      </c>
      <c r="B633" s="28" t="s">
        <v>1333</v>
      </c>
      <c r="C633" s="28" t="s">
        <v>88</v>
      </c>
      <c r="D633" s="28" t="s">
        <v>688</v>
      </c>
      <c r="E633" s="28" t="s">
        <v>1955</v>
      </c>
      <c r="F633" s="28" t="s">
        <v>1954</v>
      </c>
      <c r="G633" s="28" t="s">
        <v>1954</v>
      </c>
      <c r="H633" s="28" t="s">
        <v>128</v>
      </c>
      <c r="I633" s="28" t="s">
        <v>610</v>
      </c>
      <c r="J633" s="28" t="s">
        <v>748</v>
      </c>
      <c r="K633" s="27">
        <v>14</v>
      </c>
      <c r="L633" s="29" t="s">
        <v>571</v>
      </c>
      <c r="M633" s="29" t="s">
        <v>776</v>
      </c>
      <c r="N633" s="29" t="s">
        <v>572</v>
      </c>
      <c r="O633" s="28"/>
      <c r="P633" s="28"/>
      <c r="Q633" s="28" t="s">
        <v>76</v>
      </c>
      <c r="R633" s="29"/>
      <c r="S633" s="28"/>
      <c r="T633" s="28"/>
      <c r="U633" s="28" t="s">
        <v>75</v>
      </c>
      <c r="V633" s="28" t="s">
        <v>75</v>
      </c>
      <c r="W633" s="28"/>
    </row>
    <row r="634" spans="1:23" s="12" customFormat="1" hidden="1">
      <c r="A634" s="46" t="s">
        <v>572</v>
      </c>
      <c r="B634" s="28" t="s">
        <v>1333</v>
      </c>
      <c r="C634" s="28" t="s">
        <v>88</v>
      </c>
      <c r="D634" s="28" t="s">
        <v>688</v>
      </c>
      <c r="E634" s="28" t="s">
        <v>90</v>
      </c>
      <c r="F634" s="28" t="s">
        <v>14</v>
      </c>
      <c r="G634" s="28" t="s">
        <v>14</v>
      </c>
      <c r="H634" s="28" t="s">
        <v>128</v>
      </c>
      <c r="I634" s="28" t="str">
        <f>VLOOKUP(F634,표준용어사전!$B:$D,3,FALSE)</f>
        <v>연월일시분초TS</v>
      </c>
      <c r="J634" s="28" t="s">
        <v>16</v>
      </c>
      <c r="K634" s="27" t="s">
        <v>571</v>
      </c>
      <c r="L634" s="29" t="s">
        <v>571</v>
      </c>
      <c r="M634" s="29" t="s">
        <v>726</v>
      </c>
      <c r="N634" s="29" t="s">
        <v>711</v>
      </c>
      <c r="O634" s="28"/>
      <c r="P634" s="28"/>
      <c r="Q634" s="28" t="s">
        <v>76</v>
      </c>
      <c r="R634" s="29"/>
      <c r="S634" s="28"/>
      <c r="T634" s="28" t="s">
        <v>574</v>
      </c>
      <c r="U634" s="28" t="s">
        <v>75</v>
      </c>
      <c r="V634" s="28" t="s">
        <v>75</v>
      </c>
      <c r="W634" s="28"/>
    </row>
    <row r="635" spans="1:23" s="12" customFormat="1" hidden="1">
      <c r="A635" s="46" t="s">
        <v>572</v>
      </c>
      <c r="B635" s="28" t="s">
        <v>1333</v>
      </c>
      <c r="C635" s="28" t="s">
        <v>88</v>
      </c>
      <c r="D635" s="28" t="s">
        <v>688</v>
      </c>
      <c r="E635" s="28" t="s">
        <v>91</v>
      </c>
      <c r="F635" s="28" t="s">
        <v>369</v>
      </c>
      <c r="G635" s="28" t="s">
        <v>369</v>
      </c>
      <c r="H635" s="28" t="s">
        <v>128</v>
      </c>
      <c r="I635" s="28" t="str">
        <f>VLOOKUP(F635,표준용어사전!$B:$D,3,FALSE)</f>
        <v>명V20</v>
      </c>
      <c r="J635" s="28" t="s">
        <v>78</v>
      </c>
      <c r="K635" s="27">
        <v>20</v>
      </c>
      <c r="L635" s="29" t="s">
        <v>571</v>
      </c>
      <c r="M635" s="29" t="s">
        <v>727</v>
      </c>
      <c r="N635" s="29" t="s">
        <v>75</v>
      </c>
      <c r="O635" s="28"/>
      <c r="P635" s="28"/>
      <c r="Q635" s="28" t="s">
        <v>76</v>
      </c>
      <c r="R635" s="29"/>
      <c r="S635" s="28"/>
      <c r="T635" s="28" t="s">
        <v>571</v>
      </c>
      <c r="U635" s="28" t="s">
        <v>75</v>
      </c>
      <c r="V635" s="28" t="s">
        <v>75</v>
      </c>
      <c r="W635" s="28"/>
    </row>
    <row r="636" spans="1:23" s="12" customFormat="1" hidden="1">
      <c r="A636" s="46" t="s">
        <v>572</v>
      </c>
      <c r="B636" s="28" t="s">
        <v>1333</v>
      </c>
      <c r="C636" s="28" t="s">
        <v>88</v>
      </c>
      <c r="D636" s="28" t="s">
        <v>688</v>
      </c>
      <c r="E636" s="28" t="s">
        <v>92</v>
      </c>
      <c r="F636" s="28" t="s">
        <v>15</v>
      </c>
      <c r="G636" s="28" t="s">
        <v>15</v>
      </c>
      <c r="H636" s="28" t="s">
        <v>128</v>
      </c>
      <c r="I636" s="28" t="str">
        <f>VLOOKUP(F636,표준용어사전!$B:$D,3,FALSE)</f>
        <v>연월일시분초TS</v>
      </c>
      <c r="J636" s="28" t="s">
        <v>16</v>
      </c>
      <c r="K636" s="27" t="s">
        <v>571</v>
      </c>
      <c r="L636" s="29" t="s">
        <v>571</v>
      </c>
      <c r="M636" s="29" t="s">
        <v>726</v>
      </c>
      <c r="N636" s="29" t="s">
        <v>75</v>
      </c>
      <c r="O636" s="28"/>
      <c r="P636" s="28"/>
      <c r="Q636" s="28" t="s">
        <v>76</v>
      </c>
      <c r="R636" s="29"/>
      <c r="S636" s="28"/>
      <c r="T636" s="28" t="s">
        <v>574</v>
      </c>
      <c r="U636" s="28" t="s">
        <v>75</v>
      </c>
      <c r="V636" s="28" t="s">
        <v>75</v>
      </c>
      <c r="W636" s="28"/>
    </row>
    <row r="637" spans="1:23" s="12" customFormat="1" hidden="1">
      <c r="A637" s="46" t="s">
        <v>572</v>
      </c>
      <c r="B637" s="28" t="s">
        <v>1333</v>
      </c>
      <c r="C637" s="28" t="s">
        <v>88</v>
      </c>
      <c r="D637" s="28" t="s">
        <v>688</v>
      </c>
      <c r="E637" s="28" t="s">
        <v>93</v>
      </c>
      <c r="F637" s="28" t="s">
        <v>370</v>
      </c>
      <c r="G637" s="28" t="s">
        <v>370</v>
      </c>
      <c r="H637" s="28" t="s">
        <v>128</v>
      </c>
      <c r="I637" s="28" t="str">
        <f>VLOOKUP(F637,표준용어사전!$B:$D,3,FALSE)</f>
        <v>명V20</v>
      </c>
      <c r="J637" s="28" t="s">
        <v>78</v>
      </c>
      <c r="K637" s="27">
        <v>20</v>
      </c>
      <c r="L637" s="29" t="s">
        <v>571</v>
      </c>
      <c r="M637" s="29" t="s">
        <v>727</v>
      </c>
      <c r="N637" s="29" t="s">
        <v>75</v>
      </c>
      <c r="O637" s="28"/>
      <c r="P637" s="28"/>
      <c r="Q637" s="28" t="s">
        <v>76</v>
      </c>
      <c r="R637" s="29"/>
      <c r="S637" s="28"/>
      <c r="T637" s="28" t="s">
        <v>571</v>
      </c>
      <c r="U637" s="28" t="s">
        <v>75</v>
      </c>
      <c r="V637" s="28" t="s">
        <v>75</v>
      </c>
      <c r="W637" s="28"/>
    </row>
    <row r="638" spans="1:23" s="12" customFormat="1" hidden="1">
      <c r="A638" s="46" t="s">
        <v>572</v>
      </c>
      <c r="B638" s="28" t="s">
        <v>1336</v>
      </c>
      <c r="C638" s="28" t="s">
        <v>88</v>
      </c>
      <c r="D638" s="28" t="s">
        <v>689</v>
      </c>
      <c r="E638" s="28" t="s">
        <v>635</v>
      </c>
      <c r="F638" s="28" t="s">
        <v>1615</v>
      </c>
      <c r="G638" s="28" t="s">
        <v>1615</v>
      </c>
      <c r="H638" s="28" t="s">
        <v>1616</v>
      </c>
      <c r="I638" s="28" t="str">
        <f>VLOOKUP(F638,표준용어사전!$B:$D,3,FALSE)</f>
        <v>명V20</v>
      </c>
      <c r="J638" s="28" t="s">
        <v>718</v>
      </c>
      <c r="K638" s="27">
        <v>20</v>
      </c>
      <c r="L638" s="29" t="s">
        <v>571</v>
      </c>
      <c r="M638" s="29" t="s">
        <v>727</v>
      </c>
      <c r="N638" s="29" t="s">
        <v>711</v>
      </c>
      <c r="O638" s="28" t="s">
        <v>641</v>
      </c>
      <c r="P638" s="28"/>
      <c r="Q638" s="28" t="s">
        <v>76</v>
      </c>
      <c r="R638" s="29"/>
      <c r="S638" s="28"/>
      <c r="T638" s="28"/>
      <c r="U638" s="28" t="s">
        <v>75</v>
      </c>
      <c r="V638" s="28" t="s">
        <v>75</v>
      </c>
      <c r="W638" s="28"/>
    </row>
    <row r="639" spans="1:23" s="12" customFormat="1" hidden="1">
      <c r="A639" s="46" t="s">
        <v>572</v>
      </c>
      <c r="B639" s="28" t="s">
        <v>1336</v>
      </c>
      <c r="C639" s="28" t="s">
        <v>88</v>
      </c>
      <c r="D639" s="28" t="s">
        <v>689</v>
      </c>
      <c r="E639" s="28" t="s">
        <v>636</v>
      </c>
      <c r="F639" s="28" t="s">
        <v>1617</v>
      </c>
      <c r="G639" s="28" t="s">
        <v>1617</v>
      </c>
      <c r="H639" s="28" t="s">
        <v>1616</v>
      </c>
      <c r="I639" s="28" t="e">
        <f>VLOOKUP(F639,표준용어사전!$B:$D,3,FALSE)</f>
        <v>#N/A</v>
      </c>
      <c r="J639" s="28" t="s">
        <v>709</v>
      </c>
      <c r="K639" s="27">
        <v>50</v>
      </c>
      <c r="L639" s="29" t="s">
        <v>571</v>
      </c>
      <c r="M639" s="29" t="s">
        <v>725</v>
      </c>
      <c r="N639" s="29" t="s">
        <v>572</v>
      </c>
      <c r="O639" s="28"/>
      <c r="P639" s="28"/>
      <c r="Q639" s="28" t="s">
        <v>76</v>
      </c>
      <c r="R639" s="29"/>
      <c r="S639" s="28"/>
      <c r="T639" s="28"/>
      <c r="U639" s="28" t="s">
        <v>75</v>
      </c>
      <c r="V639" s="28" t="s">
        <v>75</v>
      </c>
      <c r="W639" s="28"/>
    </row>
    <row r="640" spans="1:23" s="12" customFormat="1" hidden="1">
      <c r="A640" s="46" t="s">
        <v>572</v>
      </c>
      <c r="B640" s="28" t="s">
        <v>1336</v>
      </c>
      <c r="C640" s="28" t="s">
        <v>88</v>
      </c>
      <c r="D640" s="28" t="s">
        <v>689</v>
      </c>
      <c r="E640" s="28" t="s">
        <v>637</v>
      </c>
      <c r="F640" s="28" t="s">
        <v>1618</v>
      </c>
      <c r="G640" s="28" t="s">
        <v>1618</v>
      </c>
      <c r="H640" s="28" t="s">
        <v>1616</v>
      </c>
      <c r="I640" s="28" t="e">
        <f>VLOOKUP(F640,표준용어사전!$B:$D,3,FALSE)</f>
        <v>#N/A</v>
      </c>
      <c r="J640" s="28" t="s">
        <v>709</v>
      </c>
      <c r="K640" s="27">
        <v>50</v>
      </c>
      <c r="L640" s="29" t="s">
        <v>571</v>
      </c>
      <c r="M640" s="29" t="s">
        <v>725</v>
      </c>
      <c r="N640" s="29" t="s">
        <v>572</v>
      </c>
      <c r="O640" s="28"/>
      <c r="P640" s="28"/>
      <c r="Q640" s="28" t="s">
        <v>76</v>
      </c>
      <c r="R640" s="29"/>
      <c r="S640" s="28"/>
      <c r="T640" s="28"/>
      <c r="U640" s="28" t="s">
        <v>75</v>
      </c>
      <c r="V640" s="28" t="s">
        <v>75</v>
      </c>
      <c r="W640" s="28"/>
    </row>
    <row r="641" spans="1:23" s="12" customFormat="1" hidden="1">
      <c r="A641" s="46" t="s">
        <v>572</v>
      </c>
      <c r="B641" s="28" t="s">
        <v>1336</v>
      </c>
      <c r="C641" s="28" t="s">
        <v>88</v>
      </c>
      <c r="D641" s="28" t="s">
        <v>689</v>
      </c>
      <c r="E641" s="28" t="s">
        <v>638</v>
      </c>
      <c r="F641" s="28" t="s">
        <v>1619</v>
      </c>
      <c r="G641" s="28" t="s">
        <v>1619</v>
      </c>
      <c r="H641" s="28" t="s">
        <v>1616</v>
      </c>
      <c r="I641" s="28" t="str">
        <f>VLOOKUP(F641,표준용어사전!$B:$D,3,FALSE)</f>
        <v>내용V2000</v>
      </c>
      <c r="J641" s="28" t="s">
        <v>718</v>
      </c>
      <c r="K641" s="27">
        <v>4000</v>
      </c>
      <c r="L641" s="29" t="s">
        <v>571</v>
      </c>
      <c r="M641" s="29" t="s">
        <v>737</v>
      </c>
      <c r="N641" s="29" t="s">
        <v>572</v>
      </c>
      <c r="O641" s="28"/>
      <c r="P641" s="28"/>
      <c r="Q641" s="28" t="s">
        <v>76</v>
      </c>
      <c r="R641" s="29"/>
      <c r="S641" s="28"/>
      <c r="T641" s="28"/>
      <c r="U641" s="28" t="s">
        <v>75</v>
      </c>
      <c r="V641" s="28" t="s">
        <v>75</v>
      </c>
      <c r="W641" s="28"/>
    </row>
    <row r="642" spans="1:23" s="12" customFormat="1" hidden="1">
      <c r="A642" s="46" t="s">
        <v>572</v>
      </c>
      <c r="B642" s="28" t="s">
        <v>1336</v>
      </c>
      <c r="C642" s="28" t="s">
        <v>88</v>
      </c>
      <c r="D642" s="28" t="s">
        <v>689</v>
      </c>
      <c r="E642" s="28" t="s">
        <v>639</v>
      </c>
      <c r="F642" s="28" t="s">
        <v>1608</v>
      </c>
      <c r="G642" s="28" t="s">
        <v>1608</v>
      </c>
      <c r="H642" s="28" t="s">
        <v>1616</v>
      </c>
      <c r="I642" s="28" t="e">
        <f>VLOOKUP(F642,표준용어사전!$B:$D,3,FALSE)</f>
        <v>#N/A</v>
      </c>
      <c r="J642" s="28" t="s">
        <v>709</v>
      </c>
      <c r="K642" s="27">
        <v>50</v>
      </c>
      <c r="L642" s="29" t="s">
        <v>571</v>
      </c>
      <c r="M642" s="29" t="s">
        <v>725</v>
      </c>
      <c r="N642" s="29" t="s">
        <v>572</v>
      </c>
      <c r="O642" s="28"/>
      <c r="P642" s="28"/>
      <c r="Q642" s="28" t="s">
        <v>76</v>
      </c>
      <c r="R642" s="29"/>
      <c r="S642" s="28"/>
      <c r="T642" s="28"/>
      <c r="U642" s="28" t="s">
        <v>75</v>
      </c>
      <c r="V642" s="28" t="s">
        <v>75</v>
      </c>
      <c r="W642" s="28"/>
    </row>
    <row r="643" spans="1:23" s="12" customFormat="1" hidden="1">
      <c r="A643" s="46" t="s">
        <v>572</v>
      </c>
      <c r="B643" s="28" t="s">
        <v>1336</v>
      </c>
      <c r="C643" s="28" t="s">
        <v>88</v>
      </c>
      <c r="D643" s="28" t="s">
        <v>689</v>
      </c>
      <c r="E643" s="28" t="s">
        <v>640</v>
      </c>
      <c r="F643" s="28" t="s">
        <v>1620</v>
      </c>
      <c r="G643" s="28" t="s">
        <v>1620</v>
      </c>
      <c r="H643" s="28" t="s">
        <v>1616</v>
      </c>
      <c r="I643" s="28" t="str">
        <f>VLOOKUP(F643,표준용어사전!$B:$D,3,FALSE)</f>
        <v>명V512</v>
      </c>
      <c r="J643" s="28" t="s">
        <v>718</v>
      </c>
      <c r="K643" s="27">
        <v>512</v>
      </c>
      <c r="L643" s="29" t="s">
        <v>571</v>
      </c>
      <c r="M643" s="29" t="s">
        <v>721</v>
      </c>
      <c r="N643" s="29" t="s">
        <v>572</v>
      </c>
      <c r="O643" s="28"/>
      <c r="P643" s="28"/>
      <c r="Q643" s="28" t="s">
        <v>76</v>
      </c>
      <c r="R643" s="29"/>
      <c r="S643" s="28"/>
      <c r="T643" s="28"/>
      <c r="U643" s="28" t="s">
        <v>75</v>
      </c>
      <c r="V643" s="28" t="s">
        <v>75</v>
      </c>
      <c r="W643" s="28"/>
    </row>
    <row r="644" spans="1:23" s="12" customFormat="1" hidden="1">
      <c r="A644" s="46" t="s">
        <v>572</v>
      </c>
      <c r="B644" s="28" t="s">
        <v>1336</v>
      </c>
      <c r="C644" s="28" t="s">
        <v>88</v>
      </c>
      <c r="D644" s="28" t="s">
        <v>689</v>
      </c>
      <c r="E644" s="28" t="s">
        <v>89</v>
      </c>
      <c r="F644" s="28" t="s">
        <v>501</v>
      </c>
      <c r="G644" s="28" t="s">
        <v>501</v>
      </c>
      <c r="H644" s="28" t="s">
        <v>1616</v>
      </c>
      <c r="I644" s="28" t="str">
        <f>VLOOKUP(F644,표준용어사전!$B:$D,3,FALSE)</f>
        <v>명V20</v>
      </c>
      <c r="J644" s="28" t="s">
        <v>718</v>
      </c>
      <c r="K644" s="27">
        <v>50</v>
      </c>
      <c r="L644" s="29" t="s">
        <v>571</v>
      </c>
      <c r="M644" s="29" t="s">
        <v>720</v>
      </c>
      <c r="N644" s="29" t="s">
        <v>572</v>
      </c>
      <c r="O644" s="28"/>
      <c r="P644" s="28"/>
      <c r="Q644" s="28" t="s">
        <v>76</v>
      </c>
      <c r="R644" s="29"/>
      <c r="S644" s="28"/>
      <c r="T644" s="28"/>
      <c r="U644" s="28" t="s">
        <v>75</v>
      </c>
      <c r="V644" s="28" t="s">
        <v>75</v>
      </c>
      <c r="W644" s="28"/>
    </row>
    <row r="645" spans="1:23" s="12" customFormat="1" hidden="1">
      <c r="A645" s="46" t="s">
        <v>572</v>
      </c>
      <c r="B645" s="28" t="s">
        <v>1336</v>
      </c>
      <c r="C645" s="28" t="s">
        <v>88</v>
      </c>
      <c r="D645" s="28" t="s">
        <v>689</v>
      </c>
      <c r="E645" s="28" t="s">
        <v>295</v>
      </c>
      <c r="F645" s="28" t="s">
        <v>518</v>
      </c>
      <c r="G645" s="28" t="s">
        <v>518</v>
      </c>
      <c r="H645" s="28" t="s">
        <v>1616</v>
      </c>
      <c r="I645" s="28" t="str">
        <f>VLOOKUP(F645,표준용어사전!$B:$D,3,FALSE)</f>
        <v>명V50</v>
      </c>
      <c r="J645" s="28" t="s">
        <v>718</v>
      </c>
      <c r="K645" s="27">
        <v>20</v>
      </c>
      <c r="L645" s="29" t="s">
        <v>571</v>
      </c>
      <c r="M645" s="29" t="s">
        <v>720</v>
      </c>
      <c r="N645" s="29" t="s">
        <v>572</v>
      </c>
      <c r="O645" s="28"/>
      <c r="P645" s="28"/>
      <c r="Q645" s="28" t="s">
        <v>76</v>
      </c>
      <c r="R645" s="29"/>
      <c r="S645" s="28"/>
      <c r="T645" s="28"/>
      <c r="U645" s="28" t="s">
        <v>75</v>
      </c>
      <c r="V645" s="28" t="s">
        <v>75</v>
      </c>
      <c r="W645" s="28"/>
    </row>
    <row r="646" spans="1:23" s="12" customFormat="1" hidden="1">
      <c r="A646" s="46" t="s">
        <v>572</v>
      </c>
      <c r="B646" s="28" t="s">
        <v>1336</v>
      </c>
      <c r="C646" s="28" t="s">
        <v>88</v>
      </c>
      <c r="D646" s="28" t="s">
        <v>689</v>
      </c>
      <c r="E646" s="28" t="s">
        <v>294</v>
      </c>
      <c r="F646" s="28" t="s">
        <v>517</v>
      </c>
      <c r="G646" s="28" t="s">
        <v>517</v>
      </c>
      <c r="H646" s="28" t="s">
        <v>1616</v>
      </c>
      <c r="I646" s="28" t="str">
        <f>VLOOKUP(F646,표준용어사전!$B:$D,3,FALSE)</f>
        <v>명V50</v>
      </c>
      <c r="J646" s="28" t="s">
        <v>718</v>
      </c>
      <c r="K646" s="27">
        <v>50</v>
      </c>
      <c r="L646" s="29" t="s">
        <v>571</v>
      </c>
      <c r="M646" s="29" t="s">
        <v>720</v>
      </c>
      <c r="N646" s="29" t="s">
        <v>572</v>
      </c>
      <c r="O646" s="28"/>
      <c r="P646" s="28"/>
      <c r="Q646" s="28" t="s">
        <v>76</v>
      </c>
      <c r="R646" s="29"/>
      <c r="S646" s="28"/>
      <c r="T646" s="28"/>
      <c r="U646" s="28" t="s">
        <v>75</v>
      </c>
      <c r="V646" s="28" t="s">
        <v>75</v>
      </c>
      <c r="W646" s="28"/>
    </row>
    <row r="647" spans="1:23" s="12" customFormat="1" hidden="1">
      <c r="A647" s="46" t="s">
        <v>572</v>
      </c>
      <c r="B647" s="28" t="s">
        <v>1336</v>
      </c>
      <c r="C647" s="28" t="s">
        <v>88</v>
      </c>
      <c r="D647" s="28" t="s">
        <v>689</v>
      </c>
      <c r="E647" s="28" t="s">
        <v>151</v>
      </c>
      <c r="F647" s="28" t="s">
        <v>413</v>
      </c>
      <c r="G647" s="28" t="s">
        <v>413</v>
      </c>
      <c r="H647" s="28" t="s">
        <v>1616</v>
      </c>
      <c r="I647" s="28" t="str">
        <f>VLOOKUP(F647,표준용어사전!$B:$D,3,FALSE)</f>
        <v>번호N10</v>
      </c>
      <c r="J647" s="28" t="s">
        <v>748</v>
      </c>
      <c r="K647" s="27">
        <v>10</v>
      </c>
      <c r="L647" s="29" t="s">
        <v>571</v>
      </c>
      <c r="M647" s="29">
        <v>9999999999</v>
      </c>
      <c r="N647" s="29" t="s">
        <v>572</v>
      </c>
      <c r="O647" s="28"/>
      <c r="P647" s="28"/>
      <c r="Q647" s="28" t="s">
        <v>76</v>
      </c>
      <c r="R647" s="29"/>
      <c r="S647" s="28"/>
      <c r="T647" s="28"/>
      <c r="U647" s="28" t="s">
        <v>75</v>
      </c>
      <c r="V647" s="28" t="s">
        <v>75</v>
      </c>
      <c r="W647" s="28"/>
    </row>
    <row r="648" spans="1:23" s="12" customFormat="1" hidden="1">
      <c r="A648" s="46" t="s">
        <v>572</v>
      </c>
      <c r="B648" s="28" t="s">
        <v>1336</v>
      </c>
      <c r="C648" s="28" t="s">
        <v>88</v>
      </c>
      <c r="D648" s="28" t="s">
        <v>689</v>
      </c>
      <c r="E648" s="28" t="s">
        <v>202</v>
      </c>
      <c r="F648" s="28" t="s">
        <v>451</v>
      </c>
      <c r="G648" s="28" t="s">
        <v>451</v>
      </c>
      <c r="H648" s="28" t="s">
        <v>1616</v>
      </c>
      <c r="I648" s="28" t="str">
        <f>VLOOKUP(F648,표준용어사전!$B:$D,3,FALSE)</f>
        <v>명V20</v>
      </c>
      <c r="J648" s="28" t="s">
        <v>718</v>
      </c>
      <c r="K648" s="27">
        <v>50</v>
      </c>
      <c r="L648" s="29" t="s">
        <v>571</v>
      </c>
      <c r="M648" s="29" t="s">
        <v>720</v>
      </c>
      <c r="N648" s="29" t="s">
        <v>572</v>
      </c>
      <c r="O648" s="28"/>
      <c r="P648" s="28"/>
      <c r="Q648" s="28" t="s">
        <v>76</v>
      </c>
      <c r="R648" s="29"/>
      <c r="S648" s="28"/>
      <c r="T648" s="28"/>
      <c r="U648" s="28" t="s">
        <v>75</v>
      </c>
      <c r="V648" s="28" t="s">
        <v>75</v>
      </c>
      <c r="W648" s="28"/>
    </row>
    <row r="649" spans="1:23" s="12" customFormat="1" hidden="1">
      <c r="A649" s="46" t="s">
        <v>572</v>
      </c>
      <c r="B649" s="28" t="s">
        <v>1336</v>
      </c>
      <c r="C649" s="28" t="s">
        <v>88</v>
      </c>
      <c r="D649" s="28" t="s">
        <v>689</v>
      </c>
      <c r="E649" s="28" t="s">
        <v>241</v>
      </c>
      <c r="F649" s="28" t="s">
        <v>478</v>
      </c>
      <c r="G649" s="28" t="s">
        <v>478</v>
      </c>
      <c r="H649" s="28" t="s">
        <v>1616</v>
      </c>
      <c r="I649" s="28" t="str">
        <f>VLOOKUP(F649,표준용어사전!$B:$D,3,FALSE)</f>
        <v>명V50</v>
      </c>
      <c r="J649" s="28" t="s">
        <v>718</v>
      </c>
      <c r="K649" s="27">
        <v>50</v>
      </c>
      <c r="L649" s="29" t="s">
        <v>571</v>
      </c>
      <c r="M649" s="29" t="s">
        <v>720</v>
      </c>
      <c r="N649" s="29" t="s">
        <v>572</v>
      </c>
      <c r="O649" s="28"/>
      <c r="P649" s="28"/>
      <c r="Q649" s="28" t="s">
        <v>76</v>
      </c>
      <c r="R649" s="29"/>
      <c r="S649" s="28"/>
      <c r="T649" s="28"/>
      <c r="U649" s="28" t="s">
        <v>75</v>
      </c>
      <c r="V649" s="28" t="s">
        <v>75</v>
      </c>
      <c r="W649" s="28"/>
    </row>
    <row r="650" spans="1:23" s="12" customFormat="1" hidden="1">
      <c r="A650" s="46" t="s">
        <v>572</v>
      </c>
      <c r="B650" s="28" t="s">
        <v>1336</v>
      </c>
      <c r="C650" s="28" t="s">
        <v>88</v>
      </c>
      <c r="D650" s="28" t="s">
        <v>689</v>
      </c>
      <c r="E650" s="28" t="s">
        <v>91</v>
      </c>
      <c r="F650" s="28" t="s">
        <v>369</v>
      </c>
      <c r="G650" s="28" t="s">
        <v>369</v>
      </c>
      <c r="H650" s="28" t="s">
        <v>1616</v>
      </c>
      <c r="I650" s="28" t="str">
        <f>VLOOKUP(F650,표준용어사전!$B:$D,3,FALSE)</f>
        <v>명V20</v>
      </c>
      <c r="J650" s="28" t="s">
        <v>718</v>
      </c>
      <c r="K650" s="27">
        <v>20</v>
      </c>
      <c r="L650" s="29" t="s">
        <v>571</v>
      </c>
      <c r="M650" s="29" t="s">
        <v>727</v>
      </c>
      <c r="N650" s="29" t="s">
        <v>572</v>
      </c>
      <c r="O650" s="28"/>
      <c r="P650" s="28"/>
      <c r="Q650" s="28" t="s">
        <v>76</v>
      </c>
      <c r="R650" s="29"/>
      <c r="S650" s="28"/>
      <c r="T650" s="28"/>
      <c r="U650" s="28" t="s">
        <v>75</v>
      </c>
      <c r="V650" s="28" t="s">
        <v>75</v>
      </c>
      <c r="W650" s="28"/>
    </row>
    <row r="651" spans="1:23" s="12" customFormat="1" hidden="1">
      <c r="A651" s="46" t="s">
        <v>572</v>
      </c>
      <c r="B651" s="28" t="s">
        <v>1336</v>
      </c>
      <c r="C651" s="28" t="s">
        <v>88</v>
      </c>
      <c r="D651" s="28" t="s">
        <v>689</v>
      </c>
      <c r="E651" s="28" t="s">
        <v>90</v>
      </c>
      <c r="F651" s="28" t="s">
        <v>14</v>
      </c>
      <c r="G651" s="28" t="s">
        <v>14</v>
      </c>
      <c r="H651" s="28" t="s">
        <v>1616</v>
      </c>
      <c r="I651" s="28" t="str">
        <f>VLOOKUP(F651,표준용어사전!$B:$D,3,FALSE)</f>
        <v>연월일시분초TS</v>
      </c>
      <c r="J651" s="28" t="s">
        <v>16</v>
      </c>
      <c r="K651" s="27" t="s">
        <v>571</v>
      </c>
      <c r="L651" s="29" t="s">
        <v>571</v>
      </c>
      <c r="M651" s="29" t="s">
        <v>726</v>
      </c>
      <c r="N651" s="29" t="s">
        <v>711</v>
      </c>
      <c r="O651" s="28"/>
      <c r="P651" s="28"/>
      <c r="Q651" s="28" t="s">
        <v>76</v>
      </c>
      <c r="R651" s="29"/>
      <c r="S651" s="28"/>
      <c r="T651" s="28" t="s">
        <v>574</v>
      </c>
      <c r="U651" s="28" t="s">
        <v>75</v>
      </c>
      <c r="V651" s="28" t="s">
        <v>75</v>
      </c>
      <c r="W651" s="28"/>
    </row>
    <row r="652" spans="1:23" s="12" customFormat="1" hidden="1">
      <c r="A652" s="46" t="s">
        <v>572</v>
      </c>
      <c r="B652" s="28" t="s">
        <v>1336</v>
      </c>
      <c r="C652" s="28" t="s">
        <v>88</v>
      </c>
      <c r="D652" s="28" t="s">
        <v>689</v>
      </c>
      <c r="E652" s="28" t="s">
        <v>868</v>
      </c>
      <c r="F652" s="28" t="s">
        <v>794</v>
      </c>
      <c r="G652" s="28" t="s">
        <v>794</v>
      </c>
      <c r="H652" s="28" t="s">
        <v>1616</v>
      </c>
      <c r="I652" s="28" t="str">
        <f>VLOOKUP(F652,표준용어사전!$B:$D,3,FALSE)</f>
        <v>여부C1</v>
      </c>
      <c r="J652" s="28" t="s">
        <v>709</v>
      </c>
      <c r="K652" s="27">
        <v>1</v>
      </c>
      <c r="L652" s="29" t="s">
        <v>571</v>
      </c>
      <c r="M652" s="29" t="s">
        <v>727</v>
      </c>
      <c r="N652" s="29" t="s">
        <v>75</v>
      </c>
      <c r="O652" s="28"/>
      <c r="P652" s="28"/>
      <c r="Q652" s="28" t="s">
        <v>76</v>
      </c>
      <c r="R652" s="29"/>
      <c r="S652" s="28"/>
      <c r="T652" s="28" t="s">
        <v>571</v>
      </c>
      <c r="U652" s="28" t="s">
        <v>75</v>
      </c>
      <c r="V652" s="28" t="s">
        <v>75</v>
      </c>
      <c r="W652" s="28"/>
    </row>
    <row r="653" spans="1:23" s="12" customFormat="1" hidden="1">
      <c r="A653" s="46" t="s">
        <v>572</v>
      </c>
      <c r="B653" s="28" t="s">
        <v>1336</v>
      </c>
      <c r="C653" s="28" t="s">
        <v>88</v>
      </c>
      <c r="D653" s="28" t="s">
        <v>689</v>
      </c>
      <c r="E653" s="28" t="s">
        <v>869</v>
      </c>
      <c r="F653" s="28" t="s">
        <v>795</v>
      </c>
      <c r="G653" s="28" t="s">
        <v>795</v>
      </c>
      <c r="H653" s="28" t="s">
        <v>1616</v>
      </c>
      <c r="I653" s="28" t="str">
        <f>VLOOKUP(F653,표준용어사전!$B:$D,3,FALSE)</f>
        <v>내용V2000</v>
      </c>
      <c r="J653" s="28" t="s">
        <v>718</v>
      </c>
      <c r="K653" s="27">
        <v>4000</v>
      </c>
      <c r="L653" s="29" t="s">
        <v>571</v>
      </c>
      <c r="M653" s="29" t="s">
        <v>737</v>
      </c>
      <c r="N653" s="29" t="s">
        <v>75</v>
      </c>
      <c r="O653" s="28"/>
      <c r="P653" s="28"/>
      <c r="Q653" s="28" t="s">
        <v>76</v>
      </c>
      <c r="R653" s="29"/>
      <c r="S653" s="28"/>
      <c r="T653" s="28"/>
      <c r="U653" s="28" t="s">
        <v>75</v>
      </c>
      <c r="V653" s="28" t="s">
        <v>75</v>
      </c>
      <c r="W653" s="28"/>
    </row>
    <row r="654" spans="1:23" s="12" customFormat="1" hidden="1">
      <c r="A654" s="46" t="s">
        <v>572</v>
      </c>
      <c r="B654" s="28" t="s">
        <v>1333</v>
      </c>
      <c r="C654" s="28" t="s">
        <v>88</v>
      </c>
      <c r="D654" s="28" t="s">
        <v>690</v>
      </c>
      <c r="E654" s="28" t="s">
        <v>89</v>
      </c>
      <c r="F654" s="28" t="s">
        <v>501</v>
      </c>
      <c r="G654" s="28" t="s">
        <v>501</v>
      </c>
      <c r="H654" s="28" t="s">
        <v>1621</v>
      </c>
      <c r="I654" s="28" t="str">
        <f>VLOOKUP(F654,표준용어사전!$B:$D,3,FALSE)</f>
        <v>명V20</v>
      </c>
      <c r="J654" s="28" t="s">
        <v>718</v>
      </c>
      <c r="K654" s="27">
        <v>50</v>
      </c>
      <c r="L654" s="29"/>
      <c r="M654" s="29" t="s">
        <v>720</v>
      </c>
      <c r="N654" s="29" t="s">
        <v>711</v>
      </c>
      <c r="O654" s="28" t="s">
        <v>641</v>
      </c>
      <c r="P654" s="28"/>
      <c r="Q654" s="28" t="s">
        <v>76</v>
      </c>
      <c r="R654" s="29"/>
      <c r="S654" s="28"/>
      <c r="T654" s="28"/>
      <c r="U654" s="28" t="s">
        <v>75</v>
      </c>
      <c r="V654" s="28" t="s">
        <v>75</v>
      </c>
      <c r="W654" s="28"/>
    </row>
    <row r="655" spans="1:23" s="12" customFormat="1" hidden="1">
      <c r="A655" s="46" t="s">
        <v>572</v>
      </c>
      <c r="B655" s="28" t="s">
        <v>1333</v>
      </c>
      <c r="C655" s="28" t="s">
        <v>88</v>
      </c>
      <c r="D655" s="28" t="s">
        <v>690</v>
      </c>
      <c r="E655" s="28" t="s">
        <v>870</v>
      </c>
      <c r="F655" s="28" t="s">
        <v>796</v>
      </c>
      <c r="G655" s="28" t="s">
        <v>796</v>
      </c>
      <c r="H655" s="28" t="s">
        <v>1621</v>
      </c>
      <c r="I655" s="28" t="str">
        <f>VLOOKUP(F655,표준용어사전!$B:$D,3,FALSE)</f>
        <v>여부C1</v>
      </c>
      <c r="J655" s="28" t="s">
        <v>709</v>
      </c>
      <c r="K655" s="27">
        <v>1</v>
      </c>
      <c r="L655" s="29"/>
      <c r="M655" s="29" t="s">
        <v>722</v>
      </c>
      <c r="N655" s="29" t="s">
        <v>572</v>
      </c>
      <c r="O655" s="28"/>
      <c r="P655" s="28"/>
      <c r="Q655" s="28" t="s">
        <v>1396</v>
      </c>
      <c r="R655" s="29">
        <v>1</v>
      </c>
      <c r="S655" s="28"/>
      <c r="T655" s="28" t="s">
        <v>576</v>
      </c>
      <c r="U655" s="28" t="s">
        <v>75</v>
      </c>
      <c r="V655" s="28" t="s">
        <v>75</v>
      </c>
      <c r="W655" s="28"/>
    </row>
    <row r="656" spans="1:23" s="12" customFormat="1" hidden="1">
      <c r="A656" s="46" t="s">
        <v>572</v>
      </c>
      <c r="B656" s="28" t="s">
        <v>1333</v>
      </c>
      <c r="C656" s="28" t="s">
        <v>88</v>
      </c>
      <c r="D656" s="28" t="s">
        <v>690</v>
      </c>
      <c r="E656" s="28" t="s">
        <v>871</v>
      </c>
      <c r="F656" s="28" t="s">
        <v>797</v>
      </c>
      <c r="G656" s="28" t="s">
        <v>797</v>
      </c>
      <c r="H656" s="28" t="s">
        <v>1621</v>
      </c>
      <c r="I656" s="28" t="str">
        <f>VLOOKUP(F656,표준용어사전!$B:$D,3,FALSE)</f>
        <v>연월일시분초TS</v>
      </c>
      <c r="J656" s="28" t="s">
        <v>16</v>
      </c>
      <c r="K656" s="27" t="s">
        <v>571</v>
      </c>
      <c r="L656" s="29" t="s">
        <v>571</v>
      </c>
      <c r="M656" s="29" t="s">
        <v>726</v>
      </c>
      <c r="N656" s="29" t="s">
        <v>75</v>
      </c>
      <c r="O656" s="28"/>
      <c r="P656" s="28"/>
      <c r="Q656" s="28" t="s">
        <v>76</v>
      </c>
      <c r="R656" s="29"/>
      <c r="S656" s="28"/>
      <c r="T656" s="28" t="s">
        <v>574</v>
      </c>
      <c r="U656" s="28" t="s">
        <v>75</v>
      </c>
      <c r="V656" s="28" t="s">
        <v>75</v>
      </c>
      <c r="W656" s="28"/>
    </row>
    <row r="657" spans="1:23" s="12" customFormat="1" hidden="1">
      <c r="A657" s="46" t="s">
        <v>572</v>
      </c>
      <c r="B657" s="28" t="s">
        <v>1333</v>
      </c>
      <c r="C657" s="28" t="s">
        <v>88</v>
      </c>
      <c r="D657" s="28" t="s">
        <v>690</v>
      </c>
      <c r="E657" s="28" t="s">
        <v>872</v>
      </c>
      <c r="F657" s="28" t="s">
        <v>798</v>
      </c>
      <c r="G657" s="28" t="s">
        <v>798</v>
      </c>
      <c r="H657" s="28" t="s">
        <v>1621</v>
      </c>
      <c r="I657" s="28" t="str">
        <f>VLOOKUP(F657,표준용어사전!$B:$D,3,FALSE)</f>
        <v>수N14</v>
      </c>
      <c r="J657" s="28" t="s">
        <v>748</v>
      </c>
      <c r="K657" s="27">
        <v>14</v>
      </c>
      <c r="L657" s="29" t="s">
        <v>571</v>
      </c>
      <c r="M657" s="29" t="s">
        <v>776</v>
      </c>
      <c r="N657" s="29" t="s">
        <v>75</v>
      </c>
      <c r="O657" s="28"/>
      <c r="P657" s="28"/>
      <c r="Q657" s="28" t="s">
        <v>76</v>
      </c>
      <c r="R657" s="29"/>
      <c r="S657" s="28"/>
      <c r="T657" s="28"/>
      <c r="U657" s="28" t="s">
        <v>75</v>
      </c>
      <c r="V657" s="28" t="s">
        <v>75</v>
      </c>
      <c r="W657" s="28"/>
    </row>
    <row r="658" spans="1:23" s="12" customFormat="1" hidden="1">
      <c r="A658" s="46" t="s">
        <v>572</v>
      </c>
      <c r="B658" s="28" t="s">
        <v>1333</v>
      </c>
      <c r="C658" s="28" t="s">
        <v>88</v>
      </c>
      <c r="D658" s="28" t="s">
        <v>690</v>
      </c>
      <c r="E658" s="28" t="s">
        <v>873</v>
      </c>
      <c r="F658" s="28" t="s">
        <v>799</v>
      </c>
      <c r="G658" s="28" t="s">
        <v>799</v>
      </c>
      <c r="H658" s="28" t="s">
        <v>1621</v>
      </c>
      <c r="I658" s="28" t="str">
        <f>VLOOKUP(F658,표준용어사전!$B:$D,3,FALSE)</f>
        <v>수N14</v>
      </c>
      <c r="J658" s="28" t="s">
        <v>748</v>
      </c>
      <c r="K658" s="27">
        <v>14</v>
      </c>
      <c r="L658" s="29" t="s">
        <v>571</v>
      </c>
      <c r="M658" s="29" t="s">
        <v>776</v>
      </c>
      <c r="N658" s="29" t="s">
        <v>75</v>
      </c>
      <c r="O658" s="28"/>
      <c r="P658" s="28"/>
      <c r="Q658" s="28" t="s">
        <v>76</v>
      </c>
      <c r="R658" s="29"/>
      <c r="S658" s="28"/>
      <c r="T658" s="28"/>
      <c r="U658" s="28" t="s">
        <v>75</v>
      </c>
      <c r="V658" s="28" t="s">
        <v>75</v>
      </c>
      <c r="W658" s="28"/>
    </row>
    <row r="659" spans="1:23" s="12" customFormat="1" hidden="1">
      <c r="A659" s="46" t="s">
        <v>572</v>
      </c>
      <c r="B659" s="28" t="s">
        <v>1333</v>
      </c>
      <c r="C659" s="28" t="s">
        <v>88</v>
      </c>
      <c r="D659" s="28" t="s">
        <v>690</v>
      </c>
      <c r="E659" s="28" t="s">
        <v>874</v>
      </c>
      <c r="F659" s="28" t="s">
        <v>800</v>
      </c>
      <c r="G659" s="28" t="s">
        <v>800</v>
      </c>
      <c r="H659" s="28" t="s">
        <v>1621</v>
      </c>
      <c r="I659" s="28" t="str">
        <f>VLOOKUP(F659,표준용어사전!$B:$D,3,FALSE)</f>
        <v>연월일시분초TS</v>
      </c>
      <c r="J659" s="28" t="s">
        <v>16</v>
      </c>
      <c r="K659" s="27" t="s">
        <v>571</v>
      </c>
      <c r="L659" s="29" t="s">
        <v>571</v>
      </c>
      <c r="M659" s="29" t="s">
        <v>726</v>
      </c>
      <c r="N659" s="29" t="s">
        <v>75</v>
      </c>
      <c r="O659" s="28"/>
      <c r="P659" s="28"/>
      <c r="Q659" s="28" t="s">
        <v>76</v>
      </c>
      <c r="R659" s="29"/>
      <c r="S659" s="28"/>
      <c r="T659" s="28" t="s">
        <v>574</v>
      </c>
      <c r="U659" s="28" t="s">
        <v>75</v>
      </c>
      <c r="V659" s="28" t="s">
        <v>75</v>
      </c>
      <c r="W659" s="28"/>
    </row>
    <row r="660" spans="1:23" s="12" customFormat="1" hidden="1">
      <c r="A660" s="46" t="s">
        <v>572</v>
      </c>
      <c r="B660" s="28" t="s">
        <v>1333</v>
      </c>
      <c r="C660" s="28" t="s">
        <v>88</v>
      </c>
      <c r="D660" s="28" t="s">
        <v>690</v>
      </c>
      <c r="E660" s="28" t="s">
        <v>875</v>
      </c>
      <c r="F660" s="28" t="s">
        <v>801</v>
      </c>
      <c r="G660" s="28" t="s">
        <v>801</v>
      </c>
      <c r="H660" s="28" t="s">
        <v>1621</v>
      </c>
      <c r="I660" s="28" t="str">
        <f>VLOOKUP(F660,표준용어사전!$B:$D,3,FALSE)</f>
        <v>수N14</v>
      </c>
      <c r="J660" s="28" t="s">
        <v>748</v>
      </c>
      <c r="K660" s="27">
        <v>14</v>
      </c>
      <c r="L660" s="29" t="s">
        <v>571</v>
      </c>
      <c r="M660" s="29" t="s">
        <v>776</v>
      </c>
      <c r="N660" s="29" t="s">
        <v>75</v>
      </c>
      <c r="O660" s="28"/>
      <c r="P660" s="28"/>
      <c r="Q660" s="28" t="s">
        <v>76</v>
      </c>
      <c r="R660" s="29"/>
      <c r="S660" s="28"/>
      <c r="T660" s="28"/>
      <c r="U660" s="28" t="s">
        <v>75</v>
      </c>
      <c r="V660" s="28" t="s">
        <v>75</v>
      </c>
      <c r="W660" s="28"/>
    </row>
    <row r="661" spans="1:23" s="12" customFormat="1" hidden="1">
      <c r="A661" s="46" t="s">
        <v>572</v>
      </c>
      <c r="B661" s="28" t="s">
        <v>1333</v>
      </c>
      <c r="C661" s="28" t="s">
        <v>88</v>
      </c>
      <c r="D661" s="28" t="s">
        <v>690</v>
      </c>
      <c r="E661" s="28" t="s">
        <v>876</v>
      </c>
      <c r="F661" s="28" t="s">
        <v>802</v>
      </c>
      <c r="G661" s="28" t="s">
        <v>802</v>
      </c>
      <c r="H661" s="28" t="s">
        <v>1621</v>
      </c>
      <c r="I661" s="28" t="str">
        <f>VLOOKUP(F661,표준용어사전!$B:$D,3,FALSE)</f>
        <v>수N14</v>
      </c>
      <c r="J661" s="28" t="s">
        <v>748</v>
      </c>
      <c r="K661" s="27">
        <v>14</v>
      </c>
      <c r="L661" s="29" t="s">
        <v>571</v>
      </c>
      <c r="M661" s="29" t="s">
        <v>776</v>
      </c>
      <c r="N661" s="29" t="s">
        <v>75</v>
      </c>
      <c r="O661" s="28"/>
      <c r="P661" s="28"/>
      <c r="Q661" s="28" t="s">
        <v>76</v>
      </c>
      <c r="R661" s="29"/>
      <c r="S661" s="28"/>
      <c r="T661" s="28"/>
      <c r="U661" s="28" t="s">
        <v>75</v>
      </c>
      <c r="V661" s="28" t="s">
        <v>75</v>
      </c>
      <c r="W661" s="28"/>
    </row>
    <row r="662" spans="1:23" s="12" customFormat="1" hidden="1">
      <c r="A662" s="46" t="s">
        <v>572</v>
      </c>
      <c r="B662" s="28" t="s">
        <v>1333</v>
      </c>
      <c r="C662" s="28" t="s">
        <v>88</v>
      </c>
      <c r="D662" s="28" t="s">
        <v>690</v>
      </c>
      <c r="E662" s="28" t="s">
        <v>877</v>
      </c>
      <c r="F662" s="28" t="s">
        <v>803</v>
      </c>
      <c r="G662" s="28" t="s">
        <v>803</v>
      </c>
      <c r="H662" s="28" t="s">
        <v>1621</v>
      </c>
      <c r="I662" s="28" t="str">
        <f>VLOOKUP(F662,표준용어사전!$B:$D,3,FALSE)</f>
        <v>연월일시분초TS</v>
      </c>
      <c r="J662" s="28" t="s">
        <v>16</v>
      </c>
      <c r="K662" s="27" t="s">
        <v>571</v>
      </c>
      <c r="L662" s="29" t="s">
        <v>571</v>
      </c>
      <c r="M662" s="29" t="s">
        <v>726</v>
      </c>
      <c r="N662" s="29" t="s">
        <v>75</v>
      </c>
      <c r="O662" s="28"/>
      <c r="P662" s="28"/>
      <c r="Q662" s="28" t="s">
        <v>76</v>
      </c>
      <c r="R662" s="29"/>
      <c r="S662" s="28"/>
      <c r="T662" s="28" t="s">
        <v>574</v>
      </c>
      <c r="U662" s="28" t="s">
        <v>75</v>
      </c>
      <c r="V662" s="28" t="s">
        <v>75</v>
      </c>
      <c r="W662" s="28"/>
    </row>
    <row r="663" spans="1:23" s="12" customFormat="1" hidden="1">
      <c r="A663" s="46" t="s">
        <v>572</v>
      </c>
      <c r="B663" s="28" t="s">
        <v>1333</v>
      </c>
      <c r="C663" s="28" t="s">
        <v>88</v>
      </c>
      <c r="D663" s="28" t="s">
        <v>690</v>
      </c>
      <c r="E663" s="28" t="s">
        <v>878</v>
      </c>
      <c r="F663" s="28" t="s">
        <v>804</v>
      </c>
      <c r="G663" s="28" t="s">
        <v>804</v>
      </c>
      <c r="H663" s="28" t="s">
        <v>1621</v>
      </c>
      <c r="I663" s="28" t="str">
        <f>VLOOKUP(F663,표준용어사전!$B:$D,3,FALSE)</f>
        <v>수N14</v>
      </c>
      <c r="J663" s="28" t="s">
        <v>748</v>
      </c>
      <c r="K663" s="27">
        <v>14</v>
      </c>
      <c r="L663" s="29" t="s">
        <v>571</v>
      </c>
      <c r="M663" s="29" t="s">
        <v>776</v>
      </c>
      <c r="N663" s="29" t="s">
        <v>75</v>
      </c>
      <c r="O663" s="28"/>
      <c r="P663" s="28"/>
      <c r="Q663" s="28" t="s">
        <v>76</v>
      </c>
      <c r="R663" s="29"/>
      <c r="S663" s="28"/>
      <c r="T663" s="28"/>
      <c r="U663" s="28" t="s">
        <v>75</v>
      </c>
      <c r="V663" s="28" t="s">
        <v>75</v>
      </c>
      <c r="W663" s="28"/>
    </row>
    <row r="664" spans="1:23" s="12" customFormat="1" hidden="1">
      <c r="A664" s="46" t="s">
        <v>572</v>
      </c>
      <c r="B664" s="28" t="s">
        <v>1333</v>
      </c>
      <c r="C664" s="28" t="s">
        <v>88</v>
      </c>
      <c r="D664" s="28" t="s">
        <v>690</v>
      </c>
      <c r="E664" s="28" t="s">
        <v>879</v>
      </c>
      <c r="F664" s="28" t="s">
        <v>805</v>
      </c>
      <c r="G664" s="28" t="s">
        <v>805</v>
      </c>
      <c r="H664" s="28" t="s">
        <v>1621</v>
      </c>
      <c r="I664" s="28" t="str">
        <f>VLOOKUP(F664,표준용어사전!$B:$D,3,FALSE)</f>
        <v>수N14</v>
      </c>
      <c r="J664" s="28" t="s">
        <v>748</v>
      </c>
      <c r="K664" s="27">
        <v>14</v>
      </c>
      <c r="L664" s="29" t="s">
        <v>571</v>
      </c>
      <c r="M664" s="29" t="s">
        <v>776</v>
      </c>
      <c r="N664" s="29" t="s">
        <v>75</v>
      </c>
      <c r="O664" s="28"/>
      <c r="P664" s="28"/>
      <c r="Q664" s="28" t="s">
        <v>76</v>
      </c>
      <c r="R664" s="29"/>
      <c r="S664" s="28"/>
      <c r="T664" s="28"/>
      <c r="U664" s="28" t="s">
        <v>75</v>
      </c>
      <c r="V664" s="28" t="s">
        <v>75</v>
      </c>
      <c r="W664" s="28"/>
    </row>
    <row r="665" spans="1:23" s="12" customFormat="1" hidden="1">
      <c r="A665" s="46" t="s">
        <v>572</v>
      </c>
      <c r="B665" s="28" t="s">
        <v>1333</v>
      </c>
      <c r="C665" s="28" t="s">
        <v>88</v>
      </c>
      <c r="D665" s="28" t="s">
        <v>690</v>
      </c>
      <c r="E665" s="28" t="s">
        <v>253</v>
      </c>
      <c r="F665" s="28" t="s">
        <v>485</v>
      </c>
      <c r="G665" s="28" t="s">
        <v>485</v>
      </c>
      <c r="H665" s="28" t="s">
        <v>1621</v>
      </c>
      <c r="I665" s="28" t="str">
        <f>VLOOKUP(F665,표준용어사전!$B:$D,3,FALSE)</f>
        <v>여부C1</v>
      </c>
      <c r="J665" s="28" t="s">
        <v>709</v>
      </c>
      <c r="K665" s="27">
        <v>1</v>
      </c>
      <c r="L665" s="29"/>
      <c r="M665" s="29" t="s">
        <v>722</v>
      </c>
      <c r="N665" s="29" t="s">
        <v>75</v>
      </c>
      <c r="O665" s="28"/>
      <c r="P665" s="28"/>
      <c r="Q665" s="28" t="s">
        <v>1397</v>
      </c>
      <c r="R665" s="29">
        <v>2</v>
      </c>
      <c r="S665" s="28"/>
      <c r="T665" s="28" t="s">
        <v>576</v>
      </c>
      <c r="U665" s="28" t="s">
        <v>75</v>
      </c>
      <c r="V665" s="28" t="s">
        <v>75</v>
      </c>
      <c r="W665" s="28"/>
    </row>
    <row r="666" spans="1:23" s="12" customFormat="1" hidden="1">
      <c r="A666" s="46" t="s">
        <v>572</v>
      </c>
      <c r="B666" s="28" t="s">
        <v>1333</v>
      </c>
      <c r="C666" s="28" t="s">
        <v>88</v>
      </c>
      <c r="D666" s="28" t="s">
        <v>690</v>
      </c>
      <c r="E666" s="28" t="s">
        <v>880</v>
      </c>
      <c r="F666" s="28" t="s">
        <v>806</v>
      </c>
      <c r="G666" s="28" t="s">
        <v>806</v>
      </c>
      <c r="H666" s="28" t="s">
        <v>1621</v>
      </c>
      <c r="I666" s="28" t="str">
        <f>VLOOKUP(F666,표준용어사전!$B:$D,3,FALSE)</f>
        <v>연월일시분초TS</v>
      </c>
      <c r="J666" s="28" t="s">
        <v>16</v>
      </c>
      <c r="K666" s="27" t="s">
        <v>571</v>
      </c>
      <c r="L666" s="29" t="s">
        <v>571</v>
      </c>
      <c r="M666" s="29" t="s">
        <v>726</v>
      </c>
      <c r="N666" s="29" t="s">
        <v>75</v>
      </c>
      <c r="O666" s="28"/>
      <c r="P666" s="28"/>
      <c r="Q666" s="28" t="s">
        <v>76</v>
      </c>
      <c r="R666" s="29"/>
      <c r="S666" s="28"/>
      <c r="T666" s="28" t="s">
        <v>574</v>
      </c>
      <c r="U666" s="28" t="s">
        <v>75</v>
      </c>
      <c r="V666" s="28" t="s">
        <v>75</v>
      </c>
      <c r="W666" s="28"/>
    </row>
    <row r="667" spans="1:23" s="12" customFormat="1" hidden="1">
      <c r="A667" s="46" t="s">
        <v>572</v>
      </c>
      <c r="B667" s="28" t="s">
        <v>1333</v>
      </c>
      <c r="C667" s="28" t="s">
        <v>88</v>
      </c>
      <c r="D667" s="28" t="s">
        <v>690</v>
      </c>
      <c r="E667" s="28" t="s">
        <v>254</v>
      </c>
      <c r="F667" s="28" t="s">
        <v>486</v>
      </c>
      <c r="G667" s="28" t="s">
        <v>486</v>
      </c>
      <c r="H667" s="28" t="s">
        <v>1621</v>
      </c>
      <c r="I667" s="28" t="str">
        <f>VLOOKUP(F667,표준용어사전!$B:$D,3,FALSE)</f>
        <v>수N14</v>
      </c>
      <c r="J667" s="28" t="s">
        <v>748</v>
      </c>
      <c r="K667" s="27">
        <v>14</v>
      </c>
      <c r="L667" s="29" t="s">
        <v>571</v>
      </c>
      <c r="M667" s="29" t="s">
        <v>776</v>
      </c>
      <c r="N667" s="29" t="s">
        <v>75</v>
      </c>
      <c r="O667" s="28"/>
      <c r="P667" s="28"/>
      <c r="Q667" s="28" t="s">
        <v>76</v>
      </c>
      <c r="R667" s="29"/>
      <c r="S667" s="28"/>
      <c r="T667" s="28"/>
      <c r="U667" s="28" t="s">
        <v>75</v>
      </c>
      <c r="V667" s="28" t="s">
        <v>75</v>
      </c>
      <c r="W667" s="28"/>
    </row>
    <row r="668" spans="1:23" s="12" customFormat="1" hidden="1">
      <c r="A668" s="46" t="s">
        <v>572</v>
      </c>
      <c r="B668" s="28" t="s">
        <v>1333</v>
      </c>
      <c r="C668" s="28" t="s">
        <v>88</v>
      </c>
      <c r="D668" s="28" t="s">
        <v>690</v>
      </c>
      <c r="E668" s="28" t="s">
        <v>255</v>
      </c>
      <c r="F668" s="28" t="s">
        <v>487</v>
      </c>
      <c r="G668" s="28" t="s">
        <v>487</v>
      </c>
      <c r="H668" s="28" t="s">
        <v>1621</v>
      </c>
      <c r="I668" s="28" t="str">
        <f>VLOOKUP(F668,표준용어사전!$B:$D,3,FALSE)</f>
        <v>수N14</v>
      </c>
      <c r="J668" s="28" t="s">
        <v>748</v>
      </c>
      <c r="K668" s="27">
        <v>14</v>
      </c>
      <c r="L668" s="29" t="s">
        <v>571</v>
      </c>
      <c r="M668" s="29" t="s">
        <v>776</v>
      </c>
      <c r="N668" s="29" t="s">
        <v>75</v>
      </c>
      <c r="O668" s="28"/>
      <c r="P668" s="28"/>
      <c r="Q668" s="28" t="s">
        <v>76</v>
      </c>
      <c r="R668" s="29"/>
      <c r="S668" s="28"/>
      <c r="T668" s="28"/>
      <c r="U668" s="28" t="s">
        <v>75</v>
      </c>
      <c r="V668" s="28" t="s">
        <v>75</v>
      </c>
      <c r="W668" s="28"/>
    </row>
    <row r="669" spans="1:23" s="12" customFormat="1" hidden="1">
      <c r="A669" s="46" t="s">
        <v>572</v>
      </c>
      <c r="B669" s="28" t="s">
        <v>1333</v>
      </c>
      <c r="C669" s="28" t="s">
        <v>88</v>
      </c>
      <c r="D669" s="28" t="s">
        <v>690</v>
      </c>
      <c r="E669" s="28" t="s">
        <v>881</v>
      </c>
      <c r="F669" s="28" t="s">
        <v>807</v>
      </c>
      <c r="G669" s="28" t="s">
        <v>807</v>
      </c>
      <c r="H669" s="28" t="s">
        <v>1621</v>
      </c>
      <c r="I669" s="28" t="e">
        <f>VLOOKUP(F669,표준용어사전!$B:$D,3,FALSE)</f>
        <v>#N/A</v>
      </c>
      <c r="J669" s="28" t="s">
        <v>709</v>
      </c>
      <c r="K669" s="27">
        <v>1</v>
      </c>
      <c r="L669" s="29"/>
      <c r="M669" s="29" t="s">
        <v>722</v>
      </c>
      <c r="N669" s="29" t="s">
        <v>75</v>
      </c>
      <c r="O669" s="28"/>
      <c r="P669" s="28"/>
      <c r="Q669" s="28" t="s">
        <v>1398</v>
      </c>
      <c r="R669" s="29">
        <v>3</v>
      </c>
      <c r="S669" s="28"/>
      <c r="T669" s="28" t="s">
        <v>576</v>
      </c>
      <c r="U669" s="28" t="s">
        <v>75</v>
      </c>
      <c r="V669" s="28" t="s">
        <v>75</v>
      </c>
      <c r="W669" s="28"/>
    </row>
    <row r="670" spans="1:23" s="12" customFormat="1" hidden="1">
      <c r="A670" s="46" t="s">
        <v>572</v>
      </c>
      <c r="B670" s="28" t="s">
        <v>1333</v>
      </c>
      <c r="C670" s="28" t="s">
        <v>88</v>
      </c>
      <c r="D670" s="28" t="s">
        <v>690</v>
      </c>
      <c r="E670" s="28" t="s">
        <v>882</v>
      </c>
      <c r="F670" s="28" t="s">
        <v>808</v>
      </c>
      <c r="G670" s="28" t="s">
        <v>808</v>
      </c>
      <c r="H670" s="28" t="s">
        <v>1621</v>
      </c>
      <c r="I670" s="28" t="e">
        <f>VLOOKUP(F670,표준용어사전!$B:$D,3,FALSE)</f>
        <v>#N/A</v>
      </c>
      <c r="J670" s="28" t="s">
        <v>16</v>
      </c>
      <c r="K670" s="27" t="s">
        <v>571</v>
      </c>
      <c r="L670" s="29" t="s">
        <v>571</v>
      </c>
      <c r="M670" s="29" t="s">
        <v>726</v>
      </c>
      <c r="N670" s="29" t="s">
        <v>75</v>
      </c>
      <c r="O670" s="28"/>
      <c r="P670" s="28"/>
      <c r="Q670" s="28" t="s">
        <v>76</v>
      </c>
      <c r="R670" s="29"/>
      <c r="S670" s="28"/>
      <c r="T670" s="28" t="s">
        <v>574</v>
      </c>
      <c r="U670" s="28" t="s">
        <v>75</v>
      </c>
      <c r="V670" s="28" t="s">
        <v>75</v>
      </c>
      <c r="W670" s="28"/>
    </row>
    <row r="671" spans="1:23" s="12" customFormat="1" hidden="1">
      <c r="A671" s="46" t="s">
        <v>572</v>
      </c>
      <c r="B671" s="28" t="s">
        <v>1333</v>
      </c>
      <c r="C671" s="28" t="s">
        <v>88</v>
      </c>
      <c r="D671" s="28" t="s">
        <v>690</v>
      </c>
      <c r="E671" s="28" t="s">
        <v>883</v>
      </c>
      <c r="F671" s="28" t="s">
        <v>809</v>
      </c>
      <c r="G671" s="28" t="s">
        <v>809</v>
      </c>
      <c r="H671" s="28" t="s">
        <v>1621</v>
      </c>
      <c r="I671" s="28" t="e">
        <f>VLOOKUP(F671,표준용어사전!$B:$D,3,FALSE)</f>
        <v>#N/A</v>
      </c>
      <c r="J671" s="28" t="s">
        <v>748</v>
      </c>
      <c r="K671" s="27">
        <v>14</v>
      </c>
      <c r="L671" s="29" t="s">
        <v>571</v>
      </c>
      <c r="M671" s="29" t="s">
        <v>776</v>
      </c>
      <c r="N671" s="29" t="s">
        <v>75</v>
      </c>
      <c r="O671" s="28"/>
      <c r="P671" s="28"/>
      <c r="Q671" s="28" t="s">
        <v>76</v>
      </c>
      <c r="R671" s="29"/>
      <c r="S671" s="28"/>
      <c r="T671" s="28"/>
      <c r="U671" s="28" t="s">
        <v>75</v>
      </c>
      <c r="V671" s="28" t="s">
        <v>75</v>
      </c>
      <c r="W671" s="28"/>
    </row>
    <row r="672" spans="1:23" s="12" customFormat="1" hidden="1">
      <c r="A672" s="46" t="s">
        <v>572</v>
      </c>
      <c r="B672" s="28" t="s">
        <v>1333</v>
      </c>
      <c r="C672" s="28" t="s">
        <v>88</v>
      </c>
      <c r="D672" s="28" t="s">
        <v>690</v>
      </c>
      <c r="E672" s="28" t="s">
        <v>884</v>
      </c>
      <c r="F672" s="28" t="s">
        <v>810</v>
      </c>
      <c r="G672" s="28" t="s">
        <v>810</v>
      </c>
      <c r="H672" s="28" t="s">
        <v>1621</v>
      </c>
      <c r="I672" s="28" t="e">
        <f>VLOOKUP(F672,표준용어사전!$B:$D,3,FALSE)</f>
        <v>#N/A</v>
      </c>
      <c r="J672" s="28" t="s">
        <v>748</v>
      </c>
      <c r="K672" s="27">
        <v>14</v>
      </c>
      <c r="L672" s="29" t="s">
        <v>571</v>
      </c>
      <c r="M672" s="29" t="s">
        <v>776</v>
      </c>
      <c r="N672" s="29" t="s">
        <v>75</v>
      </c>
      <c r="O672" s="28"/>
      <c r="P672" s="28"/>
      <c r="Q672" s="28" t="s">
        <v>76</v>
      </c>
      <c r="R672" s="29"/>
      <c r="S672" s="28"/>
      <c r="T672" s="28"/>
      <c r="U672" s="28" t="s">
        <v>75</v>
      </c>
      <c r="V672" s="28" t="s">
        <v>75</v>
      </c>
      <c r="W672" s="28"/>
    </row>
    <row r="673" spans="1:23" s="12" customFormat="1" hidden="1">
      <c r="A673" s="46" t="s">
        <v>572</v>
      </c>
      <c r="B673" s="28" t="s">
        <v>1333</v>
      </c>
      <c r="C673" s="28" t="s">
        <v>88</v>
      </c>
      <c r="D673" s="28" t="s">
        <v>690</v>
      </c>
      <c r="E673" s="28" t="s">
        <v>265</v>
      </c>
      <c r="F673" s="28" t="s">
        <v>497</v>
      </c>
      <c r="G673" s="28" t="s">
        <v>497</v>
      </c>
      <c r="H673" s="28" t="s">
        <v>1621</v>
      </c>
      <c r="I673" s="28" t="str">
        <f>VLOOKUP(F673,표준용어사전!$B:$D,3,FALSE)</f>
        <v>여부C1</v>
      </c>
      <c r="J673" s="28" t="s">
        <v>709</v>
      </c>
      <c r="K673" s="27">
        <v>1</v>
      </c>
      <c r="L673" s="29"/>
      <c r="M673" s="29" t="s">
        <v>722</v>
      </c>
      <c r="N673" s="29" t="s">
        <v>75</v>
      </c>
      <c r="O673" s="28"/>
      <c r="P673" s="28"/>
      <c r="Q673" s="28" t="s">
        <v>1399</v>
      </c>
      <c r="R673" s="29">
        <v>4</v>
      </c>
      <c r="S673" s="28"/>
      <c r="T673" s="28" t="s">
        <v>576</v>
      </c>
      <c r="U673" s="28" t="s">
        <v>75</v>
      </c>
      <c r="V673" s="28" t="s">
        <v>75</v>
      </c>
      <c r="W673" s="28"/>
    </row>
    <row r="674" spans="1:23" s="12" customFormat="1" hidden="1">
      <c r="A674" s="46" t="s">
        <v>572</v>
      </c>
      <c r="B674" s="28" t="s">
        <v>1333</v>
      </c>
      <c r="C674" s="28" t="s">
        <v>88</v>
      </c>
      <c r="D674" s="28" t="s">
        <v>690</v>
      </c>
      <c r="E674" s="28" t="s">
        <v>885</v>
      </c>
      <c r="F674" s="28" t="s">
        <v>811</v>
      </c>
      <c r="G674" s="28" t="s">
        <v>811</v>
      </c>
      <c r="H674" s="28" t="s">
        <v>1621</v>
      </c>
      <c r="I674" s="28" t="str">
        <f>VLOOKUP(F674,표준용어사전!$B:$D,3,FALSE)</f>
        <v>연월일시분초TS</v>
      </c>
      <c r="J674" s="28" t="s">
        <v>16</v>
      </c>
      <c r="K674" s="27" t="s">
        <v>571</v>
      </c>
      <c r="L674" s="29" t="s">
        <v>571</v>
      </c>
      <c r="M674" s="29" t="s">
        <v>726</v>
      </c>
      <c r="N674" s="29" t="s">
        <v>75</v>
      </c>
      <c r="O674" s="28"/>
      <c r="P674" s="28"/>
      <c r="Q674" s="28" t="s">
        <v>76</v>
      </c>
      <c r="R674" s="29"/>
      <c r="S674" s="28"/>
      <c r="T674" s="28" t="s">
        <v>574</v>
      </c>
      <c r="U674" s="28" t="s">
        <v>75</v>
      </c>
      <c r="V674" s="28" t="s">
        <v>75</v>
      </c>
      <c r="W674" s="28"/>
    </row>
    <row r="675" spans="1:23" s="12" customFormat="1" hidden="1">
      <c r="A675" s="46" t="s">
        <v>572</v>
      </c>
      <c r="B675" s="28" t="s">
        <v>1333</v>
      </c>
      <c r="C675" s="28" t="s">
        <v>88</v>
      </c>
      <c r="D675" s="28" t="s">
        <v>690</v>
      </c>
      <c r="E675" s="28" t="s">
        <v>266</v>
      </c>
      <c r="F675" s="28" t="s">
        <v>498</v>
      </c>
      <c r="G675" s="28" t="s">
        <v>498</v>
      </c>
      <c r="H675" s="28" t="s">
        <v>1621</v>
      </c>
      <c r="I675" s="28" t="str">
        <f>VLOOKUP(F675,표준용어사전!$B:$D,3,FALSE)</f>
        <v>수N14</v>
      </c>
      <c r="J675" s="28" t="s">
        <v>748</v>
      </c>
      <c r="K675" s="27">
        <v>14</v>
      </c>
      <c r="L675" s="29" t="s">
        <v>571</v>
      </c>
      <c r="M675" s="29" t="s">
        <v>776</v>
      </c>
      <c r="N675" s="29" t="s">
        <v>75</v>
      </c>
      <c r="O675" s="28"/>
      <c r="P675" s="28"/>
      <c r="Q675" s="28" t="s">
        <v>76</v>
      </c>
      <c r="R675" s="29"/>
      <c r="S675" s="28"/>
      <c r="T675" s="28"/>
      <c r="U675" s="28" t="s">
        <v>75</v>
      </c>
      <c r="V675" s="28" t="s">
        <v>75</v>
      </c>
      <c r="W675" s="28"/>
    </row>
    <row r="676" spans="1:23" s="12" customFormat="1" hidden="1">
      <c r="A676" s="46" t="s">
        <v>572</v>
      </c>
      <c r="B676" s="28" t="s">
        <v>1333</v>
      </c>
      <c r="C676" s="28" t="s">
        <v>88</v>
      </c>
      <c r="D676" s="28" t="s">
        <v>690</v>
      </c>
      <c r="E676" s="28" t="s">
        <v>267</v>
      </c>
      <c r="F676" s="28" t="s">
        <v>499</v>
      </c>
      <c r="G676" s="28" t="s">
        <v>499</v>
      </c>
      <c r="H676" s="28" t="s">
        <v>1621</v>
      </c>
      <c r="I676" s="28" t="str">
        <f>VLOOKUP(F676,표준용어사전!$B:$D,3,FALSE)</f>
        <v>수N14</v>
      </c>
      <c r="J676" s="28" t="s">
        <v>748</v>
      </c>
      <c r="K676" s="27">
        <v>14</v>
      </c>
      <c r="L676" s="29" t="s">
        <v>571</v>
      </c>
      <c r="M676" s="29" t="s">
        <v>776</v>
      </c>
      <c r="N676" s="29" t="s">
        <v>75</v>
      </c>
      <c r="O676" s="28"/>
      <c r="P676" s="28"/>
      <c r="Q676" s="28" t="s">
        <v>76</v>
      </c>
      <c r="R676" s="29"/>
      <c r="S676" s="28"/>
      <c r="T676" s="28"/>
      <c r="U676" s="28" t="s">
        <v>75</v>
      </c>
      <c r="V676" s="28" t="s">
        <v>75</v>
      </c>
      <c r="W676" s="28"/>
    </row>
    <row r="677" spans="1:23" s="12" customFormat="1" hidden="1">
      <c r="A677" s="46" t="s">
        <v>572</v>
      </c>
      <c r="B677" s="28" t="s">
        <v>1333</v>
      </c>
      <c r="C677" s="28" t="s">
        <v>88</v>
      </c>
      <c r="D677" s="28" t="s">
        <v>690</v>
      </c>
      <c r="E677" s="28" t="s">
        <v>256</v>
      </c>
      <c r="F677" s="28" t="s">
        <v>488</v>
      </c>
      <c r="G677" s="28" t="s">
        <v>488</v>
      </c>
      <c r="H677" s="28" t="s">
        <v>1621</v>
      </c>
      <c r="I677" s="28" t="e">
        <f>VLOOKUP(F677,표준용어사전!$B:$D,3,FALSE)</f>
        <v>#N/A</v>
      </c>
      <c r="J677" s="28" t="s">
        <v>709</v>
      </c>
      <c r="K677" s="27">
        <v>1</v>
      </c>
      <c r="L677" s="29"/>
      <c r="M677" s="29" t="s">
        <v>722</v>
      </c>
      <c r="N677" s="29" t="s">
        <v>75</v>
      </c>
      <c r="O677" s="28"/>
      <c r="P677" s="28"/>
      <c r="Q677" s="28" t="s">
        <v>1400</v>
      </c>
      <c r="R677" s="29">
        <v>5</v>
      </c>
      <c r="S677" s="28"/>
      <c r="T677" s="28" t="s">
        <v>576</v>
      </c>
      <c r="U677" s="28" t="s">
        <v>75</v>
      </c>
      <c r="V677" s="28" t="s">
        <v>75</v>
      </c>
      <c r="W677" s="28"/>
    </row>
    <row r="678" spans="1:23" s="12" customFormat="1" hidden="1">
      <c r="A678" s="46" t="s">
        <v>572</v>
      </c>
      <c r="B678" s="28" t="s">
        <v>1333</v>
      </c>
      <c r="C678" s="28" t="s">
        <v>88</v>
      </c>
      <c r="D678" s="28" t="s">
        <v>690</v>
      </c>
      <c r="E678" s="28" t="s">
        <v>886</v>
      </c>
      <c r="F678" s="28" t="s">
        <v>812</v>
      </c>
      <c r="G678" s="28" t="s">
        <v>812</v>
      </c>
      <c r="H678" s="28" t="s">
        <v>1621</v>
      </c>
      <c r="I678" s="28" t="e">
        <f>VLOOKUP(F678,표준용어사전!$B:$D,3,FALSE)</f>
        <v>#N/A</v>
      </c>
      <c r="J678" s="28" t="s">
        <v>16</v>
      </c>
      <c r="K678" s="27" t="s">
        <v>571</v>
      </c>
      <c r="L678" s="29" t="s">
        <v>571</v>
      </c>
      <c r="M678" s="29" t="s">
        <v>726</v>
      </c>
      <c r="N678" s="29" t="s">
        <v>75</v>
      </c>
      <c r="O678" s="28"/>
      <c r="P678" s="28"/>
      <c r="Q678" s="28" t="s">
        <v>76</v>
      </c>
      <c r="R678" s="29"/>
      <c r="S678" s="28"/>
      <c r="T678" s="28" t="s">
        <v>574</v>
      </c>
      <c r="U678" s="28" t="s">
        <v>75</v>
      </c>
      <c r="V678" s="28" t="s">
        <v>75</v>
      </c>
      <c r="W678" s="28"/>
    </row>
    <row r="679" spans="1:23" s="12" customFormat="1" hidden="1">
      <c r="A679" s="46" t="s">
        <v>572</v>
      </c>
      <c r="B679" s="28" t="s">
        <v>1333</v>
      </c>
      <c r="C679" s="28" t="s">
        <v>88</v>
      </c>
      <c r="D679" s="28" t="s">
        <v>690</v>
      </c>
      <c r="E679" s="28" t="s">
        <v>257</v>
      </c>
      <c r="F679" s="28" t="s">
        <v>489</v>
      </c>
      <c r="G679" s="28" t="s">
        <v>489</v>
      </c>
      <c r="H679" s="28" t="s">
        <v>1621</v>
      </c>
      <c r="I679" s="28" t="e">
        <f>VLOOKUP(F679,표준용어사전!$B:$D,3,FALSE)</f>
        <v>#N/A</v>
      </c>
      <c r="J679" s="28" t="s">
        <v>748</v>
      </c>
      <c r="K679" s="27">
        <v>14</v>
      </c>
      <c r="L679" s="29" t="s">
        <v>571</v>
      </c>
      <c r="M679" s="29" t="s">
        <v>776</v>
      </c>
      <c r="N679" s="29" t="s">
        <v>75</v>
      </c>
      <c r="O679" s="28"/>
      <c r="P679" s="28"/>
      <c r="Q679" s="28" t="s">
        <v>76</v>
      </c>
      <c r="R679" s="29"/>
      <c r="S679" s="28"/>
      <c r="T679" s="28"/>
      <c r="U679" s="28" t="s">
        <v>75</v>
      </c>
      <c r="V679" s="28" t="s">
        <v>75</v>
      </c>
      <c r="W679" s="28"/>
    </row>
    <row r="680" spans="1:23" s="12" customFormat="1" hidden="1">
      <c r="A680" s="46" t="s">
        <v>572</v>
      </c>
      <c r="B680" s="28" t="s">
        <v>1333</v>
      </c>
      <c r="C680" s="28" t="s">
        <v>88</v>
      </c>
      <c r="D680" s="28" t="s">
        <v>690</v>
      </c>
      <c r="E680" s="28" t="s">
        <v>258</v>
      </c>
      <c r="F680" s="28" t="s">
        <v>490</v>
      </c>
      <c r="G680" s="28" t="s">
        <v>490</v>
      </c>
      <c r="H680" s="28" t="s">
        <v>1621</v>
      </c>
      <c r="I680" s="28" t="e">
        <f>VLOOKUP(F680,표준용어사전!$B:$D,3,FALSE)</f>
        <v>#N/A</v>
      </c>
      <c r="J680" s="28" t="s">
        <v>748</v>
      </c>
      <c r="K680" s="27">
        <v>14</v>
      </c>
      <c r="L680" s="29" t="s">
        <v>571</v>
      </c>
      <c r="M680" s="29" t="s">
        <v>776</v>
      </c>
      <c r="N680" s="29" t="s">
        <v>75</v>
      </c>
      <c r="O680" s="28"/>
      <c r="P680" s="28"/>
      <c r="Q680" s="28" t="s">
        <v>76</v>
      </c>
      <c r="R680" s="29"/>
      <c r="S680" s="28"/>
      <c r="T680" s="28"/>
      <c r="U680" s="28" t="s">
        <v>75</v>
      </c>
      <c r="V680" s="28" t="s">
        <v>75</v>
      </c>
      <c r="W680" s="28"/>
    </row>
    <row r="681" spans="1:23" s="12" customFormat="1" hidden="1">
      <c r="A681" s="46" t="s">
        <v>572</v>
      </c>
      <c r="B681" s="28" t="s">
        <v>1333</v>
      </c>
      <c r="C681" s="28" t="s">
        <v>88</v>
      </c>
      <c r="D681" s="28" t="s">
        <v>690</v>
      </c>
      <c r="E681" s="28" t="s">
        <v>262</v>
      </c>
      <c r="F681" s="28" t="s">
        <v>494</v>
      </c>
      <c r="G681" s="28" t="s">
        <v>494</v>
      </c>
      <c r="H681" s="28" t="s">
        <v>1621</v>
      </c>
      <c r="I681" s="28" t="str">
        <f>VLOOKUP(F681,표준용어사전!$B:$D,3,FALSE)</f>
        <v>여부C1</v>
      </c>
      <c r="J681" s="28" t="s">
        <v>709</v>
      </c>
      <c r="K681" s="27">
        <v>1</v>
      </c>
      <c r="L681" s="29"/>
      <c r="M681" s="29" t="s">
        <v>722</v>
      </c>
      <c r="N681" s="29" t="s">
        <v>75</v>
      </c>
      <c r="O681" s="28"/>
      <c r="P681" s="28"/>
      <c r="Q681" s="28" t="s">
        <v>1401</v>
      </c>
      <c r="R681" s="29">
        <v>6</v>
      </c>
      <c r="S681" s="28"/>
      <c r="T681" s="28" t="s">
        <v>576</v>
      </c>
      <c r="U681" s="28" t="s">
        <v>75</v>
      </c>
      <c r="V681" s="28" t="s">
        <v>75</v>
      </c>
      <c r="W681" s="28"/>
    </row>
    <row r="682" spans="1:23" s="12" customFormat="1" hidden="1">
      <c r="A682" s="46" t="s">
        <v>572</v>
      </c>
      <c r="B682" s="28" t="s">
        <v>1333</v>
      </c>
      <c r="C682" s="28" t="s">
        <v>88</v>
      </c>
      <c r="D682" s="28" t="s">
        <v>690</v>
      </c>
      <c r="E682" s="28" t="s">
        <v>887</v>
      </c>
      <c r="F682" s="28" t="s">
        <v>813</v>
      </c>
      <c r="G682" s="28" t="s">
        <v>813</v>
      </c>
      <c r="H682" s="28" t="s">
        <v>1621</v>
      </c>
      <c r="I682" s="28" t="str">
        <f>VLOOKUP(F682,표준용어사전!$B:$D,3,FALSE)</f>
        <v>연월일시분초TS</v>
      </c>
      <c r="J682" s="28" t="s">
        <v>16</v>
      </c>
      <c r="K682" s="27" t="s">
        <v>571</v>
      </c>
      <c r="L682" s="29" t="s">
        <v>571</v>
      </c>
      <c r="M682" s="29" t="s">
        <v>726</v>
      </c>
      <c r="N682" s="29" t="s">
        <v>75</v>
      </c>
      <c r="O682" s="28"/>
      <c r="P682" s="28"/>
      <c r="Q682" s="28" t="s">
        <v>76</v>
      </c>
      <c r="R682" s="29"/>
      <c r="S682" s="28"/>
      <c r="T682" s="28" t="s">
        <v>574</v>
      </c>
      <c r="U682" s="28" t="s">
        <v>75</v>
      </c>
      <c r="V682" s="28" t="s">
        <v>75</v>
      </c>
      <c r="W682" s="28"/>
    </row>
    <row r="683" spans="1:23" s="12" customFormat="1" hidden="1">
      <c r="A683" s="46" t="s">
        <v>572</v>
      </c>
      <c r="B683" s="28" t="s">
        <v>1333</v>
      </c>
      <c r="C683" s="28" t="s">
        <v>88</v>
      </c>
      <c r="D683" s="28" t="s">
        <v>690</v>
      </c>
      <c r="E683" s="28" t="s">
        <v>263</v>
      </c>
      <c r="F683" s="28" t="s">
        <v>495</v>
      </c>
      <c r="G683" s="28" t="s">
        <v>495</v>
      </c>
      <c r="H683" s="28" t="s">
        <v>1621</v>
      </c>
      <c r="I683" s="28" t="str">
        <f>VLOOKUP(F683,표준용어사전!$B:$D,3,FALSE)</f>
        <v>수N14</v>
      </c>
      <c r="J683" s="28" t="s">
        <v>748</v>
      </c>
      <c r="K683" s="27">
        <v>14</v>
      </c>
      <c r="L683" s="29" t="s">
        <v>571</v>
      </c>
      <c r="M683" s="29" t="s">
        <v>776</v>
      </c>
      <c r="N683" s="29" t="s">
        <v>75</v>
      </c>
      <c r="O683" s="28"/>
      <c r="P683" s="28"/>
      <c r="Q683" s="28" t="s">
        <v>76</v>
      </c>
      <c r="R683" s="29"/>
      <c r="S683" s="28"/>
      <c r="T683" s="28"/>
      <c r="U683" s="28" t="s">
        <v>75</v>
      </c>
      <c r="V683" s="28" t="s">
        <v>75</v>
      </c>
      <c r="W683" s="28"/>
    </row>
    <row r="684" spans="1:23" s="12" customFormat="1" hidden="1">
      <c r="A684" s="46" t="s">
        <v>572</v>
      </c>
      <c r="B684" s="28" t="s">
        <v>1333</v>
      </c>
      <c r="C684" s="28" t="s">
        <v>88</v>
      </c>
      <c r="D684" s="28" t="s">
        <v>690</v>
      </c>
      <c r="E684" s="28" t="s">
        <v>264</v>
      </c>
      <c r="F684" s="28" t="s">
        <v>496</v>
      </c>
      <c r="G684" s="28" t="s">
        <v>496</v>
      </c>
      <c r="H684" s="28" t="s">
        <v>1621</v>
      </c>
      <c r="I684" s="28" t="str">
        <f>VLOOKUP(F684,표준용어사전!$B:$D,3,FALSE)</f>
        <v>수N14</v>
      </c>
      <c r="J684" s="28" t="s">
        <v>748</v>
      </c>
      <c r="K684" s="27">
        <v>14</v>
      </c>
      <c r="L684" s="29" t="s">
        <v>571</v>
      </c>
      <c r="M684" s="29" t="s">
        <v>776</v>
      </c>
      <c r="N684" s="29" t="s">
        <v>75</v>
      </c>
      <c r="O684" s="28"/>
      <c r="P684" s="28"/>
      <c r="Q684" s="28" t="s">
        <v>76</v>
      </c>
      <c r="R684" s="29"/>
      <c r="S684" s="28"/>
      <c r="T684" s="28"/>
      <c r="U684" s="28" t="s">
        <v>75</v>
      </c>
      <c r="V684" s="28" t="s">
        <v>75</v>
      </c>
      <c r="W684" s="28"/>
    </row>
    <row r="685" spans="1:23" s="12" customFormat="1" hidden="1">
      <c r="A685" s="46" t="s">
        <v>572</v>
      </c>
      <c r="B685" s="28" t="s">
        <v>1333</v>
      </c>
      <c r="C685" s="28" t="s">
        <v>88</v>
      </c>
      <c r="D685" s="28" t="s">
        <v>690</v>
      </c>
      <c r="E685" s="28" t="s">
        <v>259</v>
      </c>
      <c r="F685" s="28" t="s">
        <v>491</v>
      </c>
      <c r="G685" s="28" t="s">
        <v>491</v>
      </c>
      <c r="H685" s="28" t="s">
        <v>1621</v>
      </c>
      <c r="I685" s="28" t="e">
        <f>VLOOKUP(F685,표준용어사전!$B:$D,3,FALSE)</f>
        <v>#N/A</v>
      </c>
      <c r="J685" s="28" t="s">
        <v>709</v>
      </c>
      <c r="K685" s="27">
        <v>1</v>
      </c>
      <c r="L685" s="29"/>
      <c r="M685" s="29" t="s">
        <v>722</v>
      </c>
      <c r="N685" s="29" t="s">
        <v>75</v>
      </c>
      <c r="O685" s="28"/>
      <c r="P685" s="28"/>
      <c r="Q685" s="28" t="s">
        <v>1402</v>
      </c>
      <c r="R685" s="29">
        <v>7</v>
      </c>
      <c r="S685" s="28"/>
      <c r="T685" s="28" t="s">
        <v>576</v>
      </c>
      <c r="U685" s="28" t="s">
        <v>75</v>
      </c>
      <c r="V685" s="28" t="s">
        <v>75</v>
      </c>
      <c r="W685" s="28"/>
    </row>
    <row r="686" spans="1:23" s="12" customFormat="1" hidden="1">
      <c r="A686" s="46" t="s">
        <v>572</v>
      </c>
      <c r="B686" s="28" t="s">
        <v>1333</v>
      </c>
      <c r="C686" s="28" t="s">
        <v>88</v>
      </c>
      <c r="D686" s="28" t="s">
        <v>690</v>
      </c>
      <c r="E686" s="28" t="s">
        <v>888</v>
      </c>
      <c r="F686" s="28" t="s">
        <v>814</v>
      </c>
      <c r="G686" s="28" t="s">
        <v>814</v>
      </c>
      <c r="H686" s="28" t="s">
        <v>1621</v>
      </c>
      <c r="I686" s="28" t="e">
        <f>VLOOKUP(F686,표준용어사전!$B:$D,3,FALSE)</f>
        <v>#N/A</v>
      </c>
      <c r="J686" s="28" t="s">
        <v>16</v>
      </c>
      <c r="K686" s="27" t="s">
        <v>571</v>
      </c>
      <c r="L686" s="29" t="s">
        <v>571</v>
      </c>
      <c r="M686" s="29" t="s">
        <v>726</v>
      </c>
      <c r="N686" s="29" t="s">
        <v>75</v>
      </c>
      <c r="O686" s="28"/>
      <c r="P686" s="28"/>
      <c r="Q686" s="28" t="s">
        <v>76</v>
      </c>
      <c r="R686" s="29"/>
      <c r="S686" s="28"/>
      <c r="T686" s="28" t="s">
        <v>574</v>
      </c>
      <c r="U686" s="28" t="s">
        <v>75</v>
      </c>
      <c r="V686" s="28" t="s">
        <v>75</v>
      </c>
      <c r="W686" s="28"/>
    </row>
    <row r="687" spans="1:23" s="12" customFormat="1" hidden="1">
      <c r="A687" s="46" t="s">
        <v>572</v>
      </c>
      <c r="B687" s="28" t="s">
        <v>1333</v>
      </c>
      <c r="C687" s="28" t="s">
        <v>88</v>
      </c>
      <c r="D687" s="28" t="s">
        <v>690</v>
      </c>
      <c r="E687" s="28" t="s">
        <v>260</v>
      </c>
      <c r="F687" s="28" t="s">
        <v>492</v>
      </c>
      <c r="G687" s="28" t="s">
        <v>492</v>
      </c>
      <c r="H687" s="28" t="s">
        <v>1621</v>
      </c>
      <c r="I687" s="28" t="e">
        <f>VLOOKUP(F687,표준용어사전!$B:$D,3,FALSE)</f>
        <v>#N/A</v>
      </c>
      <c r="J687" s="28" t="s">
        <v>748</v>
      </c>
      <c r="K687" s="27">
        <v>14</v>
      </c>
      <c r="L687" s="29" t="s">
        <v>571</v>
      </c>
      <c r="M687" s="29" t="s">
        <v>776</v>
      </c>
      <c r="N687" s="29" t="s">
        <v>75</v>
      </c>
      <c r="O687" s="28"/>
      <c r="P687" s="28"/>
      <c r="Q687" s="28" t="s">
        <v>76</v>
      </c>
      <c r="R687" s="29"/>
      <c r="S687" s="28"/>
      <c r="T687" s="28"/>
      <c r="U687" s="28" t="s">
        <v>75</v>
      </c>
      <c r="V687" s="28" t="s">
        <v>75</v>
      </c>
      <c r="W687" s="28"/>
    </row>
    <row r="688" spans="1:23" s="12" customFormat="1" hidden="1">
      <c r="A688" s="46" t="s">
        <v>572</v>
      </c>
      <c r="B688" s="28" t="s">
        <v>1333</v>
      </c>
      <c r="C688" s="28" t="s">
        <v>88</v>
      </c>
      <c r="D688" s="28" t="s">
        <v>690</v>
      </c>
      <c r="E688" s="28" t="s">
        <v>261</v>
      </c>
      <c r="F688" s="28" t="s">
        <v>493</v>
      </c>
      <c r="G688" s="28" t="s">
        <v>493</v>
      </c>
      <c r="H688" s="28" t="s">
        <v>1621</v>
      </c>
      <c r="I688" s="28" t="e">
        <f>VLOOKUP(F688,표준용어사전!$B:$D,3,FALSE)</f>
        <v>#N/A</v>
      </c>
      <c r="J688" s="28" t="s">
        <v>748</v>
      </c>
      <c r="K688" s="27">
        <v>14</v>
      </c>
      <c r="L688" s="29" t="s">
        <v>571</v>
      </c>
      <c r="M688" s="29" t="s">
        <v>776</v>
      </c>
      <c r="N688" s="29" t="s">
        <v>75</v>
      </c>
      <c r="O688" s="28"/>
      <c r="P688" s="28"/>
      <c r="Q688" s="28" t="s">
        <v>76</v>
      </c>
      <c r="R688" s="29"/>
      <c r="S688" s="28"/>
      <c r="T688" s="28"/>
      <c r="U688" s="28" t="s">
        <v>75</v>
      </c>
      <c r="V688" s="28" t="s">
        <v>75</v>
      </c>
      <c r="W688" s="28"/>
    </row>
    <row r="689" spans="1:23" s="12" customFormat="1" hidden="1">
      <c r="A689" s="46" t="s">
        <v>572</v>
      </c>
      <c r="B689" s="28" t="s">
        <v>1333</v>
      </c>
      <c r="C689" s="28" t="s">
        <v>88</v>
      </c>
      <c r="D689" s="28" t="s">
        <v>1959</v>
      </c>
      <c r="E689" s="28" t="s">
        <v>1937</v>
      </c>
      <c r="F689" s="28" t="s">
        <v>1936</v>
      </c>
      <c r="G689" s="28" t="s">
        <v>1936</v>
      </c>
      <c r="H689" s="28" t="s">
        <v>1621</v>
      </c>
      <c r="I689" s="28" t="s">
        <v>608</v>
      </c>
      <c r="J689" s="28" t="s">
        <v>709</v>
      </c>
      <c r="K689" s="27">
        <v>1</v>
      </c>
      <c r="L689" s="29"/>
      <c r="M689" s="29" t="s">
        <v>722</v>
      </c>
      <c r="N689" s="29" t="s">
        <v>75</v>
      </c>
      <c r="O689" s="28"/>
      <c r="P689" s="28"/>
      <c r="Q689" s="28" t="s">
        <v>1402</v>
      </c>
      <c r="R689" s="29">
        <v>7</v>
      </c>
      <c r="S689" s="28"/>
      <c r="T689" s="28" t="s">
        <v>576</v>
      </c>
      <c r="U689" s="28" t="s">
        <v>75</v>
      </c>
      <c r="V689" s="28" t="s">
        <v>75</v>
      </c>
      <c r="W689" s="28"/>
    </row>
    <row r="690" spans="1:23" s="12" customFormat="1" hidden="1">
      <c r="A690" s="46" t="s">
        <v>572</v>
      </c>
      <c r="B690" s="28" t="s">
        <v>1333</v>
      </c>
      <c r="C690" s="28" t="s">
        <v>88</v>
      </c>
      <c r="D690" s="28" t="s">
        <v>690</v>
      </c>
      <c r="E690" s="28" t="s">
        <v>1939</v>
      </c>
      <c r="F690" s="28" t="s">
        <v>1938</v>
      </c>
      <c r="G690" s="28" t="s">
        <v>1938</v>
      </c>
      <c r="H690" s="28" t="s">
        <v>1621</v>
      </c>
      <c r="I690" s="28" t="s">
        <v>603</v>
      </c>
      <c r="J690" s="28" t="s">
        <v>16</v>
      </c>
      <c r="K690" s="27" t="s">
        <v>571</v>
      </c>
      <c r="L690" s="29" t="s">
        <v>571</v>
      </c>
      <c r="M690" s="29" t="s">
        <v>726</v>
      </c>
      <c r="N690" s="29" t="s">
        <v>75</v>
      </c>
      <c r="O690" s="28"/>
      <c r="P690" s="28"/>
      <c r="Q690" s="28" t="s">
        <v>76</v>
      </c>
      <c r="R690" s="29"/>
      <c r="S690" s="28"/>
      <c r="T690" s="28" t="s">
        <v>574</v>
      </c>
      <c r="U690" s="28" t="s">
        <v>75</v>
      </c>
      <c r="V690" s="28" t="s">
        <v>75</v>
      </c>
      <c r="W690" s="28"/>
    </row>
    <row r="691" spans="1:23" s="12" customFormat="1" hidden="1">
      <c r="A691" s="46" t="s">
        <v>572</v>
      </c>
      <c r="B691" s="28" t="s">
        <v>1333</v>
      </c>
      <c r="C691" s="28" t="s">
        <v>88</v>
      </c>
      <c r="D691" s="28" t="s">
        <v>1959</v>
      </c>
      <c r="E691" s="28" t="s">
        <v>1941</v>
      </c>
      <c r="F691" s="28" t="s">
        <v>1940</v>
      </c>
      <c r="G691" s="28" t="s">
        <v>1940</v>
      </c>
      <c r="H691" s="28" t="s">
        <v>1621</v>
      </c>
      <c r="I691" s="28" t="s">
        <v>610</v>
      </c>
      <c r="J691" s="28" t="s">
        <v>748</v>
      </c>
      <c r="K691" s="27">
        <v>14</v>
      </c>
      <c r="L691" s="29" t="s">
        <v>571</v>
      </c>
      <c r="M691" s="29" t="s">
        <v>776</v>
      </c>
      <c r="N691" s="29" t="s">
        <v>75</v>
      </c>
      <c r="O691" s="28"/>
      <c r="P691" s="28"/>
      <c r="Q691" s="28" t="s">
        <v>76</v>
      </c>
      <c r="R691" s="29"/>
      <c r="S691" s="28"/>
      <c r="T691" s="28"/>
      <c r="U691" s="28" t="s">
        <v>75</v>
      </c>
      <c r="V691" s="28" t="s">
        <v>75</v>
      </c>
      <c r="W691" s="28"/>
    </row>
    <row r="692" spans="1:23" s="12" customFormat="1" hidden="1">
      <c r="A692" s="46" t="s">
        <v>572</v>
      </c>
      <c r="B692" s="28" t="s">
        <v>1333</v>
      </c>
      <c r="C692" s="28" t="s">
        <v>88</v>
      </c>
      <c r="D692" s="28" t="s">
        <v>690</v>
      </c>
      <c r="E692" s="28" t="s">
        <v>1943</v>
      </c>
      <c r="F692" s="28" t="s">
        <v>1942</v>
      </c>
      <c r="G692" s="28" t="s">
        <v>1942</v>
      </c>
      <c r="H692" s="28" t="s">
        <v>1621</v>
      </c>
      <c r="I692" s="28" t="s">
        <v>610</v>
      </c>
      <c r="J692" s="28" t="s">
        <v>748</v>
      </c>
      <c r="K692" s="27">
        <v>14</v>
      </c>
      <c r="L692" s="29" t="s">
        <v>571</v>
      </c>
      <c r="M692" s="29" t="s">
        <v>776</v>
      </c>
      <c r="N692" s="29" t="s">
        <v>75</v>
      </c>
      <c r="O692" s="28"/>
      <c r="P692" s="28"/>
      <c r="Q692" s="28" t="s">
        <v>76</v>
      </c>
      <c r="R692" s="29"/>
      <c r="S692" s="28"/>
      <c r="T692" s="28"/>
      <c r="U692" s="28" t="s">
        <v>75</v>
      </c>
      <c r="V692" s="28" t="s">
        <v>75</v>
      </c>
      <c r="W692" s="28"/>
    </row>
    <row r="693" spans="1:23" s="12" customFormat="1" hidden="1">
      <c r="A693" s="46" t="s">
        <v>572</v>
      </c>
      <c r="B693" s="28" t="s">
        <v>1333</v>
      </c>
      <c r="C693" s="28" t="s">
        <v>88</v>
      </c>
      <c r="D693" s="28" t="s">
        <v>690</v>
      </c>
      <c r="E693" s="28" t="s">
        <v>1945</v>
      </c>
      <c r="F693" s="28" t="s">
        <v>1944</v>
      </c>
      <c r="G693" s="28" t="s">
        <v>1944</v>
      </c>
      <c r="H693" s="28" t="s">
        <v>1621</v>
      </c>
      <c r="I693" s="28" t="s">
        <v>608</v>
      </c>
      <c r="J693" s="28" t="s">
        <v>709</v>
      </c>
      <c r="K693" s="27">
        <v>1</v>
      </c>
      <c r="L693" s="29"/>
      <c r="M693" s="29" t="s">
        <v>722</v>
      </c>
      <c r="N693" s="29" t="s">
        <v>75</v>
      </c>
      <c r="O693" s="28"/>
      <c r="P693" s="28"/>
      <c r="Q693" s="28" t="s">
        <v>1402</v>
      </c>
      <c r="R693" s="29">
        <v>7</v>
      </c>
      <c r="S693" s="28"/>
      <c r="T693" s="28" t="s">
        <v>576</v>
      </c>
      <c r="U693" s="28" t="s">
        <v>75</v>
      </c>
      <c r="V693" s="28" t="s">
        <v>75</v>
      </c>
      <c r="W693" s="28"/>
    </row>
    <row r="694" spans="1:23" s="12" customFormat="1" hidden="1">
      <c r="A694" s="46" t="s">
        <v>572</v>
      </c>
      <c r="B694" s="28" t="s">
        <v>1333</v>
      </c>
      <c r="C694" s="28" t="s">
        <v>88</v>
      </c>
      <c r="D694" s="28" t="s">
        <v>690</v>
      </c>
      <c r="E694" s="28" t="s">
        <v>1947</v>
      </c>
      <c r="F694" s="28" t="s">
        <v>1946</v>
      </c>
      <c r="G694" s="28" t="s">
        <v>1946</v>
      </c>
      <c r="H694" s="28" t="s">
        <v>1621</v>
      </c>
      <c r="I694" s="28" t="s">
        <v>603</v>
      </c>
      <c r="J694" s="28" t="s">
        <v>16</v>
      </c>
      <c r="K694" s="27" t="s">
        <v>571</v>
      </c>
      <c r="L694" s="29" t="s">
        <v>571</v>
      </c>
      <c r="M694" s="29" t="s">
        <v>726</v>
      </c>
      <c r="N694" s="29" t="s">
        <v>75</v>
      </c>
      <c r="O694" s="28"/>
      <c r="P694" s="28"/>
      <c r="Q694" s="28" t="s">
        <v>76</v>
      </c>
      <c r="R694" s="29"/>
      <c r="S694" s="28"/>
      <c r="T694" s="28" t="s">
        <v>574</v>
      </c>
      <c r="U694" s="28" t="s">
        <v>75</v>
      </c>
      <c r="V694" s="28" t="s">
        <v>75</v>
      </c>
      <c r="W694" s="28"/>
    </row>
    <row r="695" spans="1:23" s="12" customFormat="1" hidden="1">
      <c r="A695" s="46" t="s">
        <v>572</v>
      </c>
      <c r="B695" s="28" t="s">
        <v>1333</v>
      </c>
      <c r="C695" s="28" t="s">
        <v>88</v>
      </c>
      <c r="D695" s="28" t="s">
        <v>690</v>
      </c>
      <c r="E695" s="28" t="s">
        <v>1949</v>
      </c>
      <c r="F695" s="28" t="s">
        <v>1948</v>
      </c>
      <c r="G695" s="28" t="s">
        <v>1948</v>
      </c>
      <c r="H695" s="28" t="s">
        <v>1621</v>
      </c>
      <c r="I695" s="28" t="s">
        <v>610</v>
      </c>
      <c r="J695" s="28" t="s">
        <v>748</v>
      </c>
      <c r="K695" s="27">
        <v>14</v>
      </c>
      <c r="L695" s="29" t="s">
        <v>571</v>
      </c>
      <c r="M695" s="29" t="s">
        <v>776</v>
      </c>
      <c r="N695" s="29" t="s">
        <v>75</v>
      </c>
      <c r="O695" s="28"/>
      <c r="P695" s="28"/>
      <c r="Q695" s="28" t="s">
        <v>76</v>
      </c>
      <c r="R695" s="29"/>
      <c r="S695" s="28"/>
      <c r="T695" s="28"/>
      <c r="U695" s="28" t="s">
        <v>75</v>
      </c>
      <c r="V695" s="28" t="s">
        <v>75</v>
      </c>
      <c r="W695" s="28"/>
    </row>
    <row r="696" spans="1:23" s="12" customFormat="1" hidden="1">
      <c r="A696" s="46" t="s">
        <v>572</v>
      </c>
      <c r="B696" s="28" t="s">
        <v>1333</v>
      </c>
      <c r="C696" s="28" t="s">
        <v>88</v>
      </c>
      <c r="D696" s="28" t="s">
        <v>690</v>
      </c>
      <c r="E696" s="28" t="s">
        <v>1951</v>
      </c>
      <c r="F696" s="28" t="s">
        <v>1950</v>
      </c>
      <c r="G696" s="28" t="s">
        <v>1950</v>
      </c>
      <c r="H696" s="28" t="s">
        <v>1621</v>
      </c>
      <c r="I696" s="28" t="s">
        <v>610</v>
      </c>
      <c r="J696" s="28" t="s">
        <v>748</v>
      </c>
      <c r="K696" s="27">
        <v>14</v>
      </c>
      <c r="L696" s="29" t="s">
        <v>571</v>
      </c>
      <c r="M696" s="29" t="s">
        <v>776</v>
      </c>
      <c r="N696" s="29" t="s">
        <v>75</v>
      </c>
      <c r="O696" s="28"/>
      <c r="P696" s="28"/>
      <c r="Q696" s="28" t="s">
        <v>76</v>
      </c>
      <c r="R696" s="29"/>
      <c r="S696" s="28"/>
      <c r="T696" s="28"/>
      <c r="U696" s="28" t="s">
        <v>75</v>
      </c>
      <c r="V696" s="28" t="s">
        <v>75</v>
      </c>
      <c r="W696" s="28"/>
    </row>
    <row r="697" spans="1:23" s="12" customFormat="1" hidden="1">
      <c r="A697" s="46" t="s">
        <v>572</v>
      </c>
      <c r="B697" s="28" t="s">
        <v>1333</v>
      </c>
      <c r="C697" s="28" t="s">
        <v>88</v>
      </c>
      <c r="D697" s="28" t="s">
        <v>690</v>
      </c>
      <c r="E697" s="28" t="s">
        <v>90</v>
      </c>
      <c r="F697" s="28" t="s">
        <v>14</v>
      </c>
      <c r="G697" s="28" t="s">
        <v>14</v>
      </c>
      <c r="H697" s="28" t="s">
        <v>1621</v>
      </c>
      <c r="I697" s="28" t="str">
        <f>VLOOKUP(F697,표준용어사전!$B:$D,3,FALSE)</f>
        <v>연월일시분초TS</v>
      </c>
      <c r="J697" s="28" t="s">
        <v>16</v>
      </c>
      <c r="K697" s="27" t="s">
        <v>571</v>
      </c>
      <c r="L697" s="29" t="s">
        <v>571</v>
      </c>
      <c r="M697" s="29" t="s">
        <v>726</v>
      </c>
      <c r="N697" s="29" t="s">
        <v>711</v>
      </c>
      <c r="O697" s="28"/>
      <c r="P697" s="28"/>
      <c r="Q697" s="28" t="s">
        <v>76</v>
      </c>
      <c r="R697" s="29"/>
      <c r="S697" s="28"/>
      <c r="T697" s="28" t="s">
        <v>574</v>
      </c>
      <c r="U697" s="28" t="s">
        <v>75</v>
      </c>
      <c r="V697" s="28" t="s">
        <v>75</v>
      </c>
      <c r="W697" s="28"/>
    </row>
    <row r="698" spans="1:23" s="12" customFormat="1" hidden="1">
      <c r="A698" s="46" t="s">
        <v>572</v>
      </c>
      <c r="B698" s="28" t="s">
        <v>1333</v>
      </c>
      <c r="C698" s="28" t="s">
        <v>88</v>
      </c>
      <c r="D698" s="28" t="s">
        <v>690</v>
      </c>
      <c r="E698" s="28" t="s">
        <v>91</v>
      </c>
      <c r="F698" s="28" t="s">
        <v>369</v>
      </c>
      <c r="G698" s="28" t="s">
        <v>369</v>
      </c>
      <c r="H698" s="28" t="s">
        <v>1621</v>
      </c>
      <c r="I698" s="28" t="str">
        <f>VLOOKUP(F698,표준용어사전!$B:$D,3,FALSE)</f>
        <v>명V20</v>
      </c>
      <c r="J698" s="28" t="s">
        <v>78</v>
      </c>
      <c r="K698" s="27">
        <v>20</v>
      </c>
      <c r="L698" s="29" t="s">
        <v>571</v>
      </c>
      <c r="M698" s="29" t="s">
        <v>727</v>
      </c>
      <c r="N698" s="29" t="s">
        <v>75</v>
      </c>
      <c r="O698" s="28"/>
      <c r="P698" s="28"/>
      <c r="Q698" s="28" t="s">
        <v>76</v>
      </c>
      <c r="R698" s="29"/>
      <c r="S698" s="28"/>
      <c r="T698" s="28" t="s">
        <v>571</v>
      </c>
      <c r="U698" s="28" t="s">
        <v>75</v>
      </c>
      <c r="V698" s="28" t="s">
        <v>75</v>
      </c>
      <c r="W698" s="28"/>
    </row>
    <row r="699" spans="1:23" s="12" customFormat="1" hidden="1">
      <c r="A699" s="46" t="s">
        <v>572</v>
      </c>
      <c r="B699" s="28" t="s">
        <v>1333</v>
      </c>
      <c r="C699" s="28" t="s">
        <v>88</v>
      </c>
      <c r="D699" s="28" t="s">
        <v>690</v>
      </c>
      <c r="E699" s="28" t="s">
        <v>92</v>
      </c>
      <c r="F699" s="28" t="s">
        <v>15</v>
      </c>
      <c r="G699" s="28" t="s">
        <v>15</v>
      </c>
      <c r="H699" s="28" t="s">
        <v>1621</v>
      </c>
      <c r="I699" s="28" t="str">
        <f>VLOOKUP(F699,표준용어사전!$B:$D,3,FALSE)</f>
        <v>연월일시분초TS</v>
      </c>
      <c r="J699" s="28" t="s">
        <v>16</v>
      </c>
      <c r="K699" s="27" t="s">
        <v>571</v>
      </c>
      <c r="L699" s="29" t="s">
        <v>571</v>
      </c>
      <c r="M699" s="29" t="s">
        <v>726</v>
      </c>
      <c r="N699" s="29" t="s">
        <v>75</v>
      </c>
      <c r="O699" s="28"/>
      <c r="P699" s="28"/>
      <c r="Q699" s="28" t="s">
        <v>76</v>
      </c>
      <c r="R699" s="29"/>
      <c r="S699" s="28"/>
      <c r="T699" s="28" t="s">
        <v>574</v>
      </c>
      <c r="U699" s="28" t="s">
        <v>75</v>
      </c>
      <c r="V699" s="28" t="s">
        <v>75</v>
      </c>
      <c r="W699" s="28"/>
    </row>
    <row r="700" spans="1:23" s="12" customFormat="1" hidden="1">
      <c r="A700" s="46" t="s">
        <v>572</v>
      </c>
      <c r="B700" s="28" t="s">
        <v>1333</v>
      </c>
      <c r="C700" s="28" t="s">
        <v>88</v>
      </c>
      <c r="D700" s="28" t="s">
        <v>690</v>
      </c>
      <c r="E700" s="28" t="s">
        <v>93</v>
      </c>
      <c r="F700" s="28" t="s">
        <v>370</v>
      </c>
      <c r="G700" s="28" t="s">
        <v>370</v>
      </c>
      <c r="H700" s="28" t="s">
        <v>1621</v>
      </c>
      <c r="I700" s="28" t="str">
        <f>VLOOKUP(F700,표준용어사전!$B:$D,3,FALSE)</f>
        <v>명V20</v>
      </c>
      <c r="J700" s="28" t="s">
        <v>78</v>
      </c>
      <c r="K700" s="27">
        <v>20</v>
      </c>
      <c r="L700" s="29" t="s">
        <v>571</v>
      </c>
      <c r="M700" s="29" t="s">
        <v>727</v>
      </c>
      <c r="N700" s="29" t="s">
        <v>75</v>
      </c>
      <c r="O700" s="28"/>
      <c r="P700" s="28"/>
      <c r="Q700" s="28" t="s">
        <v>76</v>
      </c>
      <c r="R700" s="29"/>
      <c r="S700" s="28"/>
      <c r="T700" s="28" t="s">
        <v>571</v>
      </c>
      <c r="U700" s="28" t="s">
        <v>75</v>
      </c>
      <c r="V700" s="28" t="s">
        <v>75</v>
      </c>
      <c r="W700" s="28"/>
    </row>
    <row r="701" spans="1:23" s="12" customFormat="1" hidden="1">
      <c r="A701" s="46" t="s">
        <v>572</v>
      </c>
      <c r="B701" s="28" t="s">
        <v>1335</v>
      </c>
      <c r="C701" s="28" t="s">
        <v>88</v>
      </c>
      <c r="D701" s="28" t="s">
        <v>628</v>
      </c>
      <c r="E701" s="28" t="s">
        <v>889</v>
      </c>
      <c r="F701" s="28" t="s">
        <v>815</v>
      </c>
      <c r="G701" s="28" t="s">
        <v>815</v>
      </c>
      <c r="H701" s="28" t="s">
        <v>126</v>
      </c>
      <c r="I701" s="28" t="str">
        <f>VLOOKUP(F701,표준용어사전!$B:$D,3,FALSE)</f>
        <v>번호I</v>
      </c>
      <c r="J701" s="28" t="s">
        <v>717</v>
      </c>
      <c r="K701" s="27" t="s">
        <v>571</v>
      </c>
      <c r="L701" s="29" t="s">
        <v>571</v>
      </c>
      <c r="M701" s="29"/>
      <c r="N701" s="29" t="s">
        <v>711</v>
      </c>
      <c r="O701" s="28" t="s">
        <v>641</v>
      </c>
      <c r="P701" s="28"/>
      <c r="Q701" s="28" t="s">
        <v>76</v>
      </c>
      <c r="R701" s="29"/>
      <c r="S701" s="28"/>
      <c r="T701" s="28"/>
      <c r="U701" s="28" t="s">
        <v>75</v>
      </c>
      <c r="V701" s="28" t="s">
        <v>75</v>
      </c>
      <c r="W701" s="28"/>
    </row>
    <row r="702" spans="1:23" s="12" customFormat="1" hidden="1">
      <c r="A702" s="46" t="s">
        <v>572</v>
      </c>
      <c r="B702" s="28" t="s">
        <v>1335</v>
      </c>
      <c r="C702" s="28" t="s">
        <v>88</v>
      </c>
      <c r="D702" s="28" t="s">
        <v>628</v>
      </c>
      <c r="E702" s="28" t="s">
        <v>89</v>
      </c>
      <c r="F702" s="28" t="s">
        <v>501</v>
      </c>
      <c r="G702" s="28" t="s">
        <v>501</v>
      </c>
      <c r="H702" s="28" t="s">
        <v>126</v>
      </c>
      <c r="I702" s="28" t="str">
        <f>VLOOKUP(F702,표준용어사전!$B:$D,3,FALSE)</f>
        <v>명V20</v>
      </c>
      <c r="J702" s="28" t="s">
        <v>718</v>
      </c>
      <c r="K702" s="27">
        <v>50</v>
      </c>
      <c r="L702" s="29" t="s">
        <v>571</v>
      </c>
      <c r="M702" s="29" t="s">
        <v>720</v>
      </c>
      <c r="N702" s="29" t="s">
        <v>711</v>
      </c>
      <c r="O702" s="28"/>
      <c r="P702" s="28"/>
      <c r="Q702" s="28" t="s">
        <v>1403</v>
      </c>
      <c r="R702" s="29">
        <v>1</v>
      </c>
      <c r="S702" s="28"/>
      <c r="T702" s="28"/>
      <c r="U702" s="28" t="s">
        <v>75</v>
      </c>
      <c r="V702" s="28" t="s">
        <v>75</v>
      </c>
      <c r="W702" s="28"/>
    </row>
    <row r="703" spans="1:23" s="12" customFormat="1" hidden="1">
      <c r="A703" s="46" t="s">
        <v>572</v>
      </c>
      <c r="B703" s="28" t="s">
        <v>1335</v>
      </c>
      <c r="C703" s="28" t="s">
        <v>88</v>
      </c>
      <c r="D703" s="28" t="s">
        <v>628</v>
      </c>
      <c r="E703" s="28" t="s">
        <v>125</v>
      </c>
      <c r="F703" s="28" t="s">
        <v>393</v>
      </c>
      <c r="G703" s="28" t="s">
        <v>393</v>
      </c>
      <c r="H703" s="28" t="s">
        <v>126</v>
      </c>
      <c r="I703" s="28" t="str">
        <f>VLOOKUP(F703,표준용어사전!$B:$D,3,FALSE)</f>
        <v>코드V50</v>
      </c>
      <c r="J703" s="28" t="s">
        <v>709</v>
      </c>
      <c r="K703" s="27">
        <v>50</v>
      </c>
      <c r="L703" s="29" t="s">
        <v>571</v>
      </c>
      <c r="M703" s="29" t="s">
        <v>725</v>
      </c>
      <c r="N703" s="29" t="s">
        <v>572</v>
      </c>
      <c r="O703" s="28"/>
      <c r="P703" s="28"/>
      <c r="Q703" s="28" t="s">
        <v>76</v>
      </c>
      <c r="R703" s="29"/>
      <c r="S703" s="28"/>
      <c r="T703" s="28"/>
      <c r="U703" s="28" t="s">
        <v>75</v>
      </c>
      <c r="V703" s="28" t="s">
        <v>75</v>
      </c>
      <c r="W703" s="28"/>
    </row>
    <row r="704" spans="1:23" s="12" customFormat="1" hidden="1">
      <c r="A704" s="46" t="s">
        <v>572</v>
      </c>
      <c r="B704" s="28" t="s">
        <v>1335</v>
      </c>
      <c r="C704" s="28" t="s">
        <v>88</v>
      </c>
      <c r="D704" s="28" t="s">
        <v>628</v>
      </c>
      <c r="E704" s="28" t="s">
        <v>127</v>
      </c>
      <c r="F704" s="28" t="s">
        <v>394</v>
      </c>
      <c r="G704" s="28" t="s">
        <v>394</v>
      </c>
      <c r="H704" s="28" t="s">
        <v>126</v>
      </c>
      <c r="I704" s="28" t="str">
        <f>VLOOKUP(F704,표준용어사전!$B:$D,3,FALSE)</f>
        <v>명V512</v>
      </c>
      <c r="J704" s="28" t="s">
        <v>718</v>
      </c>
      <c r="K704" s="27">
        <v>512</v>
      </c>
      <c r="L704" s="29" t="s">
        <v>571</v>
      </c>
      <c r="M704" s="29" t="s">
        <v>721</v>
      </c>
      <c r="N704" s="29" t="s">
        <v>572</v>
      </c>
      <c r="O704" s="28"/>
      <c r="P704" s="28"/>
      <c r="Q704" s="28" t="s">
        <v>76</v>
      </c>
      <c r="R704" s="29"/>
      <c r="S704" s="28"/>
      <c r="T704" s="28"/>
      <c r="U704" s="28" t="s">
        <v>75</v>
      </c>
      <c r="V704" s="28" t="s">
        <v>75</v>
      </c>
      <c r="W704" s="28"/>
    </row>
    <row r="705" spans="1:23" s="12" customFormat="1" hidden="1">
      <c r="A705" s="46" t="s">
        <v>572</v>
      </c>
      <c r="B705" s="28" t="s">
        <v>1335</v>
      </c>
      <c r="C705" s="28" t="s">
        <v>88</v>
      </c>
      <c r="D705" s="28" t="s">
        <v>628</v>
      </c>
      <c r="E705" s="28" t="s">
        <v>90</v>
      </c>
      <c r="F705" s="28" t="s">
        <v>14</v>
      </c>
      <c r="G705" s="28" t="s">
        <v>14</v>
      </c>
      <c r="H705" s="28" t="s">
        <v>126</v>
      </c>
      <c r="I705" s="28" t="str">
        <f>VLOOKUP(F705,표준용어사전!$B:$D,3,FALSE)</f>
        <v>연월일시분초TS</v>
      </c>
      <c r="J705" s="28" t="s">
        <v>16</v>
      </c>
      <c r="K705" s="27" t="s">
        <v>571</v>
      </c>
      <c r="L705" s="29" t="s">
        <v>571</v>
      </c>
      <c r="M705" s="29" t="s">
        <v>726</v>
      </c>
      <c r="N705" s="29" t="s">
        <v>711</v>
      </c>
      <c r="O705" s="28"/>
      <c r="P705" s="28"/>
      <c r="Q705" s="28" t="s">
        <v>76</v>
      </c>
      <c r="R705" s="29"/>
      <c r="S705" s="28"/>
      <c r="T705" s="28" t="s">
        <v>574</v>
      </c>
      <c r="U705" s="28" t="s">
        <v>75</v>
      </c>
      <c r="V705" s="28" t="s">
        <v>75</v>
      </c>
      <c r="W705" s="28"/>
    </row>
    <row r="706" spans="1:23" s="12" customFormat="1" hidden="1">
      <c r="A706" s="46" t="s">
        <v>572</v>
      </c>
      <c r="B706" s="28" t="s">
        <v>1335</v>
      </c>
      <c r="C706" s="28" t="s">
        <v>88</v>
      </c>
      <c r="D706" s="28" t="s">
        <v>628</v>
      </c>
      <c r="E706" s="28" t="s">
        <v>91</v>
      </c>
      <c r="F706" s="28" t="s">
        <v>369</v>
      </c>
      <c r="G706" s="28" t="s">
        <v>369</v>
      </c>
      <c r="H706" s="28" t="s">
        <v>126</v>
      </c>
      <c r="I706" s="28" t="str">
        <f>VLOOKUP(F706,표준용어사전!$B:$D,3,FALSE)</f>
        <v>명V20</v>
      </c>
      <c r="J706" s="28" t="s">
        <v>78</v>
      </c>
      <c r="K706" s="27">
        <v>20</v>
      </c>
      <c r="L706" s="29" t="s">
        <v>571</v>
      </c>
      <c r="M706" s="29" t="s">
        <v>727</v>
      </c>
      <c r="N706" s="29" t="s">
        <v>75</v>
      </c>
      <c r="O706" s="28"/>
      <c r="P706" s="28"/>
      <c r="Q706" s="28" t="s">
        <v>76</v>
      </c>
      <c r="R706" s="29"/>
      <c r="S706" s="28"/>
      <c r="T706" s="28" t="s">
        <v>571</v>
      </c>
      <c r="U706" s="28" t="s">
        <v>75</v>
      </c>
      <c r="V706" s="28" t="s">
        <v>75</v>
      </c>
      <c r="W706" s="28"/>
    </row>
    <row r="707" spans="1:23" s="12" customFormat="1" hidden="1">
      <c r="A707" s="46" t="s">
        <v>572</v>
      </c>
      <c r="B707" s="28" t="s">
        <v>1335</v>
      </c>
      <c r="C707" s="28" t="s">
        <v>88</v>
      </c>
      <c r="D707" s="28" t="s">
        <v>628</v>
      </c>
      <c r="E707" s="28" t="s">
        <v>92</v>
      </c>
      <c r="F707" s="28" t="s">
        <v>15</v>
      </c>
      <c r="G707" s="28" t="s">
        <v>15</v>
      </c>
      <c r="H707" s="28" t="s">
        <v>126</v>
      </c>
      <c r="I707" s="28" t="str">
        <f>VLOOKUP(F707,표준용어사전!$B:$D,3,FALSE)</f>
        <v>연월일시분초TS</v>
      </c>
      <c r="J707" s="28" t="s">
        <v>16</v>
      </c>
      <c r="K707" s="27" t="s">
        <v>571</v>
      </c>
      <c r="L707" s="29" t="s">
        <v>571</v>
      </c>
      <c r="M707" s="29" t="s">
        <v>726</v>
      </c>
      <c r="N707" s="29" t="s">
        <v>75</v>
      </c>
      <c r="O707" s="28"/>
      <c r="P707" s="28"/>
      <c r="Q707" s="28" t="s">
        <v>76</v>
      </c>
      <c r="R707" s="29"/>
      <c r="S707" s="28"/>
      <c r="T707" s="28" t="s">
        <v>574</v>
      </c>
      <c r="U707" s="28" t="s">
        <v>75</v>
      </c>
      <c r="V707" s="28" t="s">
        <v>75</v>
      </c>
      <c r="W707" s="28"/>
    </row>
    <row r="708" spans="1:23" s="12" customFormat="1" hidden="1">
      <c r="A708" s="46" t="s">
        <v>572</v>
      </c>
      <c r="B708" s="28" t="s">
        <v>1335</v>
      </c>
      <c r="C708" s="28" t="s">
        <v>88</v>
      </c>
      <c r="D708" s="28" t="s">
        <v>628</v>
      </c>
      <c r="E708" s="28" t="s">
        <v>93</v>
      </c>
      <c r="F708" s="28" t="s">
        <v>370</v>
      </c>
      <c r="G708" s="28" t="s">
        <v>370</v>
      </c>
      <c r="H708" s="28" t="s">
        <v>126</v>
      </c>
      <c r="I708" s="28" t="str">
        <f>VLOOKUP(F708,표준용어사전!$B:$D,3,FALSE)</f>
        <v>명V20</v>
      </c>
      <c r="J708" s="28" t="s">
        <v>78</v>
      </c>
      <c r="K708" s="27">
        <v>20</v>
      </c>
      <c r="L708" s="29" t="s">
        <v>571</v>
      </c>
      <c r="M708" s="29" t="s">
        <v>727</v>
      </c>
      <c r="N708" s="29" t="s">
        <v>75</v>
      </c>
      <c r="O708" s="28"/>
      <c r="P708" s="28"/>
      <c r="Q708" s="28" t="s">
        <v>76</v>
      </c>
      <c r="R708" s="29"/>
      <c r="S708" s="28"/>
      <c r="T708" s="28" t="s">
        <v>571</v>
      </c>
      <c r="U708" s="28" t="s">
        <v>75</v>
      </c>
      <c r="V708" s="28" t="s">
        <v>75</v>
      </c>
      <c r="W708" s="28"/>
    </row>
    <row r="709" spans="1:23" s="12" customFormat="1" hidden="1">
      <c r="A709" s="46" t="s">
        <v>572</v>
      </c>
      <c r="B709" s="28" t="s">
        <v>1335</v>
      </c>
      <c r="C709" s="28" t="s">
        <v>88</v>
      </c>
      <c r="D709" s="28" t="s">
        <v>627</v>
      </c>
      <c r="E709" s="28" t="s">
        <v>123</v>
      </c>
      <c r="F709" s="28" t="s">
        <v>392</v>
      </c>
      <c r="G709" s="28" t="s">
        <v>392</v>
      </c>
      <c r="H709" s="28" t="s">
        <v>124</v>
      </c>
      <c r="I709" s="28" t="str">
        <f>VLOOKUP(F709,표준용어사전!$B:$D,3,FALSE)</f>
        <v>번호I</v>
      </c>
      <c r="J709" s="28" t="s">
        <v>717</v>
      </c>
      <c r="K709" s="27" t="s">
        <v>571</v>
      </c>
      <c r="L709" s="29" t="s">
        <v>571</v>
      </c>
      <c r="M709" s="29"/>
      <c r="N709" s="29" t="s">
        <v>711</v>
      </c>
      <c r="O709" s="28" t="s">
        <v>641</v>
      </c>
      <c r="P709" s="28"/>
      <c r="Q709" s="28" t="s">
        <v>76</v>
      </c>
      <c r="R709" s="29"/>
      <c r="S709" s="28"/>
      <c r="T709" s="28"/>
      <c r="U709" s="28" t="s">
        <v>75</v>
      </c>
      <c r="V709" s="28" t="s">
        <v>75</v>
      </c>
      <c r="W709" s="28"/>
    </row>
    <row r="710" spans="1:23" s="12" customFormat="1" hidden="1">
      <c r="A710" s="46" t="s">
        <v>572</v>
      </c>
      <c r="B710" s="28" t="s">
        <v>1335</v>
      </c>
      <c r="C710" s="28" t="s">
        <v>88</v>
      </c>
      <c r="D710" s="28" t="s">
        <v>627</v>
      </c>
      <c r="E710" s="28" t="s">
        <v>89</v>
      </c>
      <c r="F710" s="28" t="s">
        <v>501</v>
      </c>
      <c r="G710" s="28" t="s">
        <v>501</v>
      </c>
      <c r="H710" s="28" t="s">
        <v>124</v>
      </c>
      <c r="I710" s="28" t="str">
        <f>VLOOKUP(F710,표준용어사전!$B:$D,3,FALSE)</f>
        <v>명V20</v>
      </c>
      <c r="J710" s="28" t="s">
        <v>718</v>
      </c>
      <c r="K710" s="27">
        <v>50</v>
      </c>
      <c r="L710" s="29" t="s">
        <v>571</v>
      </c>
      <c r="M710" s="29" t="s">
        <v>720</v>
      </c>
      <c r="N710" s="29" t="s">
        <v>711</v>
      </c>
      <c r="O710" s="28"/>
      <c r="P710" s="28"/>
      <c r="Q710" s="28" t="s">
        <v>1404</v>
      </c>
      <c r="R710" s="29">
        <v>1</v>
      </c>
      <c r="S710" s="28"/>
      <c r="T710" s="28"/>
      <c r="U710" s="28" t="s">
        <v>75</v>
      </c>
      <c r="V710" s="28" t="s">
        <v>75</v>
      </c>
      <c r="W710" s="28"/>
    </row>
    <row r="711" spans="1:23" s="12" customFormat="1" hidden="1">
      <c r="A711" s="46" t="s">
        <v>572</v>
      </c>
      <c r="B711" s="28" t="s">
        <v>1335</v>
      </c>
      <c r="C711" s="28" t="s">
        <v>88</v>
      </c>
      <c r="D711" s="28" t="s">
        <v>627</v>
      </c>
      <c r="E711" s="28" t="s">
        <v>125</v>
      </c>
      <c r="F711" s="28" t="s">
        <v>393</v>
      </c>
      <c r="G711" s="28" t="s">
        <v>393</v>
      </c>
      <c r="H711" s="28" t="s">
        <v>124</v>
      </c>
      <c r="I711" s="28" t="str">
        <f>VLOOKUP(F711,표준용어사전!$B:$D,3,FALSE)</f>
        <v>코드V50</v>
      </c>
      <c r="J711" s="28" t="s">
        <v>709</v>
      </c>
      <c r="K711" s="27">
        <v>50</v>
      </c>
      <c r="L711" s="29" t="s">
        <v>571</v>
      </c>
      <c r="M711" s="29" t="s">
        <v>725</v>
      </c>
      <c r="N711" s="29" t="s">
        <v>572</v>
      </c>
      <c r="O711" s="28"/>
      <c r="P711" s="28"/>
      <c r="Q711" s="28" t="s">
        <v>76</v>
      </c>
      <c r="R711" s="29"/>
      <c r="S711" s="28"/>
      <c r="T711" s="28"/>
      <c r="U711" s="28" t="s">
        <v>75</v>
      </c>
      <c r="V711" s="28" t="s">
        <v>75</v>
      </c>
      <c r="W711" s="28"/>
    </row>
    <row r="712" spans="1:23" s="12" customFormat="1" hidden="1">
      <c r="A712" s="46" t="s">
        <v>572</v>
      </c>
      <c r="B712" s="28" t="s">
        <v>1335</v>
      </c>
      <c r="C712" s="28" t="s">
        <v>88</v>
      </c>
      <c r="D712" s="28" t="s">
        <v>627</v>
      </c>
      <c r="E712" s="28" t="s">
        <v>61</v>
      </c>
      <c r="F712" s="28" t="s">
        <v>62</v>
      </c>
      <c r="G712" s="28" t="s">
        <v>62</v>
      </c>
      <c r="H712" s="28" t="s">
        <v>124</v>
      </c>
      <c r="I712" s="28" t="str">
        <f>VLOOKUP(F712,표준용어사전!$B:$D,3,FALSE)</f>
        <v>학명V256</v>
      </c>
      <c r="J712" s="28" t="s">
        <v>718</v>
      </c>
      <c r="K712" s="27">
        <v>256</v>
      </c>
      <c r="L712" s="29" t="s">
        <v>571</v>
      </c>
      <c r="M712" s="29" t="s">
        <v>730</v>
      </c>
      <c r="N712" s="29" t="s">
        <v>572</v>
      </c>
      <c r="O712" s="28"/>
      <c r="P712" s="28"/>
      <c r="Q712" s="28" t="s">
        <v>76</v>
      </c>
      <c r="R712" s="29"/>
      <c r="S712" s="28"/>
      <c r="T712" s="28"/>
      <c r="U712" s="28" t="s">
        <v>75</v>
      </c>
      <c r="V712" s="28" t="s">
        <v>75</v>
      </c>
      <c r="W712" s="28"/>
    </row>
    <row r="713" spans="1:23" s="12" customFormat="1" hidden="1">
      <c r="A713" s="46" t="s">
        <v>572</v>
      </c>
      <c r="B713" s="28" t="s">
        <v>1335</v>
      </c>
      <c r="C713" s="28" t="s">
        <v>88</v>
      </c>
      <c r="D713" s="28" t="s">
        <v>627</v>
      </c>
      <c r="E713" s="28" t="s">
        <v>90</v>
      </c>
      <c r="F713" s="28" t="s">
        <v>14</v>
      </c>
      <c r="G713" s="28" t="s">
        <v>14</v>
      </c>
      <c r="H713" s="28" t="s">
        <v>124</v>
      </c>
      <c r="I713" s="28" t="str">
        <f>VLOOKUP(F713,표준용어사전!$B:$D,3,FALSE)</f>
        <v>연월일시분초TS</v>
      </c>
      <c r="J713" s="28" t="s">
        <v>16</v>
      </c>
      <c r="K713" s="27" t="s">
        <v>571</v>
      </c>
      <c r="L713" s="29" t="s">
        <v>571</v>
      </c>
      <c r="M713" s="29" t="s">
        <v>726</v>
      </c>
      <c r="N713" s="29" t="s">
        <v>711</v>
      </c>
      <c r="O713" s="28"/>
      <c r="P713" s="28"/>
      <c r="Q713" s="28" t="s">
        <v>76</v>
      </c>
      <c r="R713" s="29"/>
      <c r="S713" s="28"/>
      <c r="T713" s="28" t="s">
        <v>574</v>
      </c>
      <c r="U713" s="28" t="s">
        <v>75</v>
      </c>
      <c r="V713" s="28" t="s">
        <v>75</v>
      </c>
      <c r="W713" s="28"/>
    </row>
    <row r="714" spans="1:23" s="12" customFormat="1" hidden="1">
      <c r="A714" s="46" t="s">
        <v>572</v>
      </c>
      <c r="B714" s="28" t="s">
        <v>1335</v>
      </c>
      <c r="C714" s="28" t="s">
        <v>88</v>
      </c>
      <c r="D714" s="28" t="s">
        <v>627</v>
      </c>
      <c r="E714" s="28" t="s">
        <v>91</v>
      </c>
      <c r="F714" s="28" t="s">
        <v>369</v>
      </c>
      <c r="G714" s="28" t="s">
        <v>369</v>
      </c>
      <c r="H714" s="28" t="s">
        <v>124</v>
      </c>
      <c r="I714" s="28" t="str">
        <f>VLOOKUP(F714,표준용어사전!$B:$D,3,FALSE)</f>
        <v>명V20</v>
      </c>
      <c r="J714" s="28" t="s">
        <v>78</v>
      </c>
      <c r="K714" s="27">
        <v>20</v>
      </c>
      <c r="L714" s="29" t="s">
        <v>571</v>
      </c>
      <c r="M714" s="29" t="s">
        <v>727</v>
      </c>
      <c r="N714" s="29" t="s">
        <v>75</v>
      </c>
      <c r="O714" s="28"/>
      <c r="P714" s="28"/>
      <c r="Q714" s="28" t="s">
        <v>76</v>
      </c>
      <c r="R714" s="29"/>
      <c r="S714" s="28"/>
      <c r="T714" s="28" t="s">
        <v>571</v>
      </c>
      <c r="U714" s="28" t="s">
        <v>75</v>
      </c>
      <c r="V714" s="28" t="s">
        <v>75</v>
      </c>
      <c r="W714" s="28"/>
    </row>
    <row r="715" spans="1:23" s="12" customFormat="1" hidden="1">
      <c r="A715" s="46" t="s">
        <v>572</v>
      </c>
      <c r="B715" s="28" t="s">
        <v>1335</v>
      </c>
      <c r="C715" s="28" t="s">
        <v>88</v>
      </c>
      <c r="D715" s="28" t="s">
        <v>627</v>
      </c>
      <c r="E715" s="28" t="s">
        <v>92</v>
      </c>
      <c r="F715" s="28" t="s">
        <v>15</v>
      </c>
      <c r="G715" s="28" t="s">
        <v>15</v>
      </c>
      <c r="H715" s="28" t="s">
        <v>124</v>
      </c>
      <c r="I715" s="28" t="str">
        <f>VLOOKUP(F715,표준용어사전!$B:$D,3,FALSE)</f>
        <v>연월일시분초TS</v>
      </c>
      <c r="J715" s="28" t="s">
        <v>16</v>
      </c>
      <c r="K715" s="27" t="s">
        <v>571</v>
      </c>
      <c r="L715" s="29" t="s">
        <v>571</v>
      </c>
      <c r="M715" s="29" t="s">
        <v>726</v>
      </c>
      <c r="N715" s="29" t="s">
        <v>75</v>
      </c>
      <c r="O715" s="28"/>
      <c r="P715" s="28"/>
      <c r="Q715" s="28" t="s">
        <v>76</v>
      </c>
      <c r="R715" s="29"/>
      <c r="S715" s="28"/>
      <c r="T715" s="28" t="s">
        <v>574</v>
      </c>
      <c r="U715" s="28" t="s">
        <v>75</v>
      </c>
      <c r="V715" s="28" t="s">
        <v>75</v>
      </c>
      <c r="W715" s="28"/>
    </row>
    <row r="716" spans="1:23" s="12" customFormat="1" hidden="1">
      <c r="A716" s="46" t="s">
        <v>572</v>
      </c>
      <c r="B716" s="28" t="s">
        <v>1335</v>
      </c>
      <c r="C716" s="28" t="s">
        <v>88</v>
      </c>
      <c r="D716" s="28" t="s">
        <v>627</v>
      </c>
      <c r="E716" s="28" t="s">
        <v>93</v>
      </c>
      <c r="F716" s="28" t="s">
        <v>370</v>
      </c>
      <c r="G716" s="28" t="s">
        <v>370</v>
      </c>
      <c r="H716" s="28" t="s">
        <v>124</v>
      </c>
      <c r="I716" s="28" t="str">
        <f>VLOOKUP(F716,표준용어사전!$B:$D,3,FALSE)</f>
        <v>명V20</v>
      </c>
      <c r="J716" s="28" t="s">
        <v>78</v>
      </c>
      <c r="K716" s="27">
        <v>20</v>
      </c>
      <c r="L716" s="29" t="s">
        <v>571</v>
      </c>
      <c r="M716" s="29" t="s">
        <v>727</v>
      </c>
      <c r="N716" s="29" t="s">
        <v>75</v>
      </c>
      <c r="O716" s="28"/>
      <c r="P716" s="28"/>
      <c r="Q716" s="28" t="s">
        <v>76</v>
      </c>
      <c r="R716" s="29"/>
      <c r="S716" s="28"/>
      <c r="T716" s="28" t="s">
        <v>571</v>
      </c>
      <c r="U716" s="28" t="s">
        <v>75</v>
      </c>
      <c r="V716" s="28" t="s">
        <v>75</v>
      </c>
      <c r="W716" s="28"/>
    </row>
    <row r="717" spans="1:23" s="12" customFormat="1" hidden="1">
      <c r="A717" s="46" t="s">
        <v>572</v>
      </c>
      <c r="B717" s="28" t="s">
        <v>1335</v>
      </c>
      <c r="C717" s="28" t="s">
        <v>88</v>
      </c>
      <c r="D717" s="28" t="s">
        <v>691</v>
      </c>
      <c r="E717" s="28" t="s">
        <v>95</v>
      </c>
      <c r="F717" s="28" t="s">
        <v>374</v>
      </c>
      <c r="G717" s="28" t="s">
        <v>374</v>
      </c>
      <c r="H717" s="28" t="s">
        <v>96</v>
      </c>
      <c r="I717" s="28" t="str">
        <f>VLOOKUP(F717,표준용어사전!$B:$D,3,FALSE)</f>
        <v>번호I</v>
      </c>
      <c r="J717" s="28" t="s">
        <v>717</v>
      </c>
      <c r="K717" s="27" t="s">
        <v>571</v>
      </c>
      <c r="L717" s="29" t="s">
        <v>571</v>
      </c>
      <c r="M717" s="29"/>
      <c r="N717" s="29" t="s">
        <v>711</v>
      </c>
      <c r="O717" s="28" t="s">
        <v>641</v>
      </c>
      <c r="P717" s="28"/>
      <c r="Q717" s="28" t="s">
        <v>76</v>
      </c>
      <c r="R717" s="29"/>
      <c r="S717" s="28"/>
      <c r="T717" s="28"/>
      <c r="U717" s="28" t="s">
        <v>75</v>
      </c>
      <c r="V717" s="28" t="s">
        <v>75</v>
      </c>
      <c r="W717" s="28"/>
    </row>
    <row r="718" spans="1:23" s="12" customFormat="1" hidden="1">
      <c r="A718" s="46" t="s">
        <v>572</v>
      </c>
      <c r="B718" s="28" t="s">
        <v>1335</v>
      </c>
      <c r="C718" s="28" t="s">
        <v>88</v>
      </c>
      <c r="D718" s="28" t="s">
        <v>691</v>
      </c>
      <c r="E718" s="28" t="s">
        <v>89</v>
      </c>
      <c r="F718" s="28" t="s">
        <v>501</v>
      </c>
      <c r="G718" s="28" t="s">
        <v>501</v>
      </c>
      <c r="H718" s="28" t="s">
        <v>96</v>
      </c>
      <c r="I718" s="28" t="str">
        <f>VLOOKUP(F718,표준용어사전!$B:$D,3,FALSE)</f>
        <v>명V20</v>
      </c>
      <c r="J718" s="28" t="s">
        <v>718</v>
      </c>
      <c r="K718" s="27">
        <v>50</v>
      </c>
      <c r="L718" s="29" t="s">
        <v>571</v>
      </c>
      <c r="M718" s="29" t="s">
        <v>720</v>
      </c>
      <c r="N718" s="29" t="s">
        <v>711</v>
      </c>
      <c r="O718" s="28"/>
      <c r="P718" s="28"/>
      <c r="Q718" s="28" t="s">
        <v>76</v>
      </c>
      <c r="R718" s="29"/>
      <c r="S718" s="28"/>
      <c r="T718" s="28"/>
      <c r="U718" s="28" t="s">
        <v>75</v>
      </c>
      <c r="V718" s="28" t="s">
        <v>75</v>
      </c>
      <c r="W718" s="28"/>
    </row>
    <row r="719" spans="1:23" s="12" customFormat="1" hidden="1">
      <c r="A719" s="46" t="s">
        <v>572</v>
      </c>
      <c r="B719" s="28" t="s">
        <v>1335</v>
      </c>
      <c r="C719" s="28" t="s">
        <v>88</v>
      </c>
      <c r="D719" s="28" t="s">
        <v>691</v>
      </c>
      <c r="E719" s="28" t="s">
        <v>97</v>
      </c>
      <c r="F719" s="28" t="s">
        <v>375</v>
      </c>
      <c r="G719" s="28" t="s">
        <v>375</v>
      </c>
      <c r="H719" s="28" t="s">
        <v>96</v>
      </c>
      <c r="I719" s="28" t="str">
        <f>VLOOKUP(F719,표준용어사전!$B:$D,3,FALSE)</f>
        <v>코드V50</v>
      </c>
      <c r="J719" s="28" t="s">
        <v>709</v>
      </c>
      <c r="K719" s="27">
        <v>50</v>
      </c>
      <c r="L719" s="29" t="s">
        <v>571</v>
      </c>
      <c r="M719" s="29" t="s">
        <v>725</v>
      </c>
      <c r="N719" s="29" t="s">
        <v>572</v>
      </c>
      <c r="O719" s="28"/>
      <c r="P719" s="28"/>
      <c r="Q719" s="28" t="s">
        <v>76</v>
      </c>
      <c r="R719" s="29"/>
      <c r="S719" s="28"/>
      <c r="T719" s="28"/>
      <c r="U719" s="28" t="s">
        <v>75</v>
      </c>
      <c r="V719" s="28" t="s">
        <v>75</v>
      </c>
      <c r="W719" s="28"/>
    </row>
    <row r="720" spans="1:23" s="12" customFormat="1" hidden="1">
      <c r="A720" s="46" t="s">
        <v>572</v>
      </c>
      <c r="B720" s="28" t="s">
        <v>1335</v>
      </c>
      <c r="C720" s="28" t="s">
        <v>88</v>
      </c>
      <c r="D720" s="28" t="s">
        <v>691</v>
      </c>
      <c r="E720" s="28" t="s">
        <v>98</v>
      </c>
      <c r="F720" s="28" t="s">
        <v>376</v>
      </c>
      <c r="G720" s="28" t="s">
        <v>376</v>
      </c>
      <c r="H720" s="28" t="s">
        <v>96</v>
      </c>
      <c r="I720" s="28" t="str">
        <f>VLOOKUP(F720,표준용어사전!$B:$D,3,FALSE)</f>
        <v>여부C1</v>
      </c>
      <c r="J720" s="28" t="s">
        <v>709</v>
      </c>
      <c r="K720" s="27">
        <v>1</v>
      </c>
      <c r="L720" s="29"/>
      <c r="M720" s="29" t="s">
        <v>722</v>
      </c>
      <c r="N720" s="29" t="s">
        <v>572</v>
      </c>
      <c r="O720" s="28"/>
      <c r="P720" s="28"/>
      <c r="Q720" s="28" t="s">
        <v>76</v>
      </c>
      <c r="R720" s="29"/>
      <c r="S720" s="28"/>
      <c r="T720" s="28" t="s">
        <v>576</v>
      </c>
      <c r="U720" s="28" t="s">
        <v>75</v>
      </c>
      <c r="V720" s="28" t="s">
        <v>75</v>
      </c>
      <c r="W720" s="28"/>
    </row>
    <row r="721" spans="1:23" s="12" customFormat="1" hidden="1">
      <c r="A721" s="46" t="s">
        <v>572</v>
      </c>
      <c r="B721" s="28" t="s">
        <v>1335</v>
      </c>
      <c r="C721" s="28" t="s">
        <v>88</v>
      </c>
      <c r="D721" s="28" t="s">
        <v>691</v>
      </c>
      <c r="E721" s="28" t="s">
        <v>99</v>
      </c>
      <c r="F721" s="28" t="s">
        <v>377</v>
      </c>
      <c r="G721" s="28" t="s">
        <v>377</v>
      </c>
      <c r="H721" s="28" t="s">
        <v>96</v>
      </c>
      <c r="I721" s="28" t="str">
        <f>VLOOKUP(F721,표준용어사전!$B:$D,3,FALSE)</f>
        <v>명V256</v>
      </c>
      <c r="J721" s="28" t="s">
        <v>718</v>
      </c>
      <c r="K721" s="27">
        <v>256</v>
      </c>
      <c r="L721" s="29" t="s">
        <v>571</v>
      </c>
      <c r="M721" s="29" t="s">
        <v>730</v>
      </c>
      <c r="N721" s="29" t="s">
        <v>572</v>
      </c>
      <c r="O721" s="28"/>
      <c r="P721" s="28"/>
      <c r="Q721" s="28" t="s">
        <v>76</v>
      </c>
      <c r="R721" s="29"/>
      <c r="S721" s="28"/>
      <c r="T721" s="28"/>
      <c r="U721" s="28" t="s">
        <v>75</v>
      </c>
      <c r="V721" s="28" t="s">
        <v>75</v>
      </c>
      <c r="W721" s="28"/>
    </row>
    <row r="722" spans="1:23" s="12" customFormat="1" hidden="1">
      <c r="A722" s="46" t="s">
        <v>572</v>
      </c>
      <c r="B722" s="28" t="s">
        <v>1335</v>
      </c>
      <c r="C722" s="28" t="s">
        <v>88</v>
      </c>
      <c r="D722" s="28" t="s">
        <v>691</v>
      </c>
      <c r="E722" s="28" t="s">
        <v>90</v>
      </c>
      <c r="F722" s="28" t="s">
        <v>14</v>
      </c>
      <c r="G722" s="28" t="s">
        <v>14</v>
      </c>
      <c r="H722" s="28" t="s">
        <v>96</v>
      </c>
      <c r="I722" s="28" t="str">
        <f>VLOOKUP(F722,표준용어사전!$B:$D,3,FALSE)</f>
        <v>연월일시분초TS</v>
      </c>
      <c r="J722" s="28" t="s">
        <v>16</v>
      </c>
      <c r="K722" s="27" t="s">
        <v>571</v>
      </c>
      <c r="L722" s="29" t="s">
        <v>571</v>
      </c>
      <c r="M722" s="29" t="s">
        <v>726</v>
      </c>
      <c r="N722" s="29" t="s">
        <v>711</v>
      </c>
      <c r="O722" s="28"/>
      <c r="P722" s="28"/>
      <c r="Q722" s="28" t="s">
        <v>76</v>
      </c>
      <c r="R722" s="29"/>
      <c r="S722" s="28"/>
      <c r="T722" s="28" t="s">
        <v>574</v>
      </c>
      <c r="U722" s="28" t="s">
        <v>75</v>
      </c>
      <c r="V722" s="28" t="s">
        <v>75</v>
      </c>
      <c r="W722" s="28"/>
    </row>
    <row r="723" spans="1:23" s="12" customFormat="1" hidden="1">
      <c r="A723" s="46" t="s">
        <v>572</v>
      </c>
      <c r="B723" s="28" t="s">
        <v>1335</v>
      </c>
      <c r="C723" s="28" t="s">
        <v>88</v>
      </c>
      <c r="D723" s="28" t="s">
        <v>691</v>
      </c>
      <c r="E723" s="28" t="s">
        <v>91</v>
      </c>
      <c r="F723" s="28" t="s">
        <v>369</v>
      </c>
      <c r="G723" s="28" t="s">
        <v>369</v>
      </c>
      <c r="H723" s="28" t="s">
        <v>96</v>
      </c>
      <c r="I723" s="28" t="str">
        <f>VLOOKUP(F723,표준용어사전!$B:$D,3,FALSE)</f>
        <v>명V20</v>
      </c>
      <c r="J723" s="28" t="s">
        <v>78</v>
      </c>
      <c r="K723" s="27">
        <v>20</v>
      </c>
      <c r="L723" s="29" t="s">
        <v>571</v>
      </c>
      <c r="M723" s="29" t="s">
        <v>727</v>
      </c>
      <c r="N723" s="29" t="s">
        <v>75</v>
      </c>
      <c r="O723" s="28"/>
      <c r="P723" s="28"/>
      <c r="Q723" s="28" t="s">
        <v>76</v>
      </c>
      <c r="R723" s="29"/>
      <c r="S723" s="28"/>
      <c r="T723" s="28" t="s">
        <v>571</v>
      </c>
      <c r="U723" s="28" t="s">
        <v>75</v>
      </c>
      <c r="V723" s="28" t="s">
        <v>75</v>
      </c>
      <c r="W723" s="28"/>
    </row>
    <row r="724" spans="1:23" s="12" customFormat="1" hidden="1">
      <c r="A724" s="46" t="s">
        <v>572</v>
      </c>
      <c r="B724" s="28" t="s">
        <v>1335</v>
      </c>
      <c r="C724" s="28" t="s">
        <v>88</v>
      </c>
      <c r="D724" s="28" t="s">
        <v>691</v>
      </c>
      <c r="E724" s="28" t="s">
        <v>92</v>
      </c>
      <c r="F724" s="28" t="s">
        <v>15</v>
      </c>
      <c r="G724" s="28" t="s">
        <v>15</v>
      </c>
      <c r="H724" s="28" t="s">
        <v>96</v>
      </c>
      <c r="I724" s="28" t="str">
        <f>VLOOKUP(F724,표준용어사전!$B:$D,3,FALSE)</f>
        <v>연월일시분초TS</v>
      </c>
      <c r="J724" s="28" t="s">
        <v>16</v>
      </c>
      <c r="K724" s="27" t="s">
        <v>571</v>
      </c>
      <c r="L724" s="29" t="s">
        <v>571</v>
      </c>
      <c r="M724" s="29" t="s">
        <v>726</v>
      </c>
      <c r="N724" s="29" t="s">
        <v>75</v>
      </c>
      <c r="O724" s="28"/>
      <c r="P724" s="28"/>
      <c r="Q724" s="28" t="s">
        <v>76</v>
      </c>
      <c r="R724" s="29"/>
      <c r="S724" s="28"/>
      <c r="T724" s="28" t="s">
        <v>574</v>
      </c>
      <c r="U724" s="28" t="s">
        <v>75</v>
      </c>
      <c r="V724" s="28" t="s">
        <v>75</v>
      </c>
      <c r="W724" s="28"/>
    </row>
    <row r="725" spans="1:23" s="12" customFormat="1" hidden="1">
      <c r="A725" s="46" t="s">
        <v>572</v>
      </c>
      <c r="B725" s="28" t="s">
        <v>1335</v>
      </c>
      <c r="C725" s="28" t="s">
        <v>88</v>
      </c>
      <c r="D725" s="28" t="s">
        <v>691</v>
      </c>
      <c r="E725" s="28" t="s">
        <v>93</v>
      </c>
      <c r="F725" s="28" t="s">
        <v>370</v>
      </c>
      <c r="G725" s="28" t="s">
        <v>370</v>
      </c>
      <c r="H725" s="28" t="s">
        <v>96</v>
      </c>
      <c r="I725" s="28" t="str">
        <f>VLOOKUP(F725,표준용어사전!$B:$D,3,FALSE)</f>
        <v>명V20</v>
      </c>
      <c r="J725" s="28" t="s">
        <v>78</v>
      </c>
      <c r="K725" s="27">
        <v>20</v>
      </c>
      <c r="L725" s="29" t="s">
        <v>571</v>
      </c>
      <c r="M725" s="29" t="s">
        <v>727</v>
      </c>
      <c r="N725" s="29" t="s">
        <v>75</v>
      </c>
      <c r="O725" s="28"/>
      <c r="P725" s="28"/>
      <c r="Q725" s="28" t="s">
        <v>76</v>
      </c>
      <c r="R725" s="29"/>
      <c r="S725" s="28"/>
      <c r="T725" s="28" t="s">
        <v>571</v>
      </c>
      <c r="U725" s="28" t="s">
        <v>75</v>
      </c>
      <c r="V725" s="28" t="s">
        <v>75</v>
      </c>
      <c r="W725" s="28"/>
    </row>
    <row r="726" spans="1:23" s="12" customFormat="1" hidden="1">
      <c r="A726" s="46" t="s">
        <v>572</v>
      </c>
      <c r="B726" s="28" t="s">
        <v>1335</v>
      </c>
      <c r="C726" s="28" t="s">
        <v>88</v>
      </c>
      <c r="D726" s="28" t="s">
        <v>692</v>
      </c>
      <c r="E726" s="28" t="s">
        <v>89</v>
      </c>
      <c r="F726" s="28" t="s">
        <v>501</v>
      </c>
      <c r="G726" s="28" t="s">
        <v>501</v>
      </c>
      <c r="H726" s="28" t="s">
        <v>100</v>
      </c>
      <c r="I726" s="28" t="str">
        <f>VLOOKUP(F726,표준용어사전!$B:$D,3,FALSE)</f>
        <v>명V20</v>
      </c>
      <c r="J726" s="28" t="s">
        <v>78</v>
      </c>
      <c r="K726" s="27">
        <v>50</v>
      </c>
      <c r="L726" s="29" t="s">
        <v>571</v>
      </c>
      <c r="M726" s="29" t="s">
        <v>720</v>
      </c>
      <c r="N726" s="29" t="s">
        <v>711</v>
      </c>
      <c r="O726" s="28" t="s">
        <v>641</v>
      </c>
      <c r="P726" s="28"/>
      <c r="Q726" s="28" t="s">
        <v>76</v>
      </c>
      <c r="R726" s="29"/>
      <c r="S726" s="28"/>
      <c r="T726" s="28"/>
      <c r="U726" s="28" t="s">
        <v>75</v>
      </c>
      <c r="V726" s="28" t="s">
        <v>75</v>
      </c>
      <c r="W726" s="28"/>
    </row>
    <row r="727" spans="1:23" s="12" customFormat="1" hidden="1">
      <c r="A727" s="46" t="s">
        <v>572</v>
      </c>
      <c r="B727" s="28" t="s">
        <v>1335</v>
      </c>
      <c r="C727" s="28" t="s">
        <v>88</v>
      </c>
      <c r="D727" s="28" t="s">
        <v>692</v>
      </c>
      <c r="E727" s="28" t="s">
        <v>101</v>
      </c>
      <c r="F727" s="28" t="s">
        <v>378</v>
      </c>
      <c r="G727" s="28" t="s">
        <v>378</v>
      </c>
      <c r="H727" s="28" t="s">
        <v>100</v>
      </c>
      <c r="I727" s="28" t="str">
        <f>VLOOKUP(F727,표준용어사전!$B:$D,3,FALSE)</f>
        <v>명V50</v>
      </c>
      <c r="J727" s="28" t="s">
        <v>78</v>
      </c>
      <c r="K727" s="27">
        <v>50</v>
      </c>
      <c r="L727" s="29" t="s">
        <v>571</v>
      </c>
      <c r="M727" s="29" t="s">
        <v>720</v>
      </c>
      <c r="N727" s="29" t="s">
        <v>75</v>
      </c>
      <c r="O727" s="28"/>
      <c r="P727" s="28"/>
      <c r="Q727" s="28" t="s">
        <v>76</v>
      </c>
      <c r="R727" s="29"/>
      <c r="S727" s="28"/>
      <c r="T727" s="28"/>
      <c r="U727" s="28" t="s">
        <v>75</v>
      </c>
      <c r="V727" s="28" t="s">
        <v>75</v>
      </c>
      <c r="W727" s="28"/>
    </row>
    <row r="728" spans="1:23" s="12" customFormat="1" hidden="1">
      <c r="A728" s="46" t="s">
        <v>572</v>
      </c>
      <c r="B728" s="28" t="s">
        <v>1335</v>
      </c>
      <c r="C728" s="28" t="s">
        <v>88</v>
      </c>
      <c r="D728" s="28" t="s">
        <v>692</v>
      </c>
      <c r="E728" s="28" t="s">
        <v>102</v>
      </c>
      <c r="F728" s="28" t="s">
        <v>379</v>
      </c>
      <c r="G728" s="28" t="s">
        <v>379</v>
      </c>
      <c r="H728" s="28" t="s">
        <v>100</v>
      </c>
      <c r="I728" s="28" t="str">
        <f>VLOOKUP(F728,표준용어사전!$B:$D,3,FALSE)</f>
        <v>명V50</v>
      </c>
      <c r="J728" s="28" t="s">
        <v>78</v>
      </c>
      <c r="K728" s="27">
        <v>50</v>
      </c>
      <c r="L728" s="29" t="s">
        <v>571</v>
      </c>
      <c r="M728" s="29" t="s">
        <v>720</v>
      </c>
      <c r="N728" s="29" t="s">
        <v>75</v>
      </c>
      <c r="O728" s="28"/>
      <c r="P728" s="28"/>
      <c r="Q728" s="28" t="s">
        <v>76</v>
      </c>
      <c r="R728" s="29"/>
      <c r="S728" s="28"/>
      <c r="T728" s="28"/>
      <c r="U728" s="28" t="s">
        <v>75</v>
      </c>
      <c r="V728" s="28" t="s">
        <v>75</v>
      </c>
      <c r="W728" s="28"/>
    </row>
    <row r="729" spans="1:23" s="12" customFormat="1" hidden="1">
      <c r="A729" s="46" t="s">
        <v>572</v>
      </c>
      <c r="B729" s="28" t="s">
        <v>1335</v>
      </c>
      <c r="C729" s="28" t="s">
        <v>88</v>
      </c>
      <c r="D729" s="28" t="s">
        <v>692</v>
      </c>
      <c r="E729" s="28" t="s">
        <v>890</v>
      </c>
      <c r="F729" s="28" t="s">
        <v>816</v>
      </c>
      <c r="G729" s="28" t="s">
        <v>816</v>
      </c>
      <c r="H729" s="28" t="s">
        <v>100</v>
      </c>
      <c r="I729" s="28" t="str">
        <f>VLOOKUP(F729,표준용어사전!$B:$D,3,FALSE)</f>
        <v>여부C1</v>
      </c>
      <c r="J729" s="28" t="s">
        <v>709</v>
      </c>
      <c r="K729" s="27">
        <v>1</v>
      </c>
      <c r="L729" s="29" t="s">
        <v>571</v>
      </c>
      <c r="M729" s="29" t="s">
        <v>722</v>
      </c>
      <c r="N729" s="29" t="s">
        <v>75</v>
      </c>
      <c r="O729" s="28"/>
      <c r="P729" s="28"/>
      <c r="Q729" s="28" t="s">
        <v>76</v>
      </c>
      <c r="R729" s="29"/>
      <c r="S729" s="28"/>
      <c r="T729" s="28"/>
      <c r="U729" s="28" t="s">
        <v>75</v>
      </c>
      <c r="V729" s="28" t="s">
        <v>75</v>
      </c>
      <c r="W729" s="28"/>
    </row>
    <row r="730" spans="1:23" s="12" customFormat="1" hidden="1">
      <c r="A730" s="46" t="s">
        <v>572</v>
      </c>
      <c r="B730" s="28" t="s">
        <v>1335</v>
      </c>
      <c r="C730" s="28" t="s">
        <v>88</v>
      </c>
      <c r="D730" s="28" t="s">
        <v>1814</v>
      </c>
      <c r="E730" s="28" t="s">
        <v>103</v>
      </c>
      <c r="F730" s="28" t="s">
        <v>380</v>
      </c>
      <c r="G730" s="28" t="s">
        <v>380</v>
      </c>
      <c r="H730" s="28" t="s">
        <v>100</v>
      </c>
      <c r="I730" s="28" t="str">
        <f>VLOOKUP(F730,표준용어사전!$B:$D,3,FALSE)</f>
        <v>명V50</v>
      </c>
      <c r="J730" s="28" t="s">
        <v>718</v>
      </c>
      <c r="K730" s="27">
        <v>50</v>
      </c>
      <c r="L730" s="29" t="s">
        <v>571</v>
      </c>
      <c r="M730" s="29" t="s">
        <v>720</v>
      </c>
      <c r="N730" s="29" t="s">
        <v>75</v>
      </c>
      <c r="O730" s="28"/>
      <c r="P730" s="28"/>
      <c r="Q730" s="28" t="s">
        <v>76</v>
      </c>
      <c r="R730" s="29"/>
      <c r="S730" s="28"/>
      <c r="T730" s="28"/>
      <c r="U730" s="28" t="s">
        <v>75</v>
      </c>
      <c r="V730" s="28" t="s">
        <v>75</v>
      </c>
      <c r="W730" s="28"/>
    </row>
    <row r="731" spans="1:23" s="12" customFormat="1" hidden="1">
      <c r="A731" s="46" t="s">
        <v>572</v>
      </c>
      <c r="B731" s="28" t="s">
        <v>1335</v>
      </c>
      <c r="C731" s="28" t="s">
        <v>88</v>
      </c>
      <c r="D731" s="28" t="s">
        <v>692</v>
      </c>
      <c r="E731" s="28" t="s">
        <v>104</v>
      </c>
      <c r="F731" s="28" t="s">
        <v>381</v>
      </c>
      <c r="G731" s="28" t="s">
        <v>381</v>
      </c>
      <c r="H731" s="28" t="s">
        <v>100</v>
      </c>
      <c r="I731" s="28" t="str">
        <f>VLOOKUP(F731,표준용어사전!$B:$D,3,FALSE)</f>
        <v>명V50</v>
      </c>
      <c r="J731" s="28" t="s">
        <v>718</v>
      </c>
      <c r="K731" s="27">
        <v>50</v>
      </c>
      <c r="L731" s="29" t="s">
        <v>571</v>
      </c>
      <c r="M731" s="29" t="s">
        <v>720</v>
      </c>
      <c r="N731" s="29" t="s">
        <v>75</v>
      </c>
      <c r="O731" s="28"/>
      <c r="P731" s="28"/>
      <c r="Q731" s="28" t="s">
        <v>76</v>
      </c>
      <c r="R731" s="29"/>
      <c r="S731" s="28"/>
      <c r="T731" s="28"/>
      <c r="U731" s="28" t="s">
        <v>75</v>
      </c>
      <c r="V731" s="28" t="s">
        <v>75</v>
      </c>
      <c r="W731" s="28"/>
    </row>
    <row r="732" spans="1:23" s="12" customFormat="1" hidden="1">
      <c r="A732" s="46" t="s">
        <v>572</v>
      </c>
      <c r="B732" s="28" t="s">
        <v>1335</v>
      </c>
      <c r="C732" s="28" t="s">
        <v>88</v>
      </c>
      <c r="D732" s="28" t="s">
        <v>692</v>
      </c>
      <c r="E732" s="28" t="s">
        <v>105</v>
      </c>
      <c r="F732" s="28" t="s">
        <v>382</v>
      </c>
      <c r="G732" s="28" t="s">
        <v>382</v>
      </c>
      <c r="H732" s="28" t="s">
        <v>100</v>
      </c>
      <c r="I732" s="28" t="str">
        <f>VLOOKUP(F732,표준용어사전!$B:$D,3,FALSE)</f>
        <v>명V80</v>
      </c>
      <c r="J732" s="28" t="s">
        <v>718</v>
      </c>
      <c r="K732" s="27">
        <v>50</v>
      </c>
      <c r="L732" s="29" t="s">
        <v>571</v>
      </c>
      <c r="M732" s="29" t="s">
        <v>720</v>
      </c>
      <c r="N732" s="29" t="s">
        <v>75</v>
      </c>
      <c r="O732" s="28"/>
      <c r="P732" s="28"/>
      <c r="Q732" s="28" t="s">
        <v>76</v>
      </c>
      <c r="R732" s="29"/>
      <c r="S732" s="28"/>
      <c r="T732" s="28"/>
      <c r="U732" s="28" t="s">
        <v>75</v>
      </c>
      <c r="V732" s="28" t="s">
        <v>75</v>
      </c>
      <c r="W732" s="28"/>
    </row>
    <row r="733" spans="1:23" s="12" customFormat="1" hidden="1">
      <c r="A733" s="46" t="s">
        <v>572</v>
      </c>
      <c r="B733" s="28" t="s">
        <v>1335</v>
      </c>
      <c r="C733" s="28" t="s">
        <v>88</v>
      </c>
      <c r="D733" s="28" t="s">
        <v>692</v>
      </c>
      <c r="E733" s="28" t="s">
        <v>106</v>
      </c>
      <c r="F733" s="28" t="s">
        <v>383</v>
      </c>
      <c r="G733" s="28" t="s">
        <v>383</v>
      </c>
      <c r="H733" s="28" t="s">
        <v>100</v>
      </c>
      <c r="I733" s="28" t="str">
        <f>VLOOKUP(F733,표준용어사전!$B:$D,3,FALSE)</f>
        <v>명V256</v>
      </c>
      <c r="J733" s="28" t="s">
        <v>718</v>
      </c>
      <c r="K733" s="27">
        <v>256</v>
      </c>
      <c r="L733" s="29" t="s">
        <v>571</v>
      </c>
      <c r="M733" s="29" t="s">
        <v>730</v>
      </c>
      <c r="N733" s="29" t="s">
        <v>75</v>
      </c>
      <c r="O733" s="28"/>
      <c r="P733" s="28"/>
      <c r="Q733" s="28" t="s">
        <v>76</v>
      </c>
      <c r="R733" s="29"/>
      <c r="S733" s="28"/>
      <c r="T733" s="28"/>
      <c r="U733" s="28" t="s">
        <v>75</v>
      </c>
      <c r="V733" s="28" t="s">
        <v>75</v>
      </c>
      <c r="W733" s="28"/>
    </row>
    <row r="734" spans="1:23" s="12" customFormat="1" hidden="1">
      <c r="A734" s="46" t="s">
        <v>572</v>
      </c>
      <c r="B734" s="28" t="s">
        <v>1335</v>
      </c>
      <c r="C734" s="28" t="s">
        <v>88</v>
      </c>
      <c r="D734" s="28" t="s">
        <v>692</v>
      </c>
      <c r="E734" s="28" t="s">
        <v>891</v>
      </c>
      <c r="F734" s="28" t="s">
        <v>817</v>
      </c>
      <c r="G734" s="28" t="s">
        <v>817</v>
      </c>
      <c r="H734" s="28" t="s">
        <v>100</v>
      </c>
      <c r="I734" s="28" t="str">
        <f>VLOOKUP(F734,표준용어사전!$B:$D,3,FALSE)</f>
        <v>명V256</v>
      </c>
      <c r="J734" s="28" t="s">
        <v>718</v>
      </c>
      <c r="K734" s="27">
        <v>256</v>
      </c>
      <c r="L734" s="29" t="s">
        <v>571</v>
      </c>
      <c r="M734" s="29" t="s">
        <v>730</v>
      </c>
      <c r="N734" s="29" t="s">
        <v>75</v>
      </c>
      <c r="O734" s="28"/>
      <c r="P734" s="28"/>
      <c r="Q734" s="28" t="s">
        <v>1405</v>
      </c>
      <c r="R734" s="29">
        <v>1</v>
      </c>
      <c r="S734" s="28"/>
      <c r="T734" s="28"/>
      <c r="U734" s="28" t="s">
        <v>75</v>
      </c>
      <c r="V734" s="28" t="s">
        <v>75</v>
      </c>
      <c r="W734" s="28"/>
    </row>
    <row r="735" spans="1:23" s="12" customFormat="1" hidden="1">
      <c r="A735" s="46" t="s">
        <v>572</v>
      </c>
      <c r="B735" s="28" t="s">
        <v>1335</v>
      </c>
      <c r="C735" s="28" t="s">
        <v>88</v>
      </c>
      <c r="D735" s="28" t="s">
        <v>692</v>
      </c>
      <c r="E735" s="28" t="s">
        <v>107</v>
      </c>
      <c r="F735" s="28" t="s">
        <v>384</v>
      </c>
      <c r="G735" s="28" t="s">
        <v>384</v>
      </c>
      <c r="H735" s="28" t="s">
        <v>100</v>
      </c>
      <c r="I735" s="28" t="str">
        <f>VLOOKUP(F735,표준용어사전!$B:$D,3,FALSE)</f>
        <v>여부C1</v>
      </c>
      <c r="J735" s="28" t="s">
        <v>709</v>
      </c>
      <c r="K735" s="27">
        <v>1</v>
      </c>
      <c r="L735" s="29" t="s">
        <v>571</v>
      </c>
      <c r="M735" s="29" t="s">
        <v>722</v>
      </c>
      <c r="N735" s="29" t="s">
        <v>75</v>
      </c>
      <c r="O735" s="28"/>
      <c r="P735" s="28"/>
      <c r="Q735" s="28" t="s">
        <v>76</v>
      </c>
      <c r="R735" s="29"/>
      <c r="S735" s="28"/>
      <c r="T735" s="28" t="s">
        <v>576</v>
      </c>
      <c r="U735" s="28" t="s">
        <v>75</v>
      </c>
      <c r="V735" s="28" t="s">
        <v>75</v>
      </c>
      <c r="W735" s="28"/>
    </row>
    <row r="736" spans="1:23" s="12" customFormat="1" hidden="1">
      <c r="A736" s="46" t="s">
        <v>572</v>
      </c>
      <c r="B736" s="28" t="s">
        <v>1335</v>
      </c>
      <c r="C736" s="28" t="s">
        <v>88</v>
      </c>
      <c r="D736" s="28" t="s">
        <v>692</v>
      </c>
      <c r="E736" s="28" t="s">
        <v>108</v>
      </c>
      <c r="F736" s="28" t="s">
        <v>385</v>
      </c>
      <c r="G736" s="28" t="s">
        <v>385</v>
      </c>
      <c r="H736" s="28" t="s">
        <v>100</v>
      </c>
      <c r="I736" s="28" t="str">
        <f>VLOOKUP(F736,표준용어사전!$B:$D,3,FALSE)</f>
        <v>여부C1</v>
      </c>
      <c r="J736" s="28" t="s">
        <v>709</v>
      </c>
      <c r="K736" s="27">
        <v>1</v>
      </c>
      <c r="L736" s="29" t="s">
        <v>571</v>
      </c>
      <c r="M736" s="29" t="s">
        <v>722</v>
      </c>
      <c r="N736" s="29" t="s">
        <v>75</v>
      </c>
      <c r="O736" s="28"/>
      <c r="P736" s="28"/>
      <c r="Q736" s="28" t="s">
        <v>76</v>
      </c>
      <c r="R736" s="29"/>
      <c r="S736" s="28"/>
      <c r="T736" s="28" t="s">
        <v>576</v>
      </c>
      <c r="U736" s="28" t="s">
        <v>75</v>
      </c>
      <c r="V736" s="28" t="s">
        <v>75</v>
      </c>
      <c r="W736" s="28"/>
    </row>
    <row r="737" spans="1:23" s="12" customFormat="1" hidden="1">
      <c r="A737" s="46" t="s">
        <v>572</v>
      </c>
      <c r="B737" s="28" t="s">
        <v>1335</v>
      </c>
      <c r="C737" s="28" t="s">
        <v>88</v>
      </c>
      <c r="D737" s="28" t="s">
        <v>692</v>
      </c>
      <c r="E737" s="28" t="s">
        <v>109</v>
      </c>
      <c r="F737" s="28" t="s">
        <v>85</v>
      </c>
      <c r="G737" s="28" t="s">
        <v>85</v>
      </c>
      <c r="H737" s="28" t="s">
        <v>100</v>
      </c>
      <c r="I737" s="28" t="str">
        <f>VLOOKUP(F737,표준용어사전!$B:$D,3,FALSE)</f>
        <v>학명V256</v>
      </c>
      <c r="J737" s="28" t="s">
        <v>78</v>
      </c>
      <c r="K737" s="27">
        <v>256</v>
      </c>
      <c r="L737" s="29" t="s">
        <v>571</v>
      </c>
      <c r="M737" s="29" t="s">
        <v>730</v>
      </c>
      <c r="N737" s="29" t="s">
        <v>75</v>
      </c>
      <c r="O737" s="28"/>
      <c r="P737" s="28"/>
      <c r="Q737" s="28" t="s">
        <v>76</v>
      </c>
      <c r="R737" s="29"/>
      <c r="S737" s="28"/>
      <c r="T737" s="28" t="s">
        <v>76</v>
      </c>
      <c r="U737" s="28" t="s">
        <v>75</v>
      </c>
      <c r="V737" s="28" t="s">
        <v>75</v>
      </c>
      <c r="W737" s="28"/>
    </row>
    <row r="738" spans="1:23" s="12" customFormat="1" hidden="1">
      <c r="A738" s="46" t="s">
        <v>572</v>
      </c>
      <c r="B738" s="28" t="s">
        <v>1335</v>
      </c>
      <c r="C738" s="28" t="s">
        <v>88</v>
      </c>
      <c r="D738" s="28" t="s">
        <v>692</v>
      </c>
      <c r="E738" s="28" t="s">
        <v>110</v>
      </c>
      <c r="F738" s="28" t="s">
        <v>87</v>
      </c>
      <c r="G738" s="28" t="s">
        <v>87</v>
      </c>
      <c r="H738" s="28" t="s">
        <v>100</v>
      </c>
      <c r="I738" s="28" t="str">
        <f>VLOOKUP(F738,표준용어사전!$B:$D,3,FALSE)</f>
        <v>국명V256</v>
      </c>
      <c r="J738" s="28" t="s">
        <v>78</v>
      </c>
      <c r="K738" s="27">
        <v>256</v>
      </c>
      <c r="L738" s="29" t="s">
        <v>571</v>
      </c>
      <c r="M738" s="29" t="s">
        <v>730</v>
      </c>
      <c r="N738" s="29" t="s">
        <v>75</v>
      </c>
      <c r="O738" s="28"/>
      <c r="P738" s="28"/>
      <c r="Q738" s="28" t="s">
        <v>76</v>
      </c>
      <c r="R738" s="29"/>
      <c r="S738" s="28"/>
      <c r="T738" s="28" t="s">
        <v>76</v>
      </c>
      <c r="U738" s="28" t="s">
        <v>75</v>
      </c>
      <c r="V738" s="28" t="s">
        <v>75</v>
      </c>
      <c r="W738" s="28"/>
    </row>
    <row r="739" spans="1:23" s="12" customFormat="1" hidden="1">
      <c r="A739" s="46" t="s">
        <v>572</v>
      </c>
      <c r="B739" s="28" t="s">
        <v>1335</v>
      </c>
      <c r="C739" s="28" t="s">
        <v>88</v>
      </c>
      <c r="D739" s="28" t="s">
        <v>692</v>
      </c>
      <c r="E739" s="28" t="s">
        <v>111</v>
      </c>
      <c r="F739" s="28" t="s">
        <v>386</v>
      </c>
      <c r="G739" s="28" t="s">
        <v>386</v>
      </c>
      <c r="H739" s="28" t="s">
        <v>100</v>
      </c>
      <c r="I739" s="28" t="str">
        <f>VLOOKUP(F739,표준용어사전!$B:$D,3,FALSE)</f>
        <v>명V50</v>
      </c>
      <c r="J739" s="28" t="s">
        <v>78</v>
      </c>
      <c r="K739" s="27">
        <v>50</v>
      </c>
      <c r="L739" s="29" t="s">
        <v>571</v>
      </c>
      <c r="M739" s="29" t="s">
        <v>720</v>
      </c>
      <c r="N739" s="29" t="s">
        <v>75</v>
      </c>
      <c r="O739" s="28"/>
      <c r="P739" s="28"/>
      <c r="Q739" s="28" t="s">
        <v>76</v>
      </c>
      <c r="R739" s="29"/>
      <c r="S739" s="28"/>
      <c r="T739" s="28" t="s">
        <v>76</v>
      </c>
      <c r="U739" s="28" t="s">
        <v>75</v>
      </c>
      <c r="V739" s="28" t="s">
        <v>75</v>
      </c>
      <c r="W739" s="28"/>
    </row>
    <row r="740" spans="1:23" s="12" customFormat="1" hidden="1">
      <c r="A740" s="46" t="s">
        <v>572</v>
      </c>
      <c r="B740" s="28" t="s">
        <v>1335</v>
      </c>
      <c r="C740" s="28" t="s">
        <v>88</v>
      </c>
      <c r="D740" s="28" t="s">
        <v>692</v>
      </c>
      <c r="E740" s="28" t="s">
        <v>112</v>
      </c>
      <c r="F740" s="28" t="s">
        <v>46</v>
      </c>
      <c r="G740" s="28" t="s">
        <v>46</v>
      </c>
      <c r="H740" s="28" t="s">
        <v>100</v>
      </c>
      <c r="I740" s="28" t="str">
        <f>VLOOKUP(F740,표준용어사전!$B:$D,3,FALSE)</f>
        <v>학명V256</v>
      </c>
      <c r="J740" s="28" t="s">
        <v>78</v>
      </c>
      <c r="K740" s="27">
        <v>256</v>
      </c>
      <c r="L740" s="29" t="s">
        <v>571</v>
      </c>
      <c r="M740" s="29" t="s">
        <v>730</v>
      </c>
      <c r="N740" s="29" t="s">
        <v>75</v>
      </c>
      <c r="O740" s="28"/>
      <c r="P740" s="28"/>
      <c r="Q740" s="28" t="s">
        <v>76</v>
      </c>
      <c r="R740" s="29"/>
      <c r="S740" s="28"/>
      <c r="T740" s="28" t="s">
        <v>76</v>
      </c>
      <c r="U740" s="28" t="s">
        <v>75</v>
      </c>
      <c r="V740" s="28" t="s">
        <v>75</v>
      </c>
      <c r="W740" s="28"/>
    </row>
    <row r="741" spans="1:23" s="12" customFormat="1" hidden="1">
      <c r="A741" s="46" t="s">
        <v>572</v>
      </c>
      <c r="B741" s="28" t="s">
        <v>1335</v>
      </c>
      <c r="C741" s="28" t="s">
        <v>88</v>
      </c>
      <c r="D741" s="28" t="s">
        <v>692</v>
      </c>
      <c r="E741" s="28" t="s">
        <v>113</v>
      </c>
      <c r="F741" s="28" t="s">
        <v>45</v>
      </c>
      <c r="G741" s="28" t="s">
        <v>45</v>
      </c>
      <c r="H741" s="28" t="s">
        <v>100</v>
      </c>
      <c r="I741" s="28" t="str">
        <f>VLOOKUP(F741,표준용어사전!$B:$D,3,FALSE)</f>
        <v>국명V256</v>
      </c>
      <c r="J741" s="28" t="s">
        <v>78</v>
      </c>
      <c r="K741" s="27">
        <v>256</v>
      </c>
      <c r="L741" s="29" t="s">
        <v>571</v>
      </c>
      <c r="M741" s="29" t="s">
        <v>730</v>
      </c>
      <c r="N741" s="29" t="s">
        <v>75</v>
      </c>
      <c r="O741" s="28"/>
      <c r="P741" s="28"/>
      <c r="Q741" s="28" t="s">
        <v>76</v>
      </c>
      <c r="R741" s="29"/>
      <c r="S741" s="28"/>
      <c r="T741" s="28" t="s">
        <v>76</v>
      </c>
      <c r="U741" s="28" t="s">
        <v>75</v>
      </c>
      <c r="V741" s="28" t="s">
        <v>75</v>
      </c>
      <c r="W741" s="28"/>
    </row>
    <row r="742" spans="1:23" s="12" customFormat="1" hidden="1">
      <c r="A742" s="46" t="s">
        <v>572</v>
      </c>
      <c r="B742" s="28" t="s">
        <v>1335</v>
      </c>
      <c r="C742" s="28" t="s">
        <v>88</v>
      </c>
      <c r="D742" s="28" t="s">
        <v>692</v>
      </c>
      <c r="E742" s="28" t="s">
        <v>114</v>
      </c>
      <c r="F742" s="28" t="s">
        <v>387</v>
      </c>
      <c r="G742" s="28" t="s">
        <v>387</v>
      </c>
      <c r="H742" s="28" t="s">
        <v>100</v>
      </c>
      <c r="I742" s="28" t="str">
        <f>VLOOKUP(F742,표준용어사전!$B:$D,3,FALSE)</f>
        <v>명V50</v>
      </c>
      <c r="J742" s="28" t="s">
        <v>78</v>
      </c>
      <c r="K742" s="27">
        <v>50</v>
      </c>
      <c r="L742" s="29" t="s">
        <v>571</v>
      </c>
      <c r="M742" s="29" t="s">
        <v>720</v>
      </c>
      <c r="N742" s="29" t="s">
        <v>75</v>
      </c>
      <c r="O742" s="28"/>
      <c r="P742" s="28"/>
      <c r="Q742" s="28" t="s">
        <v>76</v>
      </c>
      <c r="R742" s="29"/>
      <c r="S742" s="28"/>
      <c r="T742" s="28" t="s">
        <v>76</v>
      </c>
      <c r="U742" s="28" t="s">
        <v>75</v>
      </c>
      <c r="V742" s="28" t="s">
        <v>75</v>
      </c>
      <c r="W742" s="28"/>
    </row>
    <row r="743" spans="1:23" s="12" customFormat="1" hidden="1">
      <c r="A743" s="46" t="s">
        <v>572</v>
      </c>
      <c r="B743" s="28" t="s">
        <v>1335</v>
      </c>
      <c r="C743" s="28" t="s">
        <v>88</v>
      </c>
      <c r="D743" s="28" t="s">
        <v>692</v>
      </c>
      <c r="E743" s="28" t="s">
        <v>49</v>
      </c>
      <c r="F743" s="28" t="s">
        <v>50</v>
      </c>
      <c r="G743" s="28" t="s">
        <v>50</v>
      </c>
      <c r="H743" s="28" t="s">
        <v>100</v>
      </c>
      <c r="I743" s="28" t="str">
        <f>VLOOKUP(F743,표준용어사전!$B:$D,3,FALSE)</f>
        <v>학명V256</v>
      </c>
      <c r="J743" s="28" t="s">
        <v>78</v>
      </c>
      <c r="K743" s="27">
        <v>256</v>
      </c>
      <c r="L743" s="29" t="s">
        <v>571</v>
      </c>
      <c r="M743" s="29" t="s">
        <v>730</v>
      </c>
      <c r="N743" s="29" t="s">
        <v>75</v>
      </c>
      <c r="O743" s="28"/>
      <c r="P743" s="28"/>
      <c r="Q743" s="28" t="s">
        <v>76</v>
      </c>
      <c r="R743" s="29"/>
      <c r="S743" s="28"/>
      <c r="T743" s="28" t="s">
        <v>76</v>
      </c>
      <c r="U743" s="28" t="s">
        <v>75</v>
      </c>
      <c r="V743" s="28" t="s">
        <v>75</v>
      </c>
      <c r="W743" s="28"/>
    </row>
    <row r="744" spans="1:23" s="12" customFormat="1" hidden="1">
      <c r="A744" s="46" t="s">
        <v>572</v>
      </c>
      <c r="B744" s="28" t="s">
        <v>1335</v>
      </c>
      <c r="C744" s="28" t="s">
        <v>88</v>
      </c>
      <c r="D744" s="28" t="s">
        <v>692</v>
      </c>
      <c r="E744" s="28" t="s">
        <v>47</v>
      </c>
      <c r="F744" s="28" t="s">
        <v>48</v>
      </c>
      <c r="G744" s="28" t="s">
        <v>48</v>
      </c>
      <c r="H744" s="28" t="s">
        <v>100</v>
      </c>
      <c r="I744" s="28" t="str">
        <f>VLOOKUP(F744,표준용어사전!$B:$D,3,FALSE)</f>
        <v>국명V256</v>
      </c>
      <c r="J744" s="28" t="s">
        <v>78</v>
      </c>
      <c r="K744" s="27">
        <v>256</v>
      </c>
      <c r="L744" s="29" t="s">
        <v>571</v>
      </c>
      <c r="M744" s="29" t="s">
        <v>730</v>
      </c>
      <c r="N744" s="29" t="s">
        <v>75</v>
      </c>
      <c r="O744" s="28"/>
      <c r="P744" s="28"/>
      <c r="Q744" s="28" t="s">
        <v>76</v>
      </c>
      <c r="R744" s="29"/>
      <c r="S744" s="28"/>
      <c r="T744" s="28" t="s">
        <v>76</v>
      </c>
      <c r="U744" s="28" t="s">
        <v>75</v>
      </c>
      <c r="V744" s="28" t="s">
        <v>75</v>
      </c>
      <c r="W744" s="28"/>
    </row>
    <row r="745" spans="1:23" s="12" customFormat="1" hidden="1">
      <c r="A745" s="46" t="s">
        <v>572</v>
      </c>
      <c r="B745" s="28" t="s">
        <v>1335</v>
      </c>
      <c r="C745" s="28" t="s">
        <v>88</v>
      </c>
      <c r="D745" s="28" t="s">
        <v>692</v>
      </c>
      <c r="E745" s="28" t="s">
        <v>81</v>
      </c>
      <c r="F745" s="28" t="s">
        <v>80</v>
      </c>
      <c r="G745" s="28" t="s">
        <v>80</v>
      </c>
      <c r="H745" s="28" t="s">
        <v>100</v>
      </c>
      <c r="I745" s="28" t="str">
        <f>VLOOKUP(F745,표준용어사전!$B:$D,3,FALSE)</f>
        <v>명V50</v>
      </c>
      <c r="J745" s="28" t="s">
        <v>78</v>
      </c>
      <c r="K745" s="27">
        <v>50</v>
      </c>
      <c r="L745" s="29" t="s">
        <v>571</v>
      </c>
      <c r="M745" s="29" t="s">
        <v>720</v>
      </c>
      <c r="N745" s="29" t="s">
        <v>75</v>
      </c>
      <c r="O745" s="28"/>
      <c r="P745" s="28"/>
      <c r="Q745" s="28" t="s">
        <v>76</v>
      </c>
      <c r="R745" s="29"/>
      <c r="S745" s="28"/>
      <c r="T745" s="28" t="s">
        <v>76</v>
      </c>
      <c r="U745" s="28" t="s">
        <v>75</v>
      </c>
      <c r="V745" s="28" t="s">
        <v>75</v>
      </c>
      <c r="W745" s="28"/>
    </row>
    <row r="746" spans="1:23" s="12" customFormat="1" hidden="1">
      <c r="A746" s="46" t="s">
        <v>572</v>
      </c>
      <c r="B746" s="28" t="s">
        <v>1335</v>
      </c>
      <c r="C746" s="28" t="s">
        <v>88</v>
      </c>
      <c r="D746" s="28" t="s">
        <v>692</v>
      </c>
      <c r="E746" s="28" t="s">
        <v>115</v>
      </c>
      <c r="F746" s="28" t="s">
        <v>52</v>
      </c>
      <c r="G746" s="28" t="s">
        <v>52</v>
      </c>
      <c r="H746" s="28" t="s">
        <v>100</v>
      </c>
      <c r="I746" s="28" t="str">
        <f>VLOOKUP(F746,표준용어사전!$B:$D,3,FALSE)</f>
        <v>학명V256</v>
      </c>
      <c r="J746" s="28" t="s">
        <v>78</v>
      </c>
      <c r="K746" s="27">
        <v>256</v>
      </c>
      <c r="L746" s="29" t="s">
        <v>571</v>
      </c>
      <c r="M746" s="29" t="s">
        <v>730</v>
      </c>
      <c r="N746" s="29" t="s">
        <v>75</v>
      </c>
      <c r="O746" s="28"/>
      <c r="P746" s="28"/>
      <c r="Q746" s="28" t="s">
        <v>76</v>
      </c>
      <c r="R746" s="29"/>
      <c r="S746" s="28"/>
      <c r="T746" s="28" t="s">
        <v>76</v>
      </c>
      <c r="U746" s="28" t="s">
        <v>75</v>
      </c>
      <c r="V746" s="28" t="s">
        <v>75</v>
      </c>
      <c r="W746" s="28"/>
    </row>
    <row r="747" spans="1:23" s="12" customFormat="1" hidden="1">
      <c r="A747" s="46" t="s">
        <v>572</v>
      </c>
      <c r="B747" s="28" t="s">
        <v>1335</v>
      </c>
      <c r="C747" s="28" t="s">
        <v>88</v>
      </c>
      <c r="D747" s="28" t="s">
        <v>692</v>
      </c>
      <c r="E747" s="28" t="s">
        <v>116</v>
      </c>
      <c r="F747" s="28" t="s">
        <v>51</v>
      </c>
      <c r="G747" s="28" t="s">
        <v>51</v>
      </c>
      <c r="H747" s="28" t="s">
        <v>100</v>
      </c>
      <c r="I747" s="28" t="str">
        <f>VLOOKUP(F747,표준용어사전!$B:$D,3,FALSE)</f>
        <v>국명V256</v>
      </c>
      <c r="J747" s="28" t="s">
        <v>78</v>
      </c>
      <c r="K747" s="27">
        <v>256</v>
      </c>
      <c r="L747" s="29" t="s">
        <v>571</v>
      </c>
      <c r="M747" s="29" t="s">
        <v>730</v>
      </c>
      <c r="N747" s="29" t="s">
        <v>75</v>
      </c>
      <c r="O747" s="28"/>
      <c r="P747" s="28"/>
      <c r="Q747" s="28" t="s">
        <v>76</v>
      </c>
      <c r="R747" s="29"/>
      <c r="S747" s="28"/>
      <c r="T747" s="28" t="s">
        <v>76</v>
      </c>
      <c r="U747" s="28" t="s">
        <v>75</v>
      </c>
      <c r="V747" s="28" t="s">
        <v>75</v>
      </c>
      <c r="W747" s="28"/>
    </row>
    <row r="748" spans="1:23" s="12" customFormat="1" hidden="1">
      <c r="A748" s="46" t="s">
        <v>572</v>
      </c>
      <c r="B748" s="28" t="s">
        <v>1335</v>
      </c>
      <c r="C748" s="28" t="s">
        <v>88</v>
      </c>
      <c r="D748" s="28" t="s">
        <v>692</v>
      </c>
      <c r="E748" s="28" t="s">
        <v>117</v>
      </c>
      <c r="F748" s="28" t="s">
        <v>388</v>
      </c>
      <c r="G748" s="28" t="s">
        <v>388</v>
      </c>
      <c r="H748" s="28" t="s">
        <v>100</v>
      </c>
      <c r="I748" s="28" t="str">
        <f>VLOOKUP(F748,표준용어사전!$B:$D,3,FALSE)</f>
        <v>명V50</v>
      </c>
      <c r="J748" s="28" t="s">
        <v>78</v>
      </c>
      <c r="K748" s="27">
        <v>50</v>
      </c>
      <c r="L748" s="29" t="s">
        <v>571</v>
      </c>
      <c r="M748" s="29" t="s">
        <v>720</v>
      </c>
      <c r="N748" s="29" t="s">
        <v>75</v>
      </c>
      <c r="O748" s="28"/>
      <c r="P748" s="28"/>
      <c r="Q748" s="28" t="s">
        <v>76</v>
      </c>
      <c r="R748" s="29"/>
      <c r="S748" s="28"/>
      <c r="T748" s="28" t="s">
        <v>76</v>
      </c>
      <c r="U748" s="28" t="s">
        <v>75</v>
      </c>
      <c r="V748" s="28" t="s">
        <v>75</v>
      </c>
      <c r="W748" s="28"/>
    </row>
    <row r="749" spans="1:23" s="12" customFormat="1" hidden="1">
      <c r="A749" s="46" t="s">
        <v>572</v>
      </c>
      <c r="B749" s="28" t="s">
        <v>1335</v>
      </c>
      <c r="C749" s="28" t="s">
        <v>88</v>
      </c>
      <c r="D749" s="28" t="s">
        <v>692</v>
      </c>
      <c r="E749" s="28" t="s">
        <v>118</v>
      </c>
      <c r="F749" s="28" t="s">
        <v>54</v>
      </c>
      <c r="G749" s="28" t="s">
        <v>54</v>
      </c>
      <c r="H749" s="28" t="s">
        <v>100</v>
      </c>
      <c r="I749" s="28" t="str">
        <f>VLOOKUP(F749,표준용어사전!$B:$D,3,FALSE)</f>
        <v>학명V256</v>
      </c>
      <c r="J749" s="28" t="s">
        <v>78</v>
      </c>
      <c r="K749" s="27">
        <v>256</v>
      </c>
      <c r="L749" s="29" t="s">
        <v>571</v>
      </c>
      <c r="M749" s="29" t="s">
        <v>730</v>
      </c>
      <c r="N749" s="29" t="s">
        <v>75</v>
      </c>
      <c r="O749" s="28"/>
      <c r="P749" s="28"/>
      <c r="Q749" s="28" t="s">
        <v>76</v>
      </c>
      <c r="R749" s="29"/>
      <c r="S749" s="28"/>
      <c r="T749" s="28" t="s">
        <v>76</v>
      </c>
      <c r="U749" s="28" t="s">
        <v>75</v>
      </c>
      <c r="V749" s="28" t="s">
        <v>75</v>
      </c>
      <c r="W749" s="28"/>
    </row>
    <row r="750" spans="1:23" s="12" customFormat="1" hidden="1">
      <c r="A750" s="46" t="s">
        <v>572</v>
      </c>
      <c r="B750" s="28" t="s">
        <v>1335</v>
      </c>
      <c r="C750" s="28" t="s">
        <v>88</v>
      </c>
      <c r="D750" s="28" t="s">
        <v>692</v>
      </c>
      <c r="E750" s="28" t="s">
        <v>119</v>
      </c>
      <c r="F750" s="28" t="s">
        <v>53</v>
      </c>
      <c r="G750" s="28" t="s">
        <v>53</v>
      </c>
      <c r="H750" s="28" t="s">
        <v>100</v>
      </c>
      <c r="I750" s="28" t="str">
        <f>VLOOKUP(F750,표준용어사전!$B:$D,3,FALSE)</f>
        <v>국명V256</v>
      </c>
      <c r="J750" s="28" t="s">
        <v>78</v>
      </c>
      <c r="K750" s="27">
        <v>256</v>
      </c>
      <c r="L750" s="29" t="s">
        <v>571</v>
      </c>
      <c r="M750" s="29" t="s">
        <v>730</v>
      </c>
      <c r="N750" s="29" t="s">
        <v>75</v>
      </c>
      <c r="O750" s="28"/>
      <c r="P750" s="28"/>
      <c r="Q750" s="28" t="s">
        <v>76</v>
      </c>
      <c r="R750" s="29"/>
      <c r="S750" s="28"/>
      <c r="T750" s="28" t="s">
        <v>76</v>
      </c>
      <c r="U750" s="28" t="s">
        <v>75</v>
      </c>
      <c r="V750" s="28" t="s">
        <v>75</v>
      </c>
      <c r="W750" s="28"/>
    </row>
    <row r="751" spans="1:23" s="12" customFormat="1" hidden="1">
      <c r="A751" s="46" t="s">
        <v>572</v>
      </c>
      <c r="B751" s="28" t="s">
        <v>1335</v>
      </c>
      <c r="C751" s="28" t="s">
        <v>88</v>
      </c>
      <c r="D751" s="28" t="s">
        <v>692</v>
      </c>
      <c r="E751" s="28" t="s">
        <v>120</v>
      </c>
      <c r="F751" s="28" t="s">
        <v>389</v>
      </c>
      <c r="G751" s="28" t="s">
        <v>389</v>
      </c>
      <c r="H751" s="28" t="s">
        <v>100</v>
      </c>
      <c r="I751" s="28" t="str">
        <f>VLOOKUP(F751,표준용어사전!$B:$D,3,FALSE)</f>
        <v>명V50</v>
      </c>
      <c r="J751" s="28" t="s">
        <v>78</v>
      </c>
      <c r="K751" s="27">
        <v>50</v>
      </c>
      <c r="L751" s="29" t="s">
        <v>571</v>
      </c>
      <c r="M751" s="29" t="s">
        <v>720</v>
      </c>
      <c r="N751" s="29" t="s">
        <v>75</v>
      </c>
      <c r="O751" s="28"/>
      <c r="P751" s="28"/>
      <c r="Q751" s="28" t="s">
        <v>76</v>
      </c>
      <c r="R751" s="29"/>
      <c r="S751" s="28"/>
      <c r="T751" s="28" t="s">
        <v>76</v>
      </c>
      <c r="U751" s="28" t="s">
        <v>75</v>
      </c>
      <c r="V751" s="28" t="s">
        <v>75</v>
      </c>
      <c r="W751" s="28"/>
    </row>
    <row r="752" spans="1:23" s="12" customFormat="1" hidden="1">
      <c r="A752" s="46" t="s">
        <v>572</v>
      </c>
      <c r="B752" s="28" t="s">
        <v>1335</v>
      </c>
      <c r="C752" s="28" t="s">
        <v>88</v>
      </c>
      <c r="D752" s="28" t="s">
        <v>692</v>
      </c>
      <c r="E752" s="28" t="s">
        <v>57</v>
      </c>
      <c r="F752" s="28" t="s">
        <v>58</v>
      </c>
      <c r="G752" s="28" t="s">
        <v>58</v>
      </c>
      <c r="H752" s="28" t="s">
        <v>100</v>
      </c>
      <c r="I752" s="28" t="str">
        <f>VLOOKUP(F752,표준용어사전!$B:$D,3,FALSE)</f>
        <v>학명V256</v>
      </c>
      <c r="J752" s="28" t="s">
        <v>78</v>
      </c>
      <c r="K752" s="27">
        <v>256</v>
      </c>
      <c r="L752" s="29" t="s">
        <v>571</v>
      </c>
      <c r="M752" s="29" t="s">
        <v>730</v>
      </c>
      <c r="N752" s="29" t="s">
        <v>75</v>
      </c>
      <c r="O752" s="28"/>
      <c r="P752" s="28"/>
      <c r="Q752" s="28" t="s">
        <v>76</v>
      </c>
      <c r="R752" s="29"/>
      <c r="S752" s="28"/>
      <c r="T752" s="28" t="s">
        <v>76</v>
      </c>
      <c r="U752" s="28" t="s">
        <v>75</v>
      </c>
      <c r="V752" s="28" t="s">
        <v>75</v>
      </c>
      <c r="W752" s="28"/>
    </row>
    <row r="753" spans="1:23" s="12" customFormat="1" hidden="1">
      <c r="A753" s="46" t="s">
        <v>572</v>
      </c>
      <c r="B753" s="28" t="s">
        <v>1335</v>
      </c>
      <c r="C753" s="28" t="s">
        <v>88</v>
      </c>
      <c r="D753" s="28" t="s">
        <v>692</v>
      </c>
      <c r="E753" s="28" t="s">
        <v>55</v>
      </c>
      <c r="F753" s="28" t="s">
        <v>56</v>
      </c>
      <c r="G753" s="28" t="s">
        <v>56</v>
      </c>
      <c r="H753" s="28" t="s">
        <v>100</v>
      </c>
      <c r="I753" s="28" t="str">
        <f>VLOOKUP(F753,표준용어사전!$B:$D,3,FALSE)</f>
        <v>국명V256</v>
      </c>
      <c r="J753" s="28" t="s">
        <v>78</v>
      </c>
      <c r="K753" s="27">
        <v>256</v>
      </c>
      <c r="L753" s="29" t="s">
        <v>571</v>
      </c>
      <c r="M753" s="29" t="s">
        <v>730</v>
      </c>
      <c r="N753" s="29" t="s">
        <v>75</v>
      </c>
      <c r="O753" s="28"/>
      <c r="P753" s="28"/>
      <c r="Q753" s="28" t="s">
        <v>76</v>
      </c>
      <c r="R753" s="29"/>
      <c r="S753" s="28"/>
      <c r="T753" s="28" t="s">
        <v>76</v>
      </c>
      <c r="U753" s="28" t="s">
        <v>75</v>
      </c>
      <c r="V753" s="28" t="s">
        <v>75</v>
      </c>
      <c r="W753" s="28"/>
    </row>
    <row r="754" spans="1:23" s="12" customFormat="1" hidden="1">
      <c r="A754" s="46" t="s">
        <v>572</v>
      </c>
      <c r="B754" s="28" t="s">
        <v>1335</v>
      </c>
      <c r="C754" s="28" t="s">
        <v>88</v>
      </c>
      <c r="D754" s="28" t="s">
        <v>692</v>
      </c>
      <c r="E754" s="28" t="s">
        <v>121</v>
      </c>
      <c r="F754" s="28" t="s">
        <v>390</v>
      </c>
      <c r="G754" s="28" t="s">
        <v>390</v>
      </c>
      <c r="H754" s="28" t="s">
        <v>100</v>
      </c>
      <c r="I754" s="28" t="str">
        <f>VLOOKUP(F754,표준용어사전!$B:$D,3,FALSE)</f>
        <v>명V50</v>
      </c>
      <c r="J754" s="28" t="s">
        <v>78</v>
      </c>
      <c r="K754" s="27">
        <v>50</v>
      </c>
      <c r="L754" s="29" t="s">
        <v>571</v>
      </c>
      <c r="M754" s="29" t="s">
        <v>720</v>
      </c>
      <c r="N754" s="29" t="s">
        <v>75</v>
      </c>
      <c r="O754" s="28"/>
      <c r="P754" s="28"/>
      <c r="Q754" s="28" t="s">
        <v>76</v>
      </c>
      <c r="R754" s="29"/>
      <c r="S754" s="28"/>
      <c r="T754" s="28" t="s">
        <v>76</v>
      </c>
      <c r="U754" s="28" t="s">
        <v>75</v>
      </c>
      <c r="V754" s="28" t="s">
        <v>75</v>
      </c>
      <c r="W754" s="28"/>
    </row>
    <row r="755" spans="1:23" s="12" customFormat="1" hidden="1">
      <c r="A755" s="46" t="s">
        <v>572</v>
      </c>
      <c r="B755" s="28" t="s">
        <v>1335</v>
      </c>
      <c r="C755" s="28" t="s">
        <v>88</v>
      </c>
      <c r="D755" s="28" t="s">
        <v>692</v>
      </c>
      <c r="E755" s="28" t="s">
        <v>61</v>
      </c>
      <c r="F755" s="28" t="s">
        <v>62</v>
      </c>
      <c r="G755" s="28" t="s">
        <v>62</v>
      </c>
      <c r="H755" s="28" t="s">
        <v>100</v>
      </c>
      <c r="I755" s="28" t="str">
        <f>VLOOKUP(F755,표준용어사전!$B:$D,3,FALSE)</f>
        <v>학명V256</v>
      </c>
      <c r="J755" s="28" t="s">
        <v>78</v>
      </c>
      <c r="K755" s="27">
        <v>256</v>
      </c>
      <c r="L755" s="29" t="s">
        <v>571</v>
      </c>
      <c r="M755" s="29" t="s">
        <v>730</v>
      </c>
      <c r="N755" s="29" t="s">
        <v>75</v>
      </c>
      <c r="O755" s="28"/>
      <c r="P755" s="28"/>
      <c r="Q755" s="28" t="s">
        <v>76</v>
      </c>
      <c r="R755" s="29"/>
      <c r="S755" s="28"/>
      <c r="T755" s="28" t="s">
        <v>76</v>
      </c>
      <c r="U755" s="28" t="s">
        <v>75</v>
      </c>
      <c r="V755" s="28" t="s">
        <v>75</v>
      </c>
      <c r="W755" s="28"/>
    </row>
    <row r="756" spans="1:23" s="12" customFormat="1" hidden="1">
      <c r="A756" s="46" t="s">
        <v>572</v>
      </c>
      <c r="B756" s="28" t="s">
        <v>1335</v>
      </c>
      <c r="C756" s="28" t="s">
        <v>88</v>
      </c>
      <c r="D756" s="28" t="s">
        <v>692</v>
      </c>
      <c r="E756" s="28" t="s">
        <v>59</v>
      </c>
      <c r="F756" s="28" t="s">
        <v>60</v>
      </c>
      <c r="G756" s="28" t="s">
        <v>60</v>
      </c>
      <c r="H756" s="28" t="s">
        <v>100</v>
      </c>
      <c r="I756" s="28" t="str">
        <f>VLOOKUP(F756,표준용어사전!$B:$D,3,FALSE)</f>
        <v>국명V256</v>
      </c>
      <c r="J756" s="28" t="s">
        <v>78</v>
      </c>
      <c r="K756" s="27">
        <v>256</v>
      </c>
      <c r="L756" s="29" t="s">
        <v>571</v>
      </c>
      <c r="M756" s="29" t="s">
        <v>730</v>
      </c>
      <c r="N756" s="29" t="s">
        <v>75</v>
      </c>
      <c r="O756" s="28"/>
      <c r="P756" s="28"/>
      <c r="Q756" s="28" t="s">
        <v>76</v>
      </c>
      <c r="R756" s="29"/>
      <c r="S756" s="28"/>
      <c r="T756" s="28" t="s">
        <v>76</v>
      </c>
      <c r="U756" s="28" t="s">
        <v>75</v>
      </c>
      <c r="V756" s="28" t="s">
        <v>75</v>
      </c>
      <c r="W756" s="28"/>
    </row>
    <row r="757" spans="1:23" s="12" customFormat="1" hidden="1">
      <c r="A757" s="46" t="s">
        <v>572</v>
      </c>
      <c r="B757" s="28" t="s">
        <v>1335</v>
      </c>
      <c r="C757" s="28" t="s">
        <v>88</v>
      </c>
      <c r="D757" s="28" t="s">
        <v>692</v>
      </c>
      <c r="E757" s="28" t="s">
        <v>122</v>
      </c>
      <c r="F757" s="28" t="s">
        <v>391</v>
      </c>
      <c r="G757" s="28" t="s">
        <v>391</v>
      </c>
      <c r="H757" s="28" t="s">
        <v>100</v>
      </c>
      <c r="I757" s="28" t="str">
        <f>VLOOKUP(F757,표준용어사전!$B:$D,3,FALSE)</f>
        <v>내용TXT</v>
      </c>
      <c r="J757" s="28" t="s">
        <v>713</v>
      </c>
      <c r="K757" s="27" t="s">
        <v>571</v>
      </c>
      <c r="L757" s="29" t="s">
        <v>571</v>
      </c>
      <c r="M757" s="29"/>
      <c r="N757" s="29" t="s">
        <v>75</v>
      </c>
      <c r="O757" s="28"/>
      <c r="P757" s="28"/>
      <c r="Q757" s="28" t="s">
        <v>1406</v>
      </c>
      <c r="R757" s="29">
        <v>2</v>
      </c>
      <c r="S757" s="28"/>
      <c r="T757" s="28"/>
      <c r="U757" s="28" t="s">
        <v>75</v>
      </c>
      <c r="V757" s="28" t="s">
        <v>75</v>
      </c>
      <c r="W757" s="28"/>
    </row>
    <row r="758" spans="1:23" s="12" customFormat="1" hidden="1">
      <c r="A758" s="46" t="s">
        <v>572</v>
      </c>
      <c r="B758" s="28" t="s">
        <v>1335</v>
      </c>
      <c r="C758" s="28" t="s">
        <v>88</v>
      </c>
      <c r="D758" s="28" t="s">
        <v>692</v>
      </c>
      <c r="E758" s="28" t="s">
        <v>892</v>
      </c>
      <c r="F758" s="28" t="s">
        <v>818</v>
      </c>
      <c r="G758" s="28" t="s">
        <v>818</v>
      </c>
      <c r="H758" s="28" t="s">
        <v>100</v>
      </c>
      <c r="I758" s="28" t="str">
        <f>VLOOKUP(F758,표준용어사전!$B:$D,3,FALSE)</f>
        <v>여부C1</v>
      </c>
      <c r="J758" s="28" t="s">
        <v>709</v>
      </c>
      <c r="K758" s="27">
        <v>1</v>
      </c>
      <c r="L758" s="29" t="s">
        <v>571</v>
      </c>
      <c r="M758" s="29" t="s">
        <v>722</v>
      </c>
      <c r="N758" s="29" t="s">
        <v>75</v>
      </c>
      <c r="O758" s="28"/>
      <c r="P758" s="28"/>
      <c r="Q758" s="28" t="s">
        <v>76</v>
      </c>
      <c r="R758" s="29"/>
      <c r="S758" s="28"/>
      <c r="T758" s="28" t="s">
        <v>576</v>
      </c>
      <c r="U758" s="28" t="s">
        <v>75</v>
      </c>
      <c r="V758" s="28" t="s">
        <v>75</v>
      </c>
      <c r="W758" s="28"/>
    </row>
    <row r="759" spans="1:23" s="12" customFormat="1" hidden="1">
      <c r="A759" s="46" t="s">
        <v>572</v>
      </c>
      <c r="B759" s="28" t="s">
        <v>1335</v>
      </c>
      <c r="C759" s="28" t="s">
        <v>88</v>
      </c>
      <c r="D759" s="28" t="s">
        <v>692</v>
      </c>
      <c r="E759" s="28" t="s">
        <v>90</v>
      </c>
      <c r="F759" s="28" t="s">
        <v>14</v>
      </c>
      <c r="G759" s="28" t="s">
        <v>14</v>
      </c>
      <c r="H759" s="28" t="s">
        <v>100</v>
      </c>
      <c r="I759" s="28" t="str">
        <f>VLOOKUP(F759,표준용어사전!$B:$D,3,FALSE)</f>
        <v>연월일시분초TS</v>
      </c>
      <c r="J759" s="28" t="s">
        <v>16</v>
      </c>
      <c r="K759" s="27" t="s">
        <v>571</v>
      </c>
      <c r="L759" s="29" t="s">
        <v>571</v>
      </c>
      <c r="M759" s="29" t="s">
        <v>726</v>
      </c>
      <c r="N759" s="29" t="s">
        <v>711</v>
      </c>
      <c r="O759" s="28"/>
      <c r="P759" s="28"/>
      <c r="Q759" s="28" t="s">
        <v>76</v>
      </c>
      <c r="R759" s="29"/>
      <c r="S759" s="28"/>
      <c r="T759" s="28" t="s">
        <v>574</v>
      </c>
      <c r="U759" s="28" t="s">
        <v>75</v>
      </c>
      <c r="V759" s="28" t="s">
        <v>75</v>
      </c>
      <c r="W759" s="28"/>
    </row>
    <row r="760" spans="1:23" s="12" customFormat="1" hidden="1">
      <c r="A760" s="46" t="s">
        <v>572</v>
      </c>
      <c r="B760" s="28" t="s">
        <v>1335</v>
      </c>
      <c r="C760" s="28" t="s">
        <v>88</v>
      </c>
      <c r="D760" s="28" t="s">
        <v>692</v>
      </c>
      <c r="E760" s="28" t="s">
        <v>91</v>
      </c>
      <c r="F760" s="28" t="s">
        <v>369</v>
      </c>
      <c r="G760" s="28" t="s">
        <v>369</v>
      </c>
      <c r="H760" s="28" t="s">
        <v>100</v>
      </c>
      <c r="I760" s="28" t="str">
        <f>VLOOKUP(F760,표준용어사전!$B:$D,3,FALSE)</f>
        <v>명V20</v>
      </c>
      <c r="J760" s="28" t="s">
        <v>78</v>
      </c>
      <c r="K760" s="27">
        <v>20</v>
      </c>
      <c r="L760" s="29" t="s">
        <v>571</v>
      </c>
      <c r="M760" s="29" t="s">
        <v>727</v>
      </c>
      <c r="N760" s="29" t="s">
        <v>75</v>
      </c>
      <c r="O760" s="28"/>
      <c r="P760" s="28"/>
      <c r="Q760" s="28" t="s">
        <v>76</v>
      </c>
      <c r="R760" s="29"/>
      <c r="S760" s="28"/>
      <c r="T760" s="28" t="s">
        <v>571</v>
      </c>
      <c r="U760" s="28" t="s">
        <v>75</v>
      </c>
      <c r="V760" s="28" t="s">
        <v>75</v>
      </c>
      <c r="W760" s="28"/>
    </row>
    <row r="761" spans="1:23" s="12" customFormat="1" hidden="1">
      <c r="A761" s="46" t="s">
        <v>572</v>
      </c>
      <c r="B761" s="28" t="s">
        <v>1335</v>
      </c>
      <c r="C761" s="28" t="s">
        <v>88</v>
      </c>
      <c r="D761" s="28" t="s">
        <v>692</v>
      </c>
      <c r="E761" s="28" t="s">
        <v>92</v>
      </c>
      <c r="F761" s="28" t="s">
        <v>15</v>
      </c>
      <c r="G761" s="28" t="s">
        <v>15</v>
      </c>
      <c r="H761" s="28" t="s">
        <v>100</v>
      </c>
      <c r="I761" s="28" t="str">
        <f>VLOOKUP(F761,표준용어사전!$B:$D,3,FALSE)</f>
        <v>연월일시분초TS</v>
      </c>
      <c r="J761" s="28" t="s">
        <v>16</v>
      </c>
      <c r="K761" s="27" t="s">
        <v>571</v>
      </c>
      <c r="L761" s="29" t="s">
        <v>571</v>
      </c>
      <c r="M761" s="29" t="s">
        <v>726</v>
      </c>
      <c r="N761" s="29" t="s">
        <v>75</v>
      </c>
      <c r="O761" s="28"/>
      <c r="P761" s="28"/>
      <c r="Q761" s="28" t="s">
        <v>76</v>
      </c>
      <c r="R761" s="29"/>
      <c r="S761" s="28"/>
      <c r="T761" s="28" t="s">
        <v>574</v>
      </c>
      <c r="U761" s="28" t="s">
        <v>75</v>
      </c>
      <c r="V761" s="28" t="s">
        <v>75</v>
      </c>
      <c r="W761" s="28"/>
    </row>
    <row r="762" spans="1:23" s="12" customFormat="1" hidden="1">
      <c r="A762" s="46" t="s">
        <v>572</v>
      </c>
      <c r="B762" s="28" t="s">
        <v>1335</v>
      </c>
      <c r="C762" s="28" t="s">
        <v>88</v>
      </c>
      <c r="D762" s="28" t="s">
        <v>692</v>
      </c>
      <c r="E762" s="28" t="s">
        <v>93</v>
      </c>
      <c r="F762" s="28" t="s">
        <v>370</v>
      </c>
      <c r="G762" s="28" t="s">
        <v>370</v>
      </c>
      <c r="H762" s="28" t="s">
        <v>100</v>
      </c>
      <c r="I762" s="28" t="str">
        <f>VLOOKUP(F762,표준용어사전!$B:$D,3,FALSE)</f>
        <v>명V20</v>
      </c>
      <c r="J762" s="28" t="s">
        <v>78</v>
      </c>
      <c r="K762" s="27">
        <v>20</v>
      </c>
      <c r="L762" s="29" t="s">
        <v>571</v>
      </c>
      <c r="M762" s="29" t="s">
        <v>727</v>
      </c>
      <c r="N762" s="29" t="s">
        <v>75</v>
      </c>
      <c r="O762" s="28"/>
      <c r="P762" s="28"/>
      <c r="Q762" s="28" t="s">
        <v>76</v>
      </c>
      <c r="R762" s="29"/>
      <c r="S762" s="28"/>
      <c r="T762" s="28" t="s">
        <v>571</v>
      </c>
      <c r="U762" s="28" t="s">
        <v>75</v>
      </c>
      <c r="V762" s="28" t="s">
        <v>75</v>
      </c>
      <c r="W762" s="28"/>
    </row>
    <row r="763" spans="1:23" s="12" customFormat="1" hidden="1">
      <c r="A763" s="46" t="s">
        <v>572</v>
      </c>
      <c r="B763" s="28" t="s">
        <v>1333</v>
      </c>
      <c r="C763" s="28" t="s">
        <v>88</v>
      </c>
      <c r="D763" s="28" t="s">
        <v>736</v>
      </c>
      <c r="E763" s="28" t="s">
        <v>893</v>
      </c>
      <c r="F763" s="28" t="s">
        <v>819</v>
      </c>
      <c r="G763" s="28" t="s">
        <v>819</v>
      </c>
      <c r="H763" s="28" t="s">
        <v>820</v>
      </c>
      <c r="I763" s="28" t="str">
        <f>VLOOKUP(F763,표준용어사전!$B:$D,3,FALSE)</f>
        <v>코드V50</v>
      </c>
      <c r="J763" s="28" t="s">
        <v>709</v>
      </c>
      <c r="K763" s="27">
        <v>50</v>
      </c>
      <c r="L763" s="29" t="s">
        <v>571</v>
      </c>
      <c r="M763" s="29" t="s">
        <v>725</v>
      </c>
      <c r="N763" s="29" t="s">
        <v>711</v>
      </c>
      <c r="O763" s="28" t="s">
        <v>641</v>
      </c>
      <c r="P763" s="28"/>
      <c r="Q763" s="28" t="s">
        <v>76</v>
      </c>
      <c r="R763" s="29"/>
      <c r="S763" s="28"/>
      <c r="T763" s="28"/>
      <c r="U763" s="28" t="s">
        <v>75</v>
      </c>
      <c r="V763" s="28" t="s">
        <v>75</v>
      </c>
      <c r="W763" s="28"/>
    </row>
    <row r="764" spans="1:23" s="12" customFormat="1" hidden="1">
      <c r="A764" s="46" t="s">
        <v>572</v>
      </c>
      <c r="B764" s="28" t="s">
        <v>1333</v>
      </c>
      <c r="C764" s="28" t="s">
        <v>88</v>
      </c>
      <c r="D764" s="28" t="s">
        <v>736</v>
      </c>
      <c r="E764" s="28" t="s">
        <v>290</v>
      </c>
      <c r="F764" s="28" t="s">
        <v>514</v>
      </c>
      <c r="G764" s="28" t="s">
        <v>514</v>
      </c>
      <c r="H764" s="28" t="s">
        <v>820</v>
      </c>
      <c r="I764" s="28" t="str">
        <f>VLOOKUP(F764,표준용어사전!$B:$D,3,FALSE)</f>
        <v>코드V50</v>
      </c>
      <c r="J764" s="28" t="s">
        <v>709</v>
      </c>
      <c r="K764" s="27">
        <v>50</v>
      </c>
      <c r="L764" s="29" t="s">
        <v>571</v>
      </c>
      <c r="M764" s="29" t="s">
        <v>725</v>
      </c>
      <c r="N764" s="29" t="s">
        <v>711</v>
      </c>
      <c r="O764" s="28" t="s">
        <v>573</v>
      </c>
      <c r="P764" s="28"/>
      <c r="Q764" s="28" t="s">
        <v>76</v>
      </c>
      <c r="R764" s="29"/>
      <c r="S764" s="28"/>
      <c r="T764" s="28"/>
      <c r="U764" s="28" t="s">
        <v>75</v>
      </c>
      <c r="V764" s="28" t="s">
        <v>75</v>
      </c>
      <c r="W764" s="28"/>
    </row>
    <row r="765" spans="1:23" s="12" customFormat="1" hidden="1">
      <c r="A765" s="46" t="s">
        <v>572</v>
      </c>
      <c r="B765" s="28" t="s">
        <v>1333</v>
      </c>
      <c r="C765" s="28" t="s">
        <v>88</v>
      </c>
      <c r="D765" s="28" t="s">
        <v>736</v>
      </c>
      <c r="E765" s="28" t="s">
        <v>894</v>
      </c>
      <c r="F765" s="28" t="s">
        <v>1420</v>
      </c>
      <c r="G765" s="28" t="s">
        <v>1420</v>
      </c>
      <c r="H765" s="28" t="s">
        <v>820</v>
      </c>
      <c r="I765" s="28" t="str">
        <f>VLOOKUP(F765,표준용어사전!$B:$D,3,FALSE)</f>
        <v>내용V1000</v>
      </c>
      <c r="J765" s="28" t="s">
        <v>718</v>
      </c>
      <c r="K765" s="27">
        <v>500</v>
      </c>
      <c r="L765" s="29" t="s">
        <v>571</v>
      </c>
      <c r="M765" s="29" t="s">
        <v>821</v>
      </c>
      <c r="N765" s="29" t="s">
        <v>572</v>
      </c>
      <c r="O765" s="28"/>
      <c r="P765" s="28"/>
      <c r="Q765" s="28" t="s">
        <v>76</v>
      </c>
      <c r="R765" s="29"/>
      <c r="S765" s="28"/>
      <c r="T765" s="28"/>
      <c r="U765" s="28" t="s">
        <v>75</v>
      </c>
      <c r="V765" s="28" t="s">
        <v>75</v>
      </c>
      <c r="W765" s="28"/>
    </row>
    <row r="766" spans="1:23" s="12" customFormat="1" hidden="1">
      <c r="A766" s="46" t="s">
        <v>572</v>
      </c>
      <c r="B766" s="28" t="s">
        <v>1333</v>
      </c>
      <c r="C766" s="28" t="s">
        <v>88</v>
      </c>
      <c r="D766" s="40" t="s">
        <v>920</v>
      </c>
      <c r="E766" s="40" t="s">
        <v>921</v>
      </c>
      <c r="F766" s="28" t="s">
        <v>1417</v>
      </c>
      <c r="G766" s="28" t="s">
        <v>924</v>
      </c>
      <c r="H766" s="28" t="s">
        <v>1408</v>
      </c>
      <c r="I766" s="28" t="str">
        <f>VLOOKUP(F766,표준용어사전!$B:$D,3,FALSE)</f>
        <v>명V256</v>
      </c>
      <c r="J766" s="28" t="s">
        <v>718</v>
      </c>
      <c r="K766" s="27">
        <v>254</v>
      </c>
      <c r="L766" s="29" t="s">
        <v>927</v>
      </c>
      <c r="M766" s="29" t="s">
        <v>928</v>
      </c>
      <c r="N766" s="29" t="s">
        <v>711</v>
      </c>
      <c r="O766" s="28" t="s">
        <v>641</v>
      </c>
      <c r="P766" s="28"/>
      <c r="Q766" s="28" t="s">
        <v>76</v>
      </c>
      <c r="R766" s="29"/>
      <c r="S766" s="28"/>
      <c r="T766" s="28"/>
      <c r="U766" s="28" t="s">
        <v>75</v>
      </c>
      <c r="V766" s="28" t="s">
        <v>75</v>
      </c>
      <c r="W766" s="28"/>
    </row>
    <row r="767" spans="1:23" s="12" customFormat="1" hidden="1">
      <c r="A767" s="46" t="s">
        <v>572</v>
      </c>
      <c r="B767" s="28" t="s">
        <v>1333</v>
      </c>
      <c r="C767" s="28" t="s">
        <v>88</v>
      </c>
      <c r="D767" s="40" t="s">
        <v>920</v>
      </c>
      <c r="E767" s="40" t="s">
        <v>922</v>
      </c>
      <c r="F767" s="28" t="s">
        <v>925</v>
      </c>
      <c r="G767" s="28" t="s">
        <v>925</v>
      </c>
      <c r="H767" s="28" t="s">
        <v>1408</v>
      </c>
      <c r="I767" s="28" t="e">
        <f>VLOOKUP(F767,표준용어사전!$B:$D,3,FALSE)</f>
        <v>#N/A</v>
      </c>
      <c r="J767" s="28" t="s">
        <v>709</v>
      </c>
      <c r="K767" s="27">
        <v>4</v>
      </c>
      <c r="L767" s="29" t="s">
        <v>927</v>
      </c>
      <c r="M767" s="29" t="s">
        <v>929</v>
      </c>
      <c r="N767" s="29" t="s">
        <v>711</v>
      </c>
      <c r="O767" s="28" t="s">
        <v>573</v>
      </c>
      <c r="P767" s="28"/>
      <c r="Q767" s="28" t="s">
        <v>76</v>
      </c>
      <c r="R767" s="29"/>
      <c r="S767" s="28"/>
      <c r="T767" s="28"/>
      <c r="U767" s="28" t="s">
        <v>75</v>
      </c>
      <c r="V767" s="28" t="s">
        <v>75</v>
      </c>
      <c r="W767" s="28"/>
    </row>
    <row r="768" spans="1:23" s="12" customFormat="1" hidden="1">
      <c r="A768" s="46" t="s">
        <v>572</v>
      </c>
      <c r="B768" s="28" t="s">
        <v>1333</v>
      </c>
      <c r="C768" s="28" t="s">
        <v>88</v>
      </c>
      <c r="D768" s="40" t="s">
        <v>920</v>
      </c>
      <c r="E768" s="40" t="s">
        <v>923</v>
      </c>
      <c r="F768" s="28" t="s">
        <v>926</v>
      </c>
      <c r="G768" s="28" t="s">
        <v>926</v>
      </c>
      <c r="H768" s="28" t="s">
        <v>1408</v>
      </c>
      <c r="I768" s="28" t="str">
        <f>VLOOKUP(F768,표준용어사전!$B:$D,3,FALSE)</f>
        <v>여부C1</v>
      </c>
      <c r="J768" s="28" t="s">
        <v>709</v>
      </c>
      <c r="K768" s="27">
        <v>1</v>
      </c>
      <c r="L768" s="29" t="s">
        <v>927</v>
      </c>
      <c r="M768" s="29" t="s">
        <v>727</v>
      </c>
      <c r="N768" s="29" t="s">
        <v>711</v>
      </c>
      <c r="O768" s="28"/>
      <c r="P768" s="28"/>
      <c r="Q768" s="28" t="s">
        <v>76</v>
      </c>
      <c r="R768" s="29"/>
      <c r="S768" s="28"/>
      <c r="T768" s="28" t="s">
        <v>576</v>
      </c>
      <c r="U768" s="28" t="s">
        <v>75</v>
      </c>
      <c r="V768" s="28" t="s">
        <v>75</v>
      </c>
      <c r="W768" s="28"/>
    </row>
    <row r="769" spans="1:23" s="12" customFormat="1" hidden="1">
      <c r="A769" s="46" t="s">
        <v>572</v>
      </c>
      <c r="B769" s="28" t="s">
        <v>1333</v>
      </c>
      <c r="C769" s="28" t="s">
        <v>88</v>
      </c>
      <c r="D769" s="40" t="s">
        <v>920</v>
      </c>
      <c r="E769" s="40" t="s">
        <v>90</v>
      </c>
      <c r="F769" s="28" t="s">
        <v>14</v>
      </c>
      <c r="G769" s="28" t="s">
        <v>14</v>
      </c>
      <c r="H769" s="28" t="s">
        <v>1408</v>
      </c>
      <c r="I769" s="28" t="str">
        <f>VLOOKUP(F769,표준용어사전!$B:$D,3,FALSE)</f>
        <v>연월일시분초TS</v>
      </c>
      <c r="J769" s="28" t="s">
        <v>719</v>
      </c>
      <c r="K769" s="27" t="s">
        <v>927</v>
      </c>
      <c r="L769" s="29" t="s">
        <v>927</v>
      </c>
      <c r="M769" s="29" t="s">
        <v>726</v>
      </c>
      <c r="N769" s="29" t="s">
        <v>711</v>
      </c>
      <c r="O769" s="28"/>
      <c r="P769" s="28"/>
      <c r="Q769" s="28" t="s">
        <v>76</v>
      </c>
      <c r="R769" s="29"/>
      <c r="S769" s="28"/>
      <c r="T769" s="28"/>
      <c r="U769" s="28" t="s">
        <v>75</v>
      </c>
      <c r="V769" s="28" t="s">
        <v>75</v>
      </c>
      <c r="W769" s="28"/>
    </row>
    <row r="770" spans="1:23" s="12" customFormat="1" hidden="1">
      <c r="A770" s="46" t="s">
        <v>572</v>
      </c>
      <c r="B770" s="28" t="s">
        <v>1333</v>
      </c>
      <c r="C770" s="28" t="s">
        <v>88</v>
      </c>
      <c r="D770" s="40" t="s">
        <v>920</v>
      </c>
      <c r="E770" s="40" t="s">
        <v>91</v>
      </c>
      <c r="F770" s="28" t="s">
        <v>369</v>
      </c>
      <c r="G770" s="28" t="s">
        <v>369</v>
      </c>
      <c r="H770" s="28" t="s">
        <v>1408</v>
      </c>
      <c r="I770" s="28" t="str">
        <f>VLOOKUP(F770,표준용어사전!$B:$D,3,FALSE)</f>
        <v>명V20</v>
      </c>
      <c r="J770" s="28" t="s">
        <v>718</v>
      </c>
      <c r="K770" s="27">
        <v>20</v>
      </c>
      <c r="L770" s="29" t="s">
        <v>927</v>
      </c>
      <c r="M770" s="29" t="s">
        <v>727</v>
      </c>
      <c r="N770" s="29" t="s">
        <v>572</v>
      </c>
      <c r="O770" s="28"/>
      <c r="P770" s="28"/>
      <c r="Q770" s="28" t="s">
        <v>76</v>
      </c>
      <c r="R770" s="29"/>
      <c r="S770" s="28"/>
      <c r="T770" s="28"/>
      <c r="U770" s="28" t="s">
        <v>75</v>
      </c>
      <c r="V770" s="28" t="s">
        <v>75</v>
      </c>
      <c r="W770" s="28"/>
    </row>
    <row r="771" spans="1:23" s="12" customFormat="1" hidden="1">
      <c r="A771" s="46" t="s">
        <v>572</v>
      </c>
      <c r="B771" s="28" t="s">
        <v>1410</v>
      </c>
      <c r="C771" s="28" t="s">
        <v>88</v>
      </c>
      <c r="D771" s="40" t="s">
        <v>930</v>
      </c>
      <c r="E771" s="40" t="s">
        <v>578</v>
      </c>
      <c r="F771" s="28" t="s">
        <v>580</v>
      </c>
      <c r="G771" s="28" t="s">
        <v>580</v>
      </c>
      <c r="H771" s="28" t="s">
        <v>943</v>
      </c>
      <c r="I771" s="28" t="str">
        <f>VLOOKUP(F771,표준용어사전!$B:$D,3,FALSE)</f>
        <v>명V20</v>
      </c>
      <c r="J771" s="28" t="s">
        <v>718</v>
      </c>
      <c r="K771" s="27">
        <v>20</v>
      </c>
      <c r="L771" s="29" t="s">
        <v>927</v>
      </c>
      <c r="M771" s="29" t="s">
        <v>727</v>
      </c>
      <c r="N771" s="29" t="s">
        <v>711</v>
      </c>
      <c r="O771" s="28" t="s">
        <v>641</v>
      </c>
      <c r="P771" s="28"/>
      <c r="Q771" s="28" t="s">
        <v>76</v>
      </c>
      <c r="R771" s="29"/>
      <c r="S771" s="28"/>
      <c r="T771" s="28"/>
      <c r="U771" s="28" t="s">
        <v>75</v>
      </c>
      <c r="V771" s="28" t="s">
        <v>75</v>
      </c>
      <c r="W771" s="28"/>
    </row>
    <row r="772" spans="1:23" s="12" customFormat="1" hidden="1">
      <c r="A772" s="46" t="s">
        <v>572</v>
      </c>
      <c r="B772" s="28" t="s">
        <v>1410</v>
      </c>
      <c r="C772" s="28" t="s">
        <v>88</v>
      </c>
      <c r="D772" s="40" t="s">
        <v>930</v>
      </c>
      <c r="E772" s="40" t="s">
        <v>593</v>
      </c>
      <c r="F772" s="28" t="s">
        <v>896</v>
      </c>
      <c r="G772" s="28" t="s">
        <v>942</v>
      </c>
      <c r="H772" s="28" t="s">
        <v>943</v>
      </c>
      <c r="I772" s="28" t="str">
        <f>VLOOKUP(F772,표준용어사전!$B:$D,3,FALSE)</f>
        <v>코드C4</v>
      </c>
      <c r="J772" s="28" t="s">
        <v>709</v>
      </c>
      <c r="K772" s="27">
        <v>50</v>
      </c>
      <c r="L772" s="29" t="s">
        <v>927</v>
      </c>
      <c r="M772" s="29" t="s">
        <v>725</v>
      </c>
      <c r="N772" s="29" t="s">
        <v>711</v>
      </c>
      <c r="O772" s="28" t="s">
        <v>573</v>
      </c>
      <c r="P772" s="28"/>
      <c r="Q772" s="28" t="s">
        <v>76</v>
      </c>
      <c r="R772" s="29"/>
      <c r="S772" s="28"/>
      <c r="T772" s="28"/>
      <c r="U772" s="28" t="s">
        <v>75</v>
      </c>
      <c r="V772" s="28" t="s">
        <v>75</v>
      </c>
      <c r="W772" s="28"/>
    </row>
    <row r="773" spans="1:23" s="12" customFormat="1" hidden="1">
      <c r="A773" s="46" t="s">
        <v>572</v>
      </c>
      <c r="B773" s="28" t="s">
        <v>1410</v>
      </c>
      <c r="C773" s="28" t="s">
        <v>88</v>
      </c>
      <c r="D773" s="40" t="s">
        <v>930</v>
      </c>
      <c r="E773" s="40" t="s">
        <v>931</v>
      </c>
      <c r="F773" s="28" t="s">
        <v>937</v>
      </c>
      <c r="G773" s="28" t="s">
        <v>937</v>
      </c>
      <c r="H773" s="28" t="s">
        <v>943</v>
      </c>
      <c r="I773" s="28" t="e">
        <f>VLOOKUP(F773,표준용어사전!$B:$D,3,FALSE)</f>
        <v>#N/A</v>
      </c>
      <c r="J773" s="28" t="s">
        <v>748</v>
      </c>
      <c r="K773" s="27">
        <v>14</v>
      </c>
      <c r="L773" s="29" t="s">
        <v>927</v>
      </c>
      <c r="M773" s="29" t="s">
        <v>776</v>
      </c>
      <c r="N773" s="29" t="s">
        <v>711</v>
      </c>
      <c r="O773" s="28"/>
      <c r="P773" s="28"/>
      <c r="Q773" s="28" t="s">
        <v>76</v>
      </c>
      <c r="R773" s="29"/>
      <c r="S773" s="28"/>
      <c r="T773" s="28"/>
      <c r="U773" s="28" t="s">
        <v>75</v>
      </c>
      <c r="V773" s="28" t="s">
        <v>75</v>
      </c>
      <c r="W773" s="28"/>
    </row>
    <row r="774" spans="1:23" s="12" customFormat="1" hidden="1">
      <c r="A774" s="46" t="s">
        <v>572</v>
      </c>
      <c r="B774" s="28" t="s">
        <v>1410</v>
      </c>
      <c r="C774" s="28" t="s">
        <v>88</v>
      </c>
      <c r="D774" s="40" t="s">
        <v>930</v>
      </c>
      <c r="E774" s="40" t="s">
        <v>932</v>
      </c>
      <c r="F774" s="28" t="s">
        <v>906</v>
      </c>
      <c r="G774" s="28" t="s">
        <v>906</v>
      </c>
      <c r="H774" s="28" t="s">
        <v>943</v>
      </c>
      <c r="I774" s="28" t="e">
        <f>VLOOKUP(F774,표준용어사전!$B:$D,3,FALSE)</f>
        <v>#N/A</v>
      </c>
      <c r="J774" s="28" t="s">
        <v>748</v>
      </c>
      <c r="K774" s="27">
        <v>14</v>
      </c>
      <c r="L774" s="29" t="s">
        <v>927</v>
      </c>
      <c r="M774" s="29" t="s">
        <v>776</v>
      </c>
      <c r="N774" s="29" t="s">
        <v>711</v>
      </c>
      <c r="O774" s="28"/>
      <c r="P774" s="28"/>
      <c r="Q774" s="28" t="s">
        <v>76</v>
      </c>
      <c r="R774" s="29"/>
      <c r="S774" s="28"/>
      <c r="T774" s="28"/>
      <c r="U774" s="28" t="s">
        <v>75</v>
      </c>
      <c r="V774" s="28" t="s">
        <v>75</v>
      </c>
      <c r="W774" s="28"/>
    </row>
    <row r="775" spans="1:23" s="12" customFormat="1" hidden="1">
      <c r="A775" s="46" t="s">
        <v>572</v>
      </c>
      <c r="B775" s="28" t="s">
        <v>1410</v>
      </c>
      <c r="C775" s="28" t="s">
        <v>88</v>
      </c>
      <c r="D775" s="40" t="s">
        <v>930</v>
      </c>
      <c r="E775" s="40" t="s">
        <v>933</v>
      </c>
      <c r="F775" s="28" t="s">
        <v>938</v>
      </c>
      <c r="G775" s="28" t="s">
        <v>938</v>
      </c>
      <c r="H775" s="28" t="s">
        <v>943</v>
      </c>
      <c r="I775" s="28" t="e">
        <f>VLOOKUP(F775,표준용어사전!$B:$D,3,FALSE)</f>
        <v>#N/A</v>
      </c>
      <c r="J775" s="28" t="s">
        <v>748</v>
      </c>
      <c r="K775" s="27">
        <v>14</v>
      </c>
      <c r="L775" s="29" t="s">
        <v>927</v>
      </c>
      <c r="M775" s="29" t="s">
        <v>776</v>
      </c>
      <c r="N775" s="29" t="s">
        <v>711</v>
      </c>
      <c r="O775" s="28"/>
      <c r="P775" s="28"/>
      <c r="Q775" s="28" t="s">
        <v>76</v>
      </c>
      <c r="R775" s="29"/>
      <c r="S775" s="28"/>
      <c r="T775" s="28"/>
      <c r="U775" s="28" t="s">
        <v>75</v>
      </c>
      <c r="V775" s="28" t="s">
        <v>75</v>
      </c>
      <c r="W775" s="28"/>
    </row>
    <row r="776" spans="1:23" s="12" customFormat="1" hidden="1">
      <c r="A776" s="46" t="s">
        <v>572</v>
      </c>
      <c r="B776" s="28" t="s">
        <v>1410</v>
      </c>
      <c r="C776" s="28" t="s">
        <v>88</v>
      </c>
      <c r="D776" s="40" t="s">
        <v>930</v>
      </c>
      <c r="E776" s="40" t="s">
        <v>934</v>
      </c>
      <c r="F776" s="28" t="s">
        <v>939</v>
      </c>
      <c r="G776" s="28" t="s">
        <v>939</v>
      </c>
      <c r="H776" s="28" t="s">
        <v>943</v>
      </c>
      <c r="I776" s="28" t="e">
        <f>VLOOKUP(F776,표준용어사전!$B:$D,3,FALSE)</f>
        <v>#N/A</v>
      </c>
      <c r="J776" s="28" t="s">
        <v>748</v>
      </c>
      <c r="K776" s="27">
        <v>14</v>
      </c>
      <c r="L776" s="29" t="s">
        <v>927</v>
      </c>
      <c r="M776" s="29" t="s">
        <v>776</v>
      </c>
      <c r="N776" s="29" t="s">
        <v>711</v>
      </c>
      <c r="O776" s="28"/>
      <c r="P776" s="28"/>
      <c r="Q776" s="28" t="s">
        <v>76</v>
      </c>
      <c r="R776" s="29"/>
      <c r="S776" s="28"/>
      <c r="T776" s="28"/>
      <c r="U776" s="28" t="s">
        <v>75</v>
      </c>
      <c r="V776" s="28" t="s">
        <v>75</v>
      </c>
      <c r="W776" s="28"/>
    </row>
    <row r="777" spans="1:23" s="12" customFormat="1" hidden="1">
      <c r="A777" s="46" t="s">
        <v>572</v>
      </c>
      <c r="B777" s="28" t="s">
        <v>1410</v>
      </c>
      <c r="C777" s="28" t="s">
        <v>88</v>
      </c>
      <c r="D777" s="40" t="s">
        <v>930</v>
      </c>
      <c r="E777" s="40" t="s">
        <v>935</v>
      </c>
      <c r="F777" s="28" t="s">
        <v>940</v>
      </c>
      <c r="G777" s="28" t="s">
        <v>940</v>
      </c>
      <c r="H777" s="28" t="s">
        <v>943</v>
      </c>
      <c r="I777" s="28" t="e">
        <f>VLOOKUP(F777,표준용어사전!$B:$D,3,FALSE)</f>
        <v>#N/A</v>
      </c>
      <c r="J777" s="28" t="s">
        <v>748</v>
      </c>
      <c r="K777" s="27">
        <v>14</v>
      </c>
      <c r="L777" s="29" t="s">
        <v>927</v>
      </c>
      <c r="M777" s="29" t="s">
        <v>776</v>
      </c>
      <c r="N777" s="29" t="s">
        <v>711</v>
      </c>
      <c r="O777" s="28"/>
      <c r="P777" s="28"/>
      <c r="Q777" s="28" t="s">
        <v>76</v>
      </c>
      <c r="R777" s="29"/>
      <c r="S777" s="28"/>
      <c r="T777" s="28"/>
      <c r="U777" s="28" t="s">
        <v>75</v>
      </c>
      <c r="V777" s="28" t="s">
        <v>75</v>
      </c>
      <c r="W777" s="28"/>
    </row>
    <row r="778" spans="1:23" s="12" customFormat="1" hidden="1">
      <c r="A778" s="46" t="s">
        <v>572</v>
      </c>
      <c r="B778" s="28" t="s">
        <v>1410</v>
      </c>
      <c r="C778" s="28" t="s">
        <v>88</v>
      </c>
      <c r="D778" s="40" t="s">
        <v>930</v>
      </c>
      <c r="E778" s="40" t="s">
        <v>936</v>
      </c>
      <c r="F778" s="28" t="s">
        <v>941</v>
      </c>
      <c r="G778" s="28" t="s">
        <v>941</v>
      </c>
      <c r="H778" s="28" t="s">
        <v>943</v>
      </c>
      <c r="I778" s="28" t="e">
        <f>VLOOKUP(F778,표준용어사전!$B:$D,3,FALSE)</f>
        <v>#N/A</v>
      </c>
      <c r="J778" s="28" t="s">
        <v>748</v>
      </c>
      <c r="K778" s="27">
        <v>14</v>
      </c>
      <c r="L778" s="29" t="s">
        <v>927</v>
      </c>
      <c r="M778" s="29" t="s">
        <v>776</v>
      </c>
      <c r="N778" s="29" t="s">
        <v>711</v>
      </c>
      <c r="O778" s="28"/>
      <c r="P778" s="28"/>
      <c r="Q778" s="28" t="s">
        <v>76</v>
      </c>
      <c r="R778" s="29"/>
      <c r="S778" s="28"/>
      <c r="T778" s="28"/>
      <c r="U778" s="28" t="s">
        <v>75</v>
      </c>
      <c r="V778" s="28" t="s">
        <v>75</v>
      </c>
      <c r="W778" s="28"/>
    </row>
    <row r="779" spans="1:23" s="12" customFormat="1" hidden="1">
      <c r="A779" s="46" t="s">
        <v>572</v>
      </c>
      <c r="B779" s="28" t="s">
        <v>1338</v>
      </c>
      <c r="C779" s="28" t="s">
        <v>944</v>
      </c>
      <c r="D779" s="28" t="s">
        <v>691</v>
      </c>
      <c r="E779" s="28" t="s">
        <v>1431</v>
      </c>
      <c r="F779" s="28" t="s">
        <v>1626</v>
      </c>
      <c r="G779" s="28" t="s">
        <v>1626</v>
      </c>
      <c r="H779" s="28" t="s">
        <v>96</v>
      </c>
      <c r="I779" s="28" t="e">
        <f>VLOOKUP(F779,표준용어사전!$B:$D,3,FALSE)</f>
        <v>#N/A</v>
      </c>
      <c r="J779" s="28" t="s">
        <v>1349</v>
      </c>
      <c r="K779" s="27" t="s">
        <v>927</v>
      </c>
      <c r="L779" s="29" t="s">
        <v>927</v>
      </c>
      <c r="M779" s="29" t="s">
        <v>1353</v>
      </c>
      <c r="N779" s="29" t="s">
        <v>572</v>
      </c>
      <c r="O779" s="28"/>
      <c r="P779" s="28"/>
      <c r="Q779" s="28" t="s">
        <v>76</v>
      </c>
      <c r="R779" s="29"/>
      <c r="S779" s="28"/>
      <c r="T779" s="28"/>
      <c r="U779" s="28" t="s">
        <v>75</v>
      </c>
      <c r="V779" s="28" t="s">
        <v>75</v>
      </c>
      <c r="W779" s="28"/>
    </row>
    <row r="780" spans="1:23" s="12" customFormat="1" hidden="1">
      <c r="A780" s="46" t="s">
        <v>572</v>
      </c>
      <c r="B780" s="28" t="s">
        <v>1338</v>
      </c>
      <c r="C780" s="28" t="s">
        <v>944</v>
      </c>
      <c r="D780" s="28" t="s">
        <v>691</v>
      </c>
      <c r="E780" s="28" t="s">
        <v>95</v>
      </c>
      <c r="F780" s="28" t="s">
        <v>374</v>
      </c>
      <c r="G780" s="28" t="s">
        <v>374</v>
      </c>
      <c r="H780" s="28" t="s">
        <v>96</v>
      </c>
      <c r="I780" s="28" t="str">
        <f>VLOOKUP(F780,표준용어사전!$B:$D,3,FALSE)</f>
        <v>번호I</v>
      </c>
      <c r="J780" s="28" t="s">
        <v>717</v>
      </c>
      <c r="K780" s="27" t="s">
        <v>927</v>
      </c>
      <c r="L780" s="29" t="s">
        <v>927</v>
      </c>
      <c r="M780" s="29"/>
      <c r="N780" s="29" t="s">
        <v>572</v>
      </c>
      <c r="O780" s="28"/>
      <c r="P780" s="28"/>
      <c r="Q780" s="28" t="s">
        <v>76</v>
      </c>
      <c r="R780" s="29"/>
      <c r="S780" s="28"/>
      <c r="T780" s="28"/>
      <c r="U780" s="28" t="s">
        <v>75</v>
      </c>
      <c r="V780" s="28" t="s">
        <v>75</v>
      </c>
      <c r="W780" s="28"/>
    </row>
    <row r="781" spans="1:23" s="12" customFormat="1" hidden="1">
      <c r="A781" s="46" t="s">
        <v>572</v>
      </c>
      <c r="B781" s="28" t="s">
        <v>1338</v>
      </c>
      <c r="C781" s="28" t="s">
        <v>944</v>
      </c>
      <c r="D781" s="28" t="s">
        <v>691</v>
      </c>
      <c r="E781" s="28" t="s">
        <v>89</v>
      </c>
      <c r="F781" s="28" t="s">
        <v>760</v>
      </c>
      <c r="G781" s="28" t="s">
        <v>760</v>
      </c>
      <c r="H781" s="28" t="s">
        <v>96</v>
      </c>
      <c r="I781" s="28" t="str">
        <f>VLOOKUP(F781,표준용어사전!$B:$D,3,FALSE)</f>
        <v>명V20</v>
      </c>
      <c r="J781" s="28" t="s">
        <v>718</v>
      </c>
      <c r="K781" s="27">
        <v>50</v>
      </c>
      <c r="L781" s="29" t="s">
        <v>927</v>
      </c>
      <c r="M781" s="29" t="s">
        <v>720</v>
      </c>
      <c r="N781" s="29" t="s">
        <v>572</v>
      </c>
      <c r="O781" s="28"/>
      <c r="P781" s="28"/>
      <c r="Q781" s="28" t="s">
        <v>76</v>
      </c>
      <c r="R781" s="29"/>
      <c r="S781" s="28"/>
      <c r="T781" s="28"/>
      <c r="U781" s="28" t="s">
        <v>75</v>
      </c>
      <c r="V781" s="28" t="s">
        <v>75</v>
      </c>
      <c r="W781" s="28"/>
    </row>
    <row r="782" spans="1:23" s="12" customFormat="1" hidden="1">
      <c r="A782" s="46" t="s">
        <v>572</v>
      </c>
      <c r="B782" s="28" t="s">
        <v>1338</v>
      </c>
      <c r="C782" s="28" t="s">
        <v>944</v>
      </c>
      <c r="D782" s="28" t="s">
        <v>691</v>
      </c>
      <c r="E782" s="28" t="s">
        <v>97</v>
      </c>
      <c r="F782" s="28" t="s">
        <v>375</v>
      </c>
      <c r="G782" s="28" t="s">
        <v>375</v>
      </c>
      <c r="H782" s="28" t="s">
        <v>96</v>
      </c>
      <c r="I782" s="28" t="str">
        <f>VLOOKUP(F782,표준용어사전!$B:$D,3,FALSE)</f>
        <v>코드V50</v>
      </c>
      <c r="J782" s="28" t="s">
        <v>709</v>
      </c>
      <c r="K782" s="27">
        <v>50</v>
      </c>
      <c r="L782" s="29" t="s">
        <v>927</v>
      </c>
      <c r="M782" s="29" t="s">
        <v>725</v>
      </c>
      <c r="N782" s="29" t="s">
        <v>572</v>
      </c>
      <c r="O782" s="28"/>
      <c r="P782" s="28"/>
      <c r="Q782" s="28" t="s">
        <v>76</v>
      </c>
      <c r="R782" s="29"/>
      <c r="S782" s="28"/>
      <c r="T782" s="28"/>
      <c r="U782" s="28" t="s">
        <v>75</v>
      </c>
      <c r="V782" s="28" t="s">
        <v>75</v>
      </c>
      <c r="W782" s="28"/>
    </row>
    <row r="783" spans="1:23" s="12" customFormat="1" hidden="1">
      <c r="A783" s="46" t="s">
        <v>572</v>
      </c>
      <c r="B783" s="28" t="s">
        <v>1338</v>
      </c>
      <c r="C783" s="28" t="s">
        <v>944</v>
      </c>
      <c r="D783" s="28" t="s">
        <v>691</v>
      </c>
      <c r="E783" s="28" t="s">
        <v>98</v>
      </c>
      <c r="F783" s="28" t="s">
        <v>376</v>
      </c>
      <c r="G783" s="28" t="s">
        <v>376</v>
      </c>
      <c r="H783" s="28" t="s">
        <v>96</v>
      </c>
      <c r="I783" s="28" t="str">
        <f>VLOOKUP(F783,표준용어사전!$B:$D,3,FALSE)</f>
        <v>여부C1</v>
      </c>
      <c r="J783" s="28" t="s">
        <v>709</v>
      </c>
      <c r="K783" s="27">
        <v>1</v>
      </c>
      <c r="L783" s="29" t="s">
        <v>927</v>
      </c>
      <c r="M783" s="29" t="s">
        <v>722</v>
      </c>
      <c r="N783" s="29" t="s">
        <v>572</v>
      </c>
      <c r="O783" s="28"/>
      <c r="P783" s="28"/>
      <c r="Q783" s="28" t="s">
        <v>76</v>
      </c>
      <c r="R783" s="29"/>
      <c r="S783" s="28"/>
      <c r="T783" s="28" t="s">
        <v>576</v>
      </c>
      <c r="U783" s="28" t="s">
        <v>75</v>
      </c>
      <c r="V783" s="28" t="s">
        <v>75</v>
      </c>
      <c r="W783" s="28"/>
    </row>
    <row r="784" spans="1:23" s="12" customFormat="1" hidden="1">
      <c r="A784" s="46" t="s">
        <v>572</v>
      </c>
      <c r="B784" s="28" t="s">
        <v>1338</v>
      </c>
      <c r="C784" s="28" t="s">
        <v>944</v>
      </c>
      <c r="D784" s="28" t="s">
        <v>691</v>
      </c>
      <c r="E784" s="28" t="s">
        <v>99</v>
      </c>
      <c r="F784" s="28" t="s">
        <v>377</v>
      </c>
      <c r="G784" s="28" t="s">
        <v>377</v>
      </c>
      <c r="H784" s="28" t="s">
        <v>96</v>
      </c>
      <c r="I784" s="28" t="str">
        <f>VLOOKUP(F784,표준용어사전!$B:$D,3,FALSE)</f>
        <v>명V256</v>
      </c>
      <c r="J784" s="28" t="s">
        <v>718</v>
      </c>
      <c r="K784" s="27">
        <v>256</v>
      </c>
      <c r="L784" s="29" t="s">
        <v>927</v>
      </c>
      <c r="M784" s="29" t="s">
        <v>730</v>
      </c>
      <c r="N784" s="29" t="s">
        <v>572</v>
      </c>
      <c r="O784" s="28"/>
      <c r="P784" s="28"/>
      <c r="Q784" s="28" t="s">
        <v>76</v>
      </c>
      <c r="R784" s="29"/>
      <c r="S784" s="28"/>
      <c r="T784" s="28"/>
      <c r="U784" s="28" t="s">
        <v>75</v>
      </c>
      <c r="V784" s="28" t="s">
        <v>75</v>
      </c>
      <c r="W784" s="28"/>
    </row>
    <row r="785" spans="1:23" s="12" customFormat="1" hidden="1">
      <c r="A785" s="46" t="s">
        <v>572</v>
      </c>
      <c r="B785" s="28" t="s">
        <v>1338</v>
      </c>
      <c r="C785" s="28" t="s">
        <v>944</v>
      </c>
      <c r="D785" s="28" t="s">
        <v>691</v>
      </c>
      <c r="E785" s="28" t="s">
        <v>90</v>
      </c>
      <c r="F785" s="28" t="s">
        <v>14</v>
      </c>
      <c r="G785" s="28" t="s">
        <v>14</v>
      </c>
      <c r="H785" s="28" t="s">
        <v>96</v>
      </c>
      <c r="I785" s="28" t="str">
        <f>VLOOKUP(F785,표준용어사전!$B:$D,3,FALSE)</f>
        <v>연월일시분초TS</v>
      </c>
      <c r="J785" s="28" t="s">
        <v>719</v>
      </c>
      <c r="K785" s="27" t="s">
        <v>927</v>
      </c>
      <c r="L785" s="29" t="s">
        <v>927</v>
      </c>
      <c r="M785" s="29" t="s">
        <v>726</v>
      </c>
      <c r="N785" s="29" t="s">
        <v>572</v>
      </c>
      <c r="O785" s="28"/>
      <c r="P785" s="28"/>
      <c r="Q785" s="28" t="s">
        <v>76</v>
      </c>
      <c r="R785" s="29"/>
      <c r="S785" s="28"/>
      <c r="T785" s="28"/>
      <c r="U785" s="28" t="s">
        <v>75</v>
      </c>
      <c r="V785" s="28" t="s">
        <v>75</v>
      </c>
      <c r="W785" s="28"/>
    </row>
    <row r="786" spans="1:23" s="12" customFormat="1" hidden="1">
      <c r="A786" s="46" t="s">
        <v>572</v>
      </c>
      <c r="B786" s="28" t="s">
        <v>1338</v>
      </c>
      <c r="C786" s="28" t="s">
        <v>944</v>
      </c>
      <c r="D786" s="28" t="s">
        <v>691</v>
      </c>
      <c r="E786" s="28" t="s">
        <v>91</v>
      </c>
      <c r="F786" s="28" t="s">
        <v>369</v>
      </c>
      <c r="G786" s="28" t="s">
        <v>369</v>
      </c>
      <c r="H786" s="28" t="s">
        <v>96</v>
      </c>
      <c r="I786" s="28" t="str">
        <f>VLOOKUP(F786,표준용어사전!$B:$D,3,FALSE)</f>
        <v>명V20</v>
      </c>
      <c r="J786" s="28" t="s">
        <v>718</v>
      </c>
      <c r="K786" s="27">
        <v>20</v>
      </c>
      <c r="L786" s="29" t="s">
        <v>927</v>
      </c>
      <c r="M786" s="29" t="s">
        <v>727</v>
      </c>
      <c r="N786" s="29" t="s">
        <v>572</v>
      </c>
      <c r="O786" s="28"/>
      <c r="P786" s="28"/>
      <c r="Q786" s="28" t="s">
        <v>76</v>
      </c>
      <c r="R786" s="29"/>
      <c r="S786" s="28"/>
      <c r="T786" s="28"/>
      <c r="U786" s="28" t="s">
        <v>75</v>
      </c>
      <c r="V786" s="28" t="s">
        <v>75</v>
      </c>
      <c r="W786" s="28"/>
    </row>
    <row r="787" spans="1:23" s="12" customFormat="1" hidden="1">
      <c r="A787" s="46" t="s">
        <v>572</v>
      </c>
      <c r="B787" s="28" t="s">
        <v>1338</v>
      </c>
      <c r="C787" s="28" t="s">
        <v>944</v>
      </c>
      <c r="D787" s="28" t="s">
        <v>691</v>
      </c>
      <c r="E787" s="28" t="s">
        <v>92</v>
      </c>
      <c r="F787" s="28" t="s">
        <v>15</v>
      </c>
      <c r="G787" s="28" t="s">
        <v>15</v>
      </c>
      <c r="H787" s="28" t="s">
        <v>96</v>
      </c>
      <c r="I787" s="28" t="str">
        <f>VLOOKUP(F787,표준용어사전!$B:$D,3,FALSE)</f>
        <v>연월일시분초TS</v>
      </c>
      <c r="J787" s="28" t="s">
        <v>719</v>
      </c>
      <c r="K787" s="27" t="s">
        <v>927</v>
      </c>
      <c r="L787" s="29" t="s">
        <v>927</v>
      </c>
      <c r="M787" s="29" t="s">
        <v>726</v>
      </c>
      <c r="N787" s="29" t="s">
        <v>572</v>
      </c>
      <c r="O787" s="28"/>
      <c r="P787" s="28"/>
      <c r="Q787" s="28" t="s">
        <v>76</v>
      </c>
      <c r="R787" s="29"/>
      <c r="S787" s="28"/>
      <c r="T787" s="28"/>
      <c r="U787" s="28" t="s">
        <v>75</v>
      </c>
      <c r="V787" s="28" t="s">
        <v>75</v>
      </c>
      <c r="W787" s="28"/>
    </row>
    <row r="788" spans="1:23" s="12" customFormat="1" hidden="1">
      <c r="A788" s="46" t="s">
        <v>572</v>
      </c>
      <c r="B788" s="28" t="s">
        <v>1338</v>
      </c>
      <c r="C788" s="28" t="s">
        <v>944</v>
      </c>
      <c r="D788" s="28" t="s">
        <v>691</v>
      </c>
      <c r="E788" s="28" t="s">
        <v>950</v>
      </c>
      <c r="F788" s="28" t="s">
        <v>370</v>
      </c>
      <c r="G788" s="28" t="s">
        <v>370</v>
      </c>
      <c r="H788" s="28" t="s">
        <v>96</v>
      </c>
      <c r="I788" s="28" t="str">
        <f>VLOOKUP(F788,표준용어사전!$B:$D,3,FALSE)</f>
        <v>명V20</v>
      </c>
      <c r="J788" s="28" t="s">
        <v>718</v>
      </c>
      <c r="K788" s="27">
        <v>20</v>
      </c>
      <c r="L788" s="29" t="s">
        <v>927</v>
      </c>
      <c r="M788" s="29" t="s">
        <v>727</v>
      </c>
      <c r="N788" s="29" t="s">
        <v>572</v>
      </c>
      <c r="O788" s="28"/>
      <c r="P788" s="28"/>
      <c r="Q788" s="28" t="s">
        <v>76</v>
      </c>
      <c r="R788" s="29"/>
      <c r="S788" s="28"/>
      <c r="T788" s="28"/>
      <c r="U788" s="28" t="s">
        <v>75</v>
      </c>
      <c r="V788" s="28" t="s">
        <v>75</v>
      </c>
      <c r="W788" s="28"/>
    </row>
    <row r="789" spans="1:23" s="12" customFormat="1" hidden="1">
      <c r="A789" s="46" t="s">
        <v>572</v>
      </c>
      <c r="B789" s="28" t="s">
        <v>1338</v>
      </c>
      <c r="C789" s="28" t="s">
        <v>944</v>
      </c>
      <c r="D789" s="28" t="s">
        <v>627</v>
      </c>
      <c r="E789" s="28" t="s">
        <v>1431</v>
      </c>
      <c r="F789" s="28" t="s">
        <v>1626</v>
      </c>
      <c r="G789" s="28" t="s">
        <v>1626</v>
      </c>
      <c r="H789" s="28" t="s">
        <v>124</v>
      </c>
      <c r="I789" s="28" t="e">
        <f>VLOOKUP(F789,표준용어사전!$B:$D,3,FALSE)</f>
        <v>#N/A</v>
      </c>
      <c r="J789" s="28" t="s">
        <v>1349</v>
      </c>
      <c r="K789" s="27" t="s">
        <v>927</v>
      </c>
      <c r="L789" s="29" t="s">
        <v>927</v>
      </c>
      <c r="M789" s="29" t="s">
        <v>1353</v>
      </c>
      <c r="N789" s="29" t="s">
        <v>572</v>
      </c>
      <c r="O789" s="28"/>
      <c r="P789" s="28"/>
      <c r="Q789" s="28" t="s">
        <v>76</v>
      </c>
      <c r="R789" s="29"/>
      <c r="S789" s="28"/>
      <c r="T789" s="28"/>
      <c r="U789" s="28" t="s">
        <v>75</v>
      </c>
      <c r="V789" s="28" t="s">
        <v>75</v>
      </c>
      <c r="W789" s="28"/>
    </row>
    <row r="790" spans="1:23" s="12" customFormat="1" hidden="1">
      <c r="A790" s="46" t="s">
        <v>572</v>
      </c>
      <c r="B790" s="28" t="s">
        <v>1338</v>
      </c>
      <c r="C790" s="28" t="s">
        <v>944</v>
      </c>
      <c r="D790" s="28" t="s">
        <v>627</v>
      </c>
      <c r="E790" s="28" t="s">
        <v>123</v>
      </c>
      <c r="F790" s="28" t="s">
        <v>392</v>
      </c>
      <c r="G790" s="28" t="s">
        <v>392</v>
      </c>
      <c r="H790" s="28" t="s">
        <v>124</v>
      </c>
      <c r="I790" s="28" t="str">
        <f>VLOOKUP(F790,표준용어사전!$B:$D,3,FALSE)</f>
        <v>번호I</v>
      </c>
      <c r="J790" s="28" t="s">
        <v>717</v>
      </c>
      <c r="K790" s="27" t="s">
        <v>927</v>
      </c>
      <c r="L790" s="29" t="s">
        <v>927</v>
      </c>
      <c r="M790" s="29"/>
      <c r="N790" s="29" t="s">
        <v>572</v>
      </c>
      <c r="O790" s="28"/>
      <c r="P790" s="28"/>
      <c r="Q790" s="28" t="s">
        <v>76</v>
      </c>
      <c r="R790" s="29"/>
      <c r="S790" s="28"/>
      <c r="T790" s="28"/>
      <c r="U790" s="28" t="s">
        <v>75</v>
      </c>
      <c r="V790" s="28" t="s">
        <v>75</v>
      </c>
      <c r="W790" s="28"/>
    </row>
    <row r="791" spans="1:23" s="12" customFormat="1" hidden="1">
      <c r="A791" s="46" t="s">
        <v>572</v>
      </c>
      <c r="B791" s="28" t="s">
        <v>1338</v>
      </c>
      <c r="C791" s="28" t="s">
        <v>944</v>
      </c>
      <c r="D791" s="28" t="s">
        <v>627</v>
      </c>
      <c r="E791" s="28" t="s">
        <v>89</v>
      </c>
      <c r="F791" s="28" t="s">
        <v>501</v>
      </c>
      <c r="G791" s="28" t="s">
        <v>501</v>
      </c>
      <c r="H791" s="28" t="s">
        <v>124</v>
      </c>
      <c r="I791" s="28" t="str">
        <f>VLOOKUP(F791,표준용어사전!$B:$D,3,FALSE)</f>
        <v>명V20</v>
      </c>
      <c r="J791" s="28" t="s">
        <v>718</v>
      </c>
      <c r="K791" s="27">
        <v>50</v>
      </c>
      <c r="L791" s="29" t="s">
        <v>927</v>
      </c>
      <c r="M791" s="29" t="s">
        <v>720</v>
      </c>
      <c r="N791" s="29" t="s">
        <v>572</v>
      </c>
      <c r="O791" s="28"/>
      <c r="P791" s="28"/>
      <c r="Q791" s="28" t="s">
        <v>76</v>
      </c>
      <c r="R791" s="29"/>
      <c r="S791" s="28"/>
      <c r="T791" s="28"/>
      <c r="U791" s="28" t="s">
        <v>75</v>
      </c>
      <c r="V791" s="28" t="s">
        <v>75</v>
      </c>
      <c r="W791" s="28"/>
    </row>
    <row r="792" spans="1:23" s="12" customFormat="1" hidden="1">
      <c r="A792" s="46" t="s">
        <v>572</v>
      </c>
      <c r="B792" s="28" t="s">
        <v>1338</v>
      </c>
      <c r="C792" s="28" t="s">
        <v>944</v>
      </c>
      <c r="D792" s="28" t="s">
        <v>627</v>
      </c>
      <c r="E792" s="28" t="s">
        <v>125</v>
      </c>
      <c r="F792" s="28" t="s">
        <v>393</v>
      </c>
      <c r="G792" s="28" t="s">
        <v>393</v>
      </c>
      <c r="H792" s="28" t="s">
        <v>124</v>
      </c>
      <c r="I792" s="28" t="str">
        <f>VLOOKUP(F792,표준용어사전!$B:$D,3,FALSE)</f>
        <v>코드V50</v>
      </c>
      <c r="J792" s="28" t="s">
        <v>709</v>
      </c>
      <c r="K792" s="27">
        <v>50</v>
      </c>
      <c r="L792" s="29" t="s">
        <v>927</v>
      </c>
      <c r="M792" s="29" t="s">
        <v>725</v>
      </c>
      <c r="N792" s="29" t="s">
        <v>572</v>
      </c>
      <c r="O792" s="28"/>
      <c r="P792" s="28"/>
      <c r="Q792" s="28" t="s">
        <v>76</v>
      </c>
      <c r="R792" s="29"/>
      <c r="S792" s="28"/>
      <c r="T792" s="28"/>
      <c r="U792" s="28" t="s">
        <v>75</v>
      </c>
      <c r="V792" s="28" t="s">
        <v>75</v>
      </c>
      <c r="W792" s="28"/>
    </row>
    <row r="793" spans="1:23" s="12" customFormat="1" hidden="1">
      <c r="A793" s="46" t="s">
        <v>572</v>
      </c>
      <c r="B793" s="28" t="s">
        <v>1338</v>
      </c>
      <c r="C793" s="28" t="s">
        <v>944</v>
      </c>
      <c r="D793" s="28" t="s">
        <v>627</v>
      </c>
      <c r="E793" s="28" t="s">
        <v>61</v>
      </c>
      <c r="F793" s="28" t="s">
        <v>62</v>
      </c>
      <c r="G793" s="28" t="s">
        <v>62</v>
      </c>
      <c r="H793" s="28" t="s">
        <v>124</v>
      </c>
      <c r="I793" s="28" t="str">
        <f>VLOOKUP(F793,표준용어사전!$B:$D,3,FALSE)</f>
        <v>학명V256</v>
      </c>
      <c r="J793" s="28" t="s">
        <v>718</v>
      </c>
      <c r="K793" s="27">
        <v>256</v>
      </c>
      <c r="L793" s="29" t="s">
        <v>927</v>
      </c>
      <c r="M793" s="29" t="s">
        <v>730</v>
      </c>
      <c r="N793" s="29" t="s">
        <v>572</v>
      </c>
      <c r="O793" s="28"/>
      <c r="P793" s="28"/>
      <c r="Q793" s="28" t="s">
        <v>76</v>
      </c>
      <c r="R793" s="29"/>
      <c r="S793" s="28"/>
      <c r="T793" s="28"/>
      <c r="U793" s="28" t="s">
        <v>75</v>
      </c>
      <c r="V793" s="28" t="s">
        <v>75</v>
      </c>
      <c r="W793" s="28"/>
    </row>
    <row r="794" spans="1:23" s="12" customFormat="1" hidden="1">
      <c r="A794" s="46" t="s">
        <v>572</v>
      </c>
      <c r="B794" s="28" t="s">
        <v>1338</v>
      </c>
      <c r="C794" s="28" t="s">
        <v>944</v>
      </c>
      <c r="D794" s="28" t="s">
        <v>627</v>
      </c>
      <c r="E794" s="28" t="s">
        <v>90</v>
      </c>
      <c r="F794" s="28" t="s">
        <v>14</v>
      </c>
      <c r="G794" s="28" t="s">
        <v>14</v>
      </c>
      <c r="H794" s="28" t="s">
        <v>124</v>
      </c>
      <c r="I794" s="28" t="str">
        <f>VLOOKUP(F794,표준용어사전!$B:$D,3,FALSE)</f>
        <v>연월일시분초TS</v>
      </c>
      <c r="J794" s="28" t="s">
        <v>719</v>
      </c>
      <c r="K794" s="24" t="s">
        <v>927</v>
      </c>
      <c r="L794" s="29" t="s">
        <v>927</v>
      </c>
      <c r="M794" s="29" t="s">
        <v>726</v>
      </c>
      <c r="N794" s="29" t="s">
        <v>572</v>
      </c>
      <c r="O794" s="28"/>
      <c r="P794" s="28"/>
      <c r="Q794" s="28" t="s">
        <v>76</v>
      </c>
      <c r="R794" s="29"/>
      <c r="S794" s="28"/>
      <c r="T794" s="28"/>
      <c r="U794" s="28" t="s">
        <v>75</v>
      </c>
      <c r="V794" s="28" t="s">
        <v>75</v>
      </c>
      <c r="W794" s="28"/>
    </row>
    <row r="795" spans="1:23" s="12" customFormat="1" hidden="1">
      <c r="A795" s="46" t="s">
        <v>572</v>
      </c>
      <c r="B795" s="28" t="s">
        <v>1338</v>
      </c>
      <c r="C795" s="28" t="s">
        <v>944</v>
      </c>
      <c r="D795" s="28" t="s">
        <v>627</v>
      </c>
      <c r="E795" s="28" t="s">
        <v>91</v>
      </c>
      <c r="F795" s="28" t="s">
        <v>369</v>
      </c>
      <c r="G795" s="28" t="s">
        <v>369</v>
      </c>
      <c r="H795" s="28" t="s">
        <v>124</v>
      </c>
      <c r="I795" s="28" t="str">
        <f>VLOOKUP(F795,표준용어사전!$B:$D,3,FALSE)</f>
        <v>명V20</v>
      </c>
      <c r="J795" s="28" t="s">
        <v>718</v>
      </c>
      <c r="K795" s="27">
        <v>20</v>
      </c>
      <c r="L795" s="29" t="s">
        <v>927</v>
      </c>
      <c r="M795" s="29" t="s">
        <v>727</v>
      </c>
      <c r="N795" s="29" t="s">
        <v>572</v>
      </c>
      <c r="O795" s="28"/>
      <c r="P795" s="28"/>
      <c r="Q795" s="28" t="s">
        <v>76</v>
      </c>
      <c r="R795" s="29"/>
      <c r="S795" s="28"/>
      <c r="T795" s="28"/>
      <c r="U795" s="28" t="s">
        <v>75</v>
      </c>
      <c r="V795" s="28" t="s">
        <v>75</v>
      </c>
      <c r="W795" s="28"/>
    </row>
    <row r="796" spans="1:23" s="12" customFormat="1" hidden="1">
      <c r="A796" s="46" t="s">
        <v>572</v>
      </c>
      <c r="B796" s="28" t="s">
        <v>1338</v>
      </c>
      <c r="C796" s="28" t="s">
        <v>944</v>
      </c>
      <c r="D796" s="28" t="s">
        <v>627</v>
      </c>
      <c r="E796" s="28" t="s">
        <v>92</v>
      </c>
      <c r="F796" s="28" t="s">
        <v>15</v>
      </c>
      <c r="G796" s="28" t="s">
        <v>15</v>
      </c>
      <c r="H796" s="28" t="s">
        <v>124</v>
      </c>
      <c r="I796" s="28" t="str">
        <f>VLOOKUP(F796,표준용어사전!$B:$D,3,FALSE)</f>
        <v>연월일시분초TS</v>
      </c>
      <c r="J796" s="28" t="s">
        <v>719</v>
      </c>
      <c r="K796" s="27" t="s">
        <v>927</v>
      </c>
      <c r="L796" s="29" t="s">
        <v>927</v>
      </c>
      <c r="M796" s="29" t="s">
        <v>726</v>
      </c>
      <c r="N796" s="29" t="s">
        <v>572</v>
      </c>
      <c r="O796" s="28"/>
      <c r="P796" s="28"/>
      <c r="Q796" s="28" t="s">
        <v>76</v>
      </c>
      <c r="R796" s="29"/>
      <c r="S796" s="28"/>
      <c r="T796" s="28"/>
      <c r="U796" s="28" t="s">
        <v>75</v>
      </c>
      <c r="V796" s="28" t="s">
        <v>75</v>
      </c>
      <c r="W796" s="28"/>
    </row>
    <row r="797" spans="1:23" s="12" customFormat="1" hidden="1">
      <c r="A797" s="46" t="s">
        <v>572</v>
      </c>
      <c r="B797" s="28" t="s">
        <v>1338</v>
      </c>
      <c r="C797" s="28" t="s">
        <v>944</v>
      </c>
      <c r="D797" s="28" t="s">
        <v>627</v>
      </c>
      <c r="E797" s="28" t="s">
        <v>93</v>
      </c>
      <c r="F797" s="28" t="s">
        <v>370</v>
      </c>
      <c r="G797" s="28" t="s">
        <v>370</v>
      </c>
      <c r="H797" s="28" t="s">
        <v>124</v>
      </c>
      <c r="I797" s="28" t="str">
        <f>VLOOKUP(F797,표준용어사전!$B:$D,3,FALSE)</f>
        <v>명V20</v>
      </c>
      <c r="J797" s="28" t="s">
        <v>718</v>
      </c>
      <c r="K797" s="27">
        <v>20</v>
      </c>
      <c r="L797" s="29" t="s">
        <v>927</v>
      </c>
      <c r="M797" s="29" t="s">
        <v>727</v>
      </c>
      <c r="N797" s="29" t="s">
        <v>572</v>
      </c>
      <c r="O797" s="28"/>
      <c r="P797" s="28"/>
      <c r="Q797" s="28" t="s">
        <v>76</v>
      </c>
      <c r="R797" s="29"/>
      <c r="S797" s="28"/>
      <c r="T797" s="28"/>
      <c r="U797" s="28" t="s">
        <v>75</v>
      </c>
      <c r="V797" s="28" t="s">
        <v>75</v>
      </c>
      <c r="W797" s="28"/>
    </row>
    <row r="798" spans="1:23" s="12" customFormat="1" hidden="1">
      <c r="A798" s="46" t="s">
        <v>572</v>
      </c>
      <c r="B798" s="28" t="s">
        <v>1338</v>
      </c>
      <c r="C798" s="28" t="s">
        <v>944</v>
      </c>
      <c r="D798" s="28" t="s">
        <v>628</v>
      </c>
      <c r="E798" s="28" t="s">
        <v>1431</v>
      </c>
      <c r="F798" s="28" t="s">
        <v>1626</v>
      </c>
      <c r="G798" s="28" t="s">
        <v>1626</v>
      </c>
      <c r="H798" s="28" t="s">
        <v>126</v>
      </c>
      <c r="I798" s="28" t="e">
        <f>VLOOKUP(F798,표준용어사전!$B:$D,3,FALSE)</f>
        <v>#N/A</v>
      </c>
      <c r="J798" s="28" t="s">
        <v>1349</v>
      </c>
      <c r="K798" s="27" t="s">
        <v>927</v>
      </c>
      <c r="L798" s="29" t="s">
        <v>927</v>
      </c>
      <c r="M798" s="29" t="s">
        <v>1353</v>
      </c>
      <c r="N798" s="29" t="s">
        <v>572</v>
      </c>
      <c r="O798" s="28"/>
      <c r="P798" s="28"/>
      <c r="Q798" s="28" t="s">
        <v>76</v>
      </c>
      <c r="R798" s="29"/>
      <c r="S798" s="28"/>
      <c r="T798" s="28"/>
      <c r="U798" s="28" t="s">
        <v>75</v>
      </c>
      <c r="V798" s="28" t="s">
        <v>75</v>
      </c>
      <c r="W798" s="28"/>
    </row>
    <row r="799" spans="1:23" s="12" customFormat="1" hidden="1">
      <c r="A799" s="46" t="s">
        <v>572</v>
      </c>
      <c r="B799" s="28" t="s">
        <v>1338</v>
      </c>
      <c r="C799" s="28" t="s">
        <v>944</v>
      </c>
      <c r="D799" s="28" t="s">
        <v>628</v>
      </c>
      <c r="E799" s="28" t="s">
        <v>889</v>
      </c>
      <c r="F799" s="28" t="s">
        <v>815</v>
      </c>
      <c r="G799" s="28" t="s">
        <v>815</v>
      </c>
      <c r="H799" s="28" t="s">
        <v>126</v>
      </c>
      <c r="I799" s="28" t="str">
        <f>VLOOKUP(F799,표준용어사전!$B:$D,3,FALSE)</f>
        <v>번호I</v>
      </c>
      <c r="J799" s="28" t="s">
        <v>717</v>
      </c>
      <c r="K799" s="27" t="s">
        <v>927</v>
      </c>
      <c r="L799" s="29" t="s">
        <v>927</v>
      </c>
      <c r="M799" s="29"/>
      <c r="N799" s="29" t="s">
        <v>572</v>
      </c>
      <c r="O799" s="28"/>
      <c r="P799" s="28"/>
      <c r="Q799" s="28" t="s">
        <v>76</v>
      </c>
      <c r="R799" s="29"/>
      <c r="S799" s="28"/>
      <c r="T799" s="28"/>
      <c r="U799" s="28" t="s">
        <v>75</v>
      </c>
      <c r="V799" s="28" t="s">
        <v>75</v>
      </c>
      <c r="W799" s="28"/>
    </row>
    <row r="800" spans="1:23" s="12" customFormat="1" hidden="1">
      <c r="A800" s="46" t="s">
        <v>572</v>
      </c>
      <c r="B800" s="28" t="s">
        <v>1338</v>
      </c>
      <c r="C800" s="28" t="s">
        <v>944</v>
      </c>
      <c r="D800" s="28" t="s">
        <v>628</v>
      </c>
      <c r="E800" s="28" t="s">
        <v>89</v>
      </c>
      <c r="F800" s="28" t="s">
        <v>501</v>
      </c>
      <c r="G800" s="28" t="s">
        <v>501</v>
      </c>
      <c r="H800" s="28" t="s">
        <v>126</v>
      </c>
      <c r="I800" s="28" t="str">
        <f>VLOOKUP(F800,표준용어사전!$B:$D,3,FALSE)</f>
        <v>명V20</v>
      </c>
      <c r="J800" s="28" t="s">
        <v>718</v>
      </c>
      <c r="K800" s="27">
        <v>50</v>
      </c>
      <c r="L800" s="29" t="s">
        <v>927</v>
      </c>
      <c r="M800" s="29" t="s">
        <v>720</v>
      </c>
      <c r="N800" s="29" t="s">
        <v>572</v>
      </c>
      <c r="O800" s="28"/>
      <c r="P800" s="28"/>
      <c r="Q800" s="28" t="s">
        <v>76</v>
      </c>
      <c r="R800" s="29"/>
      <c r="S800" s="28"/>
      <c r="T800" s="28"/>
      <c r="U800" s="28" t="s">
        <v>75</v>
      </c>
      <c r="V800" s="28" t="s">
        <v>75</v>
      </c>
      <c r="W800" s="28"/>
    </row>
    <row r="801" spans="1:23" s="12" customFormat="1" hidden="1">
      <c r="A801" s="46" t="s">
        <v>572</v>
      </c>
      <c r="B801" s="28" t="s">
        <v>1338</v>
      </c>
      <c r="C801" s="28" t="s">
        <v>944</v>
      </c>
      <c r="D801" s="28" t="s">
        <v>628</v>
      </c>
      <c r="E801" s="28" t="s">
        <v>125</v>
      </c>
      <c r="F801" s="28" t="s">
        <v>393</v>
      </c>
      <c r="G801" s="28" t="s">
        <v>393</v>
      </c>
      <c r="H801" s="28" t="s">
        <v>126</v>
      </c>
      <c r="I801" s="28" t="str">
        <f>VLOOKUP(F801,표준용어사전!$B:$D,3,FALSE)</f>
        <v>코드V50</v>
      </c>
      <c r="J801" s="28" t="s">
        <v>709</v>
      </c>
      <c r="K801" s="27">
        <v>50</v>
      </c>
      <c r="L801" s="29" t="s">
        <v>927</v>
      </c>
      <c r="M801" s="29" t="s">
        <v>725</v>
      </c>
      <c r="N801" s="29" t="s">
        <v>572</v>
      </c>
      <c r="O801" s="28"/>
      <c r="P801" s="28"/>
      <c r="Q801" s="28" t="s">
        <v>76</v>
      </c>
      <c r="R801" s="29"/>
      <c r="S801" s="28"/>
      <c r="T801" s="28"/>
      <c r="U801" s="28" t="s">
        <v>75</v>
      </c>
      <c r="V801" s="28" t="s">
        <v>75</v>
      </c>
      <c r="W801" s="28"/>
    </row>
    <row r="802" spans="1:23" s="12" customFormat="1" hidden="1">
      <c r="A802" s="46" t="s">
        <v>572</v>
      </c>
      <c r="B802" s="28" t="s">
        <v>1338</v>
      </c>
      <c r="C802" s="28" t="s">
        <v>944</v>
      </c>
      <c r="D802" s="28" t="s">
        <v>628</v>
      </c>
      <c r="E802" s="28" t="s">
        <v>127</v>
      </c>
      <c r="F802" s="28" t="s">
        <v>394</v>
      </c>
      <c r="G802" s="28" t="s">
        <v>394</v>
      </c>
      <c r="H802" s="28" t="s">
        <v>126</v>
      </c>
      <c r="I802" s="28" t="str">
        <f>VLOOKUP(F802,표준용어사전!$B:$D,3,FALSE)</f>
        <v>명V512</v>
      </c>
      <c r="J802" s="28" t="s">
        <v>718</v>
      </c>
      <c r="K802" s="27">
        <v>512</v>
      </c>
      <c r="L802" s="29" t="s">
        <v>927</v>
      </c>
      <c r="M802" s="29" t="s">
        <v>730</v>
      </c>
      <c r="N802" s="29" t="s">
        <v>572</v>
      </c>
      <c r="O802" s="28"/>
      <c r="P802" s="28"/>
      <c r="Q802" s="28" t="s">
        <v>76</v>
      </c>
      <c r="R802" s="29"/>
      <c r="S802" s="28"/>
      <c r="T802" s="28"/>
      <c r="U802" s="28" t="s">
        <v>75</v>
      </c>
      <c r="V802" s="28" t="s">
        <v>75</v>
      </c>
      <c r="W802" s="28"/>
    </row>
    <row r="803" spans="1:23" s="12" customFormat="1" hidden="1">
      <c r="A803" s="46" t="s">
        <v>572</v>
      </c>
      <c r="B803" s="28" t="s">
        <v>1338</v>
      </c>
      <c r="C803" s="28" t="s">
        <v>944</v>
      </c>
      <c r="D803" s="28" t="s">
        <v>628</v>
      </c>
      <c r="E803" s="28" t="s">
        <v>90</v>
      </c>
      <c r="F803" s="28" t="s">
        <v>14</v>
      </c>
      <c r="G803" s="28" t="s">
        <v>14</v>
      </c>
      <c r="H803" s="28" t="s">
        <v>126</v>
      </c>
      <c r="I803" s="28" t="str">
        <f>VLOOKUP(F803,표준용어사전!$B:$D,3,FALSE)</f>
        <v>연월일시분초TS</v>
      </c>
      <c r="J803" s="28" t="s">
        <v>719</v>
      </c>
      <c r="K803" s="27" t="s">
        <v>927</v>
      </c>
      <c r="L803" s="29" t="s">
        <v>927</v>
      </c>
      <c r="M803" s="29" t="s">
        <v>726</v>
      </c>
      <c r="N803" s="29" t="s">
        <v>572</v>
      </c>
      <c r="O803" s="28"/>
      <c r="P803" s="28"/>
      <c r="Q803" s="28" t="s">
        <v>76</v>
      </c>
      <c r="R803" s="29"/>
      <c r="S803" s="28"/>
      <c r="T803" s="28"/>
      <c r="U803" s="28" t="s">
        <v>75</v>
      </c>
      <c r="V803" s="28" t="s">
        <v>75</v>
      </c>
      <c r="W803" s="28"/>
    </row>
    <row r="804" spans="1:23" s="12" customFormat="1" hidden="1">
      <c r="A804" s="46" t="s">
        <v>572</v>
      </c>
      <c r="B804" s="28" t="s">
        <v>1338</v>
      </c>
      <c r="C804" s="28" t="s">
        <v>944</v>
      </c>
      <c r="D804" s="28" t="s">
        <v>628</v>
      </c>
      <c r="E804" s="28" t="s">
        <v>91</v>
      </c>
      <c r="F804" s="28" t="s">
        <v>369</v>
      </c>
      <c r="G804" s="28" t="s">
        <v>369</v>
      </c>
      <c r="H804" s="28" t="s">
        <v>126</v>
      </c>
      <c r="I804" s="28" t="str">
        <f>VLOOKUP(F804,표준용어사전!$B:$D,3,FALSE)</f>
        <v>명V20</v>
      </c>
      <c r="J804" s="28" t="s">
        <v>718</v>
      </c>
      <c r="K804" s="27">
        <v>20</v>
      </c>
      <c r="L804" s="29" t="s">
        <v>927</v>
      </c>
      <c r="M804" s="29" t="s">
        <v>727</v>
      </c>
      <c r="N804" s="29" t="s">
        <v>572</v>
      </c>
      <c r="O804" s="28"/>
      <c r="P804" s="28"/>
      <c r="Q804" s="28" t="s">
        <v>76</v>
      </c>
      <c r="R804" s="29"/>
      <c r="S804" s="28"/>
      <c r="T804" s="28"/>
      <c r="U804" s="28" t="s">
        <v>75</v>
      </c>
      <c r="V804" s="28" t="s">
        <v>75</v>
      </c>
      <c r="W804" s="28"/>
    </row>
    <row r="805" spans="1:23" s="12" customFormat="1" hidden="1">
      <c r="A805" s="46" t="s">
        <v>572</v>
      </c>
      <c r="B805" s="28" t="s">
        <v>1338</v>
      </c>
      <c r="C805" s="28" t="s">
        <v>944</v>
      </c>
      <c r="D805" s="28" t="s">
        <v>628</v>
      </c>
      <c r="E805" s="28" t="s">
        <v>92</v>
      </c>
      <c r="F805" s="28" t="s">
        <v>15</v>
      </c>
      <c r="G805" s="28" t="s">
        <v>15</v>
      </c>
      <c r="H805" s="28" t="s">
        <v>126</v>
      </c>
      <c r="I805" s="28" t="str">
        <f>VLOOKUP(F805,표준용어사전!$B:$D,3,FALSE)</f>
        <v>연월일시분초TS</v>
      </c>
      <c r="J805" s="28" t="s">
        <v>719</v>
      </c>
      <c r="K805" s="27" t="s">
        <v>927</v>
      </c>
      <c r="L805" s="29" t="s">
        <v>927</v>
      </c>
      <c r="M805" s="29" t="s">
        <v>726</v>
      </c>
      <c r="N805" s="29" t="s">
        <v>572</v>
      </c>
      <c r="O805" s="28"/>
      <c r="P805" s="28"/>
      <c r="Q805" s="28" t="s">
        <v>76</v>
      </c>
      <c r="R805" s="29"/>
      <c r="S805" s="28"/>
      <c r="T805" s="28"/>
      <c r="U805" s="28" t="s">
        <v>75</v>
      </c>
      <c r="V805" s="28" t="s">
        <v>75</v>
      </c>
      <c r="W805" s="28"/>
    </row>
    <row r="806" spans="1:23" s="12" customFormat="1" hidden="1">
      <c r="A806" s="46" t="s">
        <v>572</v>
      </c>
      <c r="B806" s="28" t="s">
        <v>1338</v>
      </c>
      <c r="C806" s="28" t="s">
        <v>944</v>
      </c>
      <c r="D806" s="28" t="s">
        <v>628</v>
      </c>
      <c r="E806" s="28" t="s">
        <v>93</v>
      </c>
      <c r="F806" s="28" t="s">
        <v>370</v>
      </c>
      <c r="G806" s="28" t="s">
        <v>370</v>
      </c>
      <c r="H806" s="28" t="s">
        <v>126</v>
      </c>
      <c r="I806" s="28" t="str">
        <f>VLOOKUP(F806,표준용어사전!$B:$D,3,FALSE)</f>
        <v>명V20</v>
      </c>
      <c r="J806" s="28" t="s">
        <v>718</v>
      </c>
      <c r="K806" s="27">
        <v>20</v>
      </c>
      <c r="L806" s="29" t="s">
        <v>927</v>
      </c>
      <c r="M806" s="29" t="s">
        <v>727</v>
      </c>
      <c r="N806" s="29" t="s">
        <v>572</v>
      </c>
      <c r="O806" s="28"/>
      <c r="P806" s="28"/>
      <c r="Q806" s="28" t="s">
        <v>76</v>
      </c>
      <c r="R806" s="29"/>
      <c r="S806" s="28"/>
      <c r="T806" s="28"/>
      <c r="U806" s="28" t="s">
        <v>75</v>
      </c>
      <c r="V806" s="28" t="s">
        <v>75</v>
      </c>
      <c r="W806" s="28"/>
    </row>
    <row r="807" spans="1:23" s="12" customFormat="1" hidden="1">
      <c r="A807" s="46" t="s">
        <v>572</v>
      </c>
      <c r="B807" s="28" t="s">
        <v>1338</v>
      </c>
      <c r="C807" s="28" t="s">
        <v>944</v>
      </c>
      <c r="D807" s="28" t="s">
        <v>683</v>
      </c>
      <c r="E807" s="28" t="s">
        <v>136</v>
      </c>
      <c r="F807" s="28" t="s">
        <v>402</v>
      </c>
      <c r="G807" s="28" t="s">
        <v>402</v>
      </c>
      <c r="H807" s="28" t="s">
        <v>706</v>
      </c>
      <c r="I807" s="28" t="str">
        <f>VLOOKUP(F807,표준용어사전!$B:$D,3,FALSE)</f>
        <v>번호I</v>
      </c>
      <c r="J807" s="28" t="s">
        <v>717</v>
      </c>
      <c r="K807" s="27" t="s">
        <v>927</v>
      </c>
      <c r="L807" s="29" t="s">
        <v>927</v>
      </c>
      <c r="M807" s="29"/>
      <c r="N807" s="29" t="s">
        <v>572</v>
      </c>
      <c r="O807" s="28"/>
      <c r="P807" s="28"/>
      <c r="Q807" s="28" t="s">
        <v>76</v>
      </c>
      <c r="R807" s="29"/>
      <c r="S807" s="28"/>
      <c r="T807" s="28"/>
      <c r="U807" s="28" t="s">
        <v>75</v>
      </c>
      <c r="V807" s="28" t="s">
        <v>75</v>
      </c>
      <c r="W807" s="28"/>
    </row>
    <row r="808" spans="1:23" s="12" customFormat="1" hidden="1">
      <c r="A808" s="46" t="s">
        <v>572</v>
      </c>
      <c r="B808" s="28" t="s">
        <v>1338</v>
      </c>
      <c r="C808" s="28" t="s">
        <v>944</v>
      </c>
      <c r="D808" s="28" t="s">
        <v>683</v>
      </c>
      <c r="E808" s="28" t="s">
        <v>89</v>
      </c>
      <c r="F808" s="28" t="s">
        <v>760</v>
      </c>
      <c r="G808" s="28" t="s">
        <v>760</v>
      </c>
      <c r="H808" s="28" t="s">
        <v>706</v>
      </c>
      <c r="I808" s="28" t="str">
        <f>VLOOKUP(F808,표준용어사전!$B:$D,3,FALSE)</f>
        <v>명V20</v>
      </c>
      <c r="J808" s="28" t="s">
        <v>718</v>
      </c>
      <c r="K808" s="27">
        <v>50</v>
      </c>
      <c r="L808" s="29" t="s">
        <v>927</v>
      </c>
      <c r="M808" s="29" t="s">
        <v>720</v>
      </c>
      <c r="N808" s="29" t="s">
        <v>572</v>
      </c>
      <c r="O808" s="28"/>
      <c r="P808" s="28"/>
      <c r="Q808" s="28" t="s">
        <v>76</v>
      </c>
      <c r="R808" s="29"/>
      <c r="S808" s="28"/>
      <c r="T808" s="28"/>
      <c r="U808" s="28" t="s">
        <v>75</v>
      </c>
      <c r="V808" s="28" t="s">
        <v>75</v>
      </c>
      <c r="W808" s="28"/>
    </row>
    <row r="809" spans="1:23" s="12" customFormat="1" hidden="1">
      <c r="A809" s="46" t="s">
        <v>572</v>
      </c>
      <c r="B809" s="28" t="s">
        <v>1338</v>
      </c>
      <c r="C809" s="28" t="s">
        <v>944</v>
      </c>
      <c r="D809" s="28" t="s">
        <v>683</v>
      </c>
      <c r="E809" s="28" t="s">
        <v>137</v>
      </c>
      <c r="F809" s="28" t="s">
        <v>1613</v>
      </c>
      <c r="G809" s="28" t="s">
        <v>1613</v>
      </c>
      <c r="H809" s="28" t="s">
        <v>706</v>
      </c>
      <c r="I809" s="28" t="str">
        <f>VLOOKUP(F809,표준용어사전!$B:$D,3,FALSE)</f>
        <v>명V50</v>
      </c>
      <c r="J809" s="28" t="s">
        <v>718</v>
      </c>
      <c r="K809" s="24">
        <v>50</v>
      </c>
      <c r="L809" s="29" t="s">
        <v>927</v>
      </c>
      <c r="M809" s="29" t="s">
        <v>720</v>
      </c>
      <c r="N809" s="29" t="s">
        <v>572</v>
      </c>
      <c r="O809" s="28"/>
      <c r="P809" s="28"/>
      <c r="Q809" s="28" t="s">
        <v>76</v>
      </c>
      <c r="R809" s="29"/>
      <c r="S809" s="28"/>
      <c r="T809" s="28"/>
      <c r="U809" s="28" t="s">
        <v>75</v>
      </c>
      <c r="V809" s="28" t="s">
        <v>75</v>
      </c>
      <c r="W809" s="28"/>
    </row>
    <row r="810" spans="1:23" s="12" customFormat="1" hidden="1">
      <c r="A810" s="46" t="s">
        <v>572</v>
      </c>
      <c r="B810" s="28" t="s">
        <v>1338</v>
      </c>
      <c r="C810" s="28" t="s">
        <v>944</v>
      </c>
      <c r="D810" s="28" t="s">
        <v>683</v>
      </c>
      <c r="E810" s="28" t="s">
        <v>138</v>
      </c>
      <c r="F810" s="28" t="s">
        <v>403</v>
      </c>
      <c r="G810" s="28" t="s">
        <v>403</v>
      </c>
      <c r="H810" s="28" t="s">
        <v>706</v>
      </c>
      <c r="I810" s="28" t="e">
        <f>VLOOKUP(F810,표준용어사전!$B:$D,3,FALSE)</f>
        <v>#N/A</v>
      </c>
      <c r="J810" s="28" t="s">
        <v>718</v>
      </c>
      <c r="K810" s="27">
        <v>15</v>
      </c>
      <c r="L810" s="29" t="s">
        <v>927</v>
      </c>
      <c r="M810" s="29" t="s">
        <v>769</v>
      </c>
      <c r="N810" s="29" t="s">
        <v>572</v>
      </c>
      <c r="O810" s="28"/>
      <c r="P810" s="28"/>
      <c r="Q810" s="28" t="s">
        <v>76</v>
      </c>
      <c r="R810" s="29"/>
      <c r="S810" s="28"/>
      <c r="T810" s="28"/>
      <c r="U810" s="28" t="s">
        <v>75</v>
      </c>
      <c r="V810" s="28" t="s">
        <v>75</v>
      </c>
      <c r="W810" s="28"/>
    </row>
    <row r="811" spans="1:23" s="12" customFormat="1" hidden="1">
      <c r="A811" s="46" t="s">
        <v>572</v>
      </c>
      <c r="B811" s="28" t="s">
        <v>1338</v>
      </c>
      <c r="C811" s="28" t="s">
        <v>944</v>
      </c>
      <c r="D811" s="28" t="s">
        <v>683</v>
      </c>
      <c r="E811" s="28" t="s">
        <v>139</v>
      </c>
      <c r="F811" s="28" t="s">
        <v>404</v>
      </c>
      <c r="G811" s="28" t="s">
        <v>404</v>
      </c>
      <c r="H811" s="28" t="s">
        <v>706</v>
      </c>
      <c r="I811" s="28" t="str">
        <f>VLOOKUP(F811,표준용어사전!$B:$D,3,FALSE)</f>
        <v>명V512</v>
      </c>
      <c r="J811" s="28" t="s">
        <v>718</v>
      </c>
      <c r="K811" s="27">
        <v>512</v>
      </c>
      <c r="L811" s="29" t="s">
        <v>927</v>
      </c>
      <c r="M811" s="29" t="s">
        <v>721</v>
      </c>
      <c r="N811" s="29" t="s">
        <v>572</v>
      </c>
      <c r="O811" s="28"/>
      <c r="P811" s="28"/>
      <c r="Q811" s="28" t="s">
        <v>76</v>
      </c>
      <c r="R811" s="29"/>
      <c r="S811" s="28"/>
      <c r="T811" s="28"/>
      <c r="U811" s="28" t="s">
        <v>75</v>
      </c>
      <c r="V811" s="28" t="s">
        <v>75</v>
      </c>
      <c r="W811" s="28"/>
    </row>
    <row r="812" spans="1:23" s="12" customFormat="1" hidden="1">
      <c r="A812" s="46" t="s">
        <v>572</v>
      </c>
      <c r="B812" s="28" t="s">
        <v>1338</v>
      </c>
      <c r="C812" s="28" t="s">
        <v>944</v>
      </c>
      <c r="D812" s="28" t="s">
        <v>683</v>
      </c>
      <c r="E812" s="28" t="s">
        <v>140</v>
      </c>
      <c r="F812" s="28" t="s">
        <v>956</v>
      </c>
      <c r="G812" s="28" t="s">
        <v>956</v>
      </c>
      <c r="H812" s="28" t="s">
        <v>706</v>
      </c>
      <c r="I812" s="28" t="e">
        <f>VLOOKUP(F812,표준용어사전!$B:$D,3,FALSE)</f>
        <v>#N/A</v>
      </c>
      <c r="J812" s="28" t="s">
        <v>718</v>
      </c>
      <c r="K812" s="27">
        <v>2000</v>
      </c>
      <c r="L812" s="29" t="s">
        <v>927</v>
      </c>
      <c r="M812" s="29" t="s">
        <v>728</v>
      </c>
      <c r="N812" s="29" t="s">
        <v>572</v>
      </c>
      <c r="O812" s="28"/>
      <c r="P812" s="28"/>
      <c r="Q812" s="28" t="s">
        <v>76</v>
      </c>
      <c r="R812" s="29"/>
      <c r="S812" s="28"/>
      <c r="T812" s="28"/>
      <c r="U812" s="28" t="s">
        <v>75</v>
      </c>
      <c r="V812" s="28" t="s">
        <v>75</v>
      </c>
      <c r="W812" s="28"/>
    </row>
    <row r="813" spans="1:23" s="12" customFormat="1" hidden="1">
      <c r="A813" s="46" t="s">
        <v>572</v>
      </c>
      <c r="B813" s="28" t="s">
        <v>1338</v>
      </c>
      <c r="C813" s="28" t="s">
        <v>944</v>
      </c>
      <c r="D813" s="28" t="s">
        <v>683</v>
      </c>
      <c r="E813" s="28" t="s">
        <v>853</v>
      </c>
      <c r="F813" s="28" t="s">
        <v>767</v>
      </c>
      <c r="G813" s="28" t="s">
        <v>767</v>
      </c>
      <c r="H813" s="28" t="s">
        <v>706</v>
      </c>
      <c r="I813" s="28" t="str">
        <f>VLOOKUP(F813,표준용어사전!$B:$D,3,FALSE)</f>
        <v>명V256</v>
      </c>
      <c r="J813" s="28" t="s">
        <v>718</v>
      </c>
      <c r="K813" s="27">
        <v>256</v>
      </c>
      <c r="L813" s="29" t="s">
        <v>927</v>
      </c>
      <c r="M813" s="29" t="s">
        <v>730</v>
      </c>
      <c r="N813" s="29" t="s">
        <v>572</v>
      </c>
      <c r="O813" s="28"/>
      <c r="P813" s="28"/>
      <c r="Q813" s="28" t="s">
        <v>76</v>
      </c>
      <c r="R813" s="29"/>
      <c r="S813" s="28"/>
      <c r="T813" s="28"/>
      <c r="U813" s="28" t="s">
        <v>75</v>
      </c>
      <c r="V813" s="28" t="s">
        <v>75</v>
      </c>
      <c r="W813" s="28"/>
    </row>
    <row r="814" spans="1:23" s="12" customFormat="1" hidden="1">
      <c r="A814" s="46" t="s">
        <v>572</v>
      </c>
      <c r="B814" s="28" t="s">
        <v>1338</v>
      </c>
      <c r="C814" s="28" t="s">
        <v>944</v>
      </c>
      <c r="D814" s="28" t="s">
        <v>683</v>
      </c>
      <c r="E814" s="28" t="s">
        <v>854</v>
      </c>
      <c r="F814" s="28" t="s">
        <v>768</v>
      </c>
      <c r="G814" s="28" t="s">
        <v>768</v>
      </c>
      <c r="H814" s="28" t="s">
        <v>706</v>
      </c>
      <c r="I814" s="28" t="str">
        <f>VLOOKUP(F814,표준용어사전!$B:$D,3,FALSE)</f>
        <v>명V256</v>
      </c>
      <c r="J814" s="28" t="s">
        <v>718</v>
      </c>
      <c r="K814" s="27">
        <v>256</v>
      </c>
      <c r="L814" s="29" t="s">
        <v>927</v>
      </c>
      <c r="M814" s="29" t="s">
        <v>730</v>
      </c>
      <c r="N814" s="29" t="s">
        <v>572</v>
      </c>
      <c r="O814" s="28"/>
      <c r="P814" s="28"/>
      <c r="Q814" s="28" t="s">
        <v>76</v>
      </c>
      <c r="R814" s="29"/>
      <c r="S814" s="28"/>
      <c r="T814" s="28"/>
      <c r="U814" s="28" t="s">
        <v>75</v>
      </c>
      <c r="V814" s="28" t="s">
        <v>75</v>
      </c>
      <c r="W814" s="28"/>
    </row>
    <row r="815" spans="1:23" s="12" customFormat="1" hidden="1">
      <c r="A815" s="46" t="s">
        <v>572</v>
      </c>
      <c r="B815" s="28" t="s">
        <v>1338</v>
      </c>
      <c r="C815" s="28" t="s">
        <v>944</v>
      </c>
      <c r="D815" s="28" t="s">
        <v>683</v>
      </c>
      <c r="E815" s="28" t="s">
        <v>855</v>
      </c>
      <c r="F815" s="28" t="s">
        <v>1614</v>
      </c>
      <c r="G815" s="28" t="s">
        <v>1614</v>
      </c>
      <c r="H815" s="28" t="s">
        <v>706</v>
      </c>
      <c r="I815" s="28" t="e">
        <f>VLOOKUP(F815,표준용어사전!$B:$D,3,FALSE)</f>
        <v>#N/A</v>
      </c>
      <c r="J815" s="28" t="s">
        <v>713</v>
      </c>
      <c r="K815" s="41" t="s">
        <v>927</v>
      </c>
      <c r="L815" s="29" t="s">
        <v>927</v>
      </c>
      <c r="M815" s="29"/>
      <c r="N815" s="29" t="s">
        <v>572</v>
      </c>
      <c r="O815" s="28"/>
      <c r="P815" s="28"/>
      <c r="Q815" s="28" t="s">
        <v>76</v>
      </c>
      <c r="R815" s="29"/>
      <c r="S815" s="28"/>
      <c r="T815" s="28"/>
      <c r="U815" s="28" t="s">
        <v>75</v>
      </c>
      <c r="V815" s="28" t="s">
        <v>75</v>
      </c>
      <c r="W815" s="28"/>
    </row>
    <row r="816" spans="1:23" s="12" customFormat="1" hidden="1">
      <c r="A816" s="46" t="s">
        <v>572</v>
      </c>
      <c r="B816" s="28" t="s">
        <v>1338</v>
      </c>
      <c r="C816" s="28" t="s">
        <v>944</v>
      </c>
      <c r="D816" s="28" t="s">
        <v>683</v>
      </c>
      <c r="E816" s="28" t="s">
        <v>141</v>
      </c>
      <c r="F816" s="28" t="s">
        <v>957</v>
      </c>
      <c r="G816" s="28" t="s">
        <v>957</v>
      </c>
      <c r="H816" s="28" t="s">
        <v>706</v>
      </c>
      <c r="I816" s="28" t="e">
        <f>VLOOKUP(F816,표준용어사전!$B:$D,3,FALSE)</f>
        <v>#N/A</v>
      </c>
      <c r="J816" s="28" t="s">
        <v>718</v>
      </c>
      <c r="K816" s="27">
        <v>2000</v>
      </c>
      <c r="L816" s="29" t="s">
        <v>927</v>
      </c>
      <c r="M816" s="29" t="s">
        <v>728</v>
      </c>
      <c r="N816" s="29" t="s">
        <v>572</v>
      </c>
      <c r="O816" s="28"/>
      <c r="P816" s="28"/>
      <c r="Q816" s="28" t="s">
        <v>76</v>
      </c>
      <c r="R816" s="29"/>
      <c r="S816" s="28"/>
      <c r="T816" s="28"/>
      <c r="U816" s="28" t="s">
        <v>75</v>
      </c>
      <c r="V816" s="28" t="s">
        <v>75</v>
      </c>
      <c r="W816" s="28"/>
    </row>
    <row r="817" spans="1:23" s="12" customFormat="1" hidden="1">
      <c r="A817" s="46" t="s">
        <v>572</v>
      </c>
      <c r="B817" s="28" t="s">
        <v>1338</v>
      </c>
      <c r="C817" s="28" t="s">
        <v>944</v>
      </c>
      <c r="D817" s="28" t="s">
        <v>683</v>
      </c>
      <c r="E817" s="28" t="s">
        <v>142</v>
      </c>
      <c r="F817" s="28" t="s">
        <v>1612</v>
      </c>
      <c r="G817" s="28" t="s">
        <v>1612</v>
      </c>
      <c r="H817" s="28" t="s">
        <v>706</v>
      </c>
      <c r="I817" s="28" t="e">
        <f>VLOOKUP(F817,표준용어사전!$B:$D,3,FALSE)</f>
        <v>#N/A</v>
      </c>
      <c r="J817" s="28" t="s">
        <v>718</v>
      </c>
      <c r="K817" s="27">
        <v>2000</v>
      </c>
      <c r="L817" s="29" t="s">
        <v>927</v>
      </c>
      <c r="M817" s="29" t="s">
        <v>728</v>
      </c>
      <c r="N817" s="29" t="s">
        <v>572</v>
      </c>
      <c r="O817" s="28"/>
      <c r="P817" s="28"/>
      <c r="Q817" s="28" t="s">
        <v>76</v>
      </c>
      <c r="R817" s="29"/>
      <c r="S817" s="28"/>
      <c r="T817" s="28"/>
      <c r="U817" s="28" t="s">
        <v>75</v>
      </c>
      <c r="V817" s="28" t="s">
        <v>75</v>
      </c>
      <c r="W817" s="28"/>
    </row>
    <row r="818" spans="1:23" s="12" customFormat="1" hidden="1">
      <c r="A818" s="46" t="s">
        <v>572</v>
      </c>
      <c r="B818" s="28" t="s">
        <v>1338</v>
      </c>
      <c r="C818" s="28" t="s">
        <v>944</v>
      </c>
      <c r="D818" s="28" t="s">
        <v>683</v>
      </c>
      <c r="E818" s="28" t="s">
        <v>143</v>
      </c>
      <c r="F818" s="28" t="s">
        <v>406</v>
      </c>
      <c r="G818" s="28" t="s">
        <v>406</v>
      </c>
      <c r="H818" s="28" t="s">
        <v>706</v>
      </c>
      <c r="I818" s="28" t="str">
        <f>VLOOKUP(F818,표준용어사전!$B:$D,3,FALSE)</f>
        <v>명V256</v>
      </c>
      <c r="J818" s="28" t="s">
        <v>718</v>
      </c>
      <c r="K818" s="27">
        <v>256</v>
      </c>
      <c r="L818" s="29" t="s">
        <v>927</v>
      </c>
      <c r="M818" s="29" t="s">
        <v>730</v>
      </c>
      <c r="N818" s="29" t="s">
        <v>572</v>
      </c>
      <c r="O818" s="28"/>
      <c r="P818" s="28"/>
      <c r="Q818" s="28" t="s">
        <v>76</v>
      </c>
      <c r="R818" s="29"/>
      <c r="S818" s="28"/>
      <c r="T818" s="28"/>
      <c r="U818" s="28" t="s">
        <v>75</v>
      </c>
      <c r="V818" s="28" t="s">
        <v>75</v>
      </c>
      <c r="W818" s="28"/>
    </row>
    <row r="819" spans="1:23" s="12" customFormat="1" hidden="1">
      <c r="A819" s="46" t="s">
        <v>572</v>
      </c>
      <c r="B819" s="28" t="s">
        <v>1338</v>
      </c>
      <c r="C819" s="28" t="s">
        <v>944</v>
      </c>
      <c r="D819" s="28" t="s">
        <v>683</v>
      </c>
      <c r="E819" s="28" t="s">
        <v>144</v>
      </c>
      <c r="F819" s="28" t="s">
        <v>407</v>
      </c>
      <c r="G819" s="28" t="s">
        <v>407</v>
      </c>
      <c r="H819" s="28" t="s">
        <v>706</v>
      </c>
      <c r="I819" s="28" t="e">
        <f>VLOOKUP(F819,표준용어사전!$B:$D,3,FALSE)</f>
        <v>#N/A</v>
      </c>
      <c r="J819" s="28" t="s">
        <v>718</v>
      </c>
      <c r="K819" s="27">
        <v>2000</v>
      </c>
      <c r="L819" s="29" t="s">
        <v>927</v>
      </c>
      <c r="M819" s="29" t="s">
        <v>728</v>
      </c>
      <c r="N819" s="29" t="s">
        <v>572</v>
      </c>
      <c r="O819" s="28"/>
      <c r="P819" s="28"/>
      <c r="Q819" s="28" t="s">
        <v>76</v>
      </c>
      <c r="R819" s="29"/>
      <c r="S819" s="28"/>
      <c r="T819" s="28"/>
      <c r="U819" s="28" t="s">
        <v>75</v>
      </c>
      <c r="V819" s="28" t="s">
        <v>75</v>
      </c>
      <c r="W819" s="28"/>
    </row>
    <row r="820" spans="1:23" s="12" customFormat="1" hidden="1">
      <c r="A820" s="46" t="s">
        <v>572</v>
      </c>
      <c r="B820" s="28" t="s">
        <v>1338</v>
      </c>
      <c r="C820" s="28" t="s">
        <v>944</v>
      </c>
      <c r="D820" s="28" t="s">
        <v>683</v>
      </c>
      <c r="E820" s="28" t="s">
        <v>183</v>
      </c>
      <c r="F820" s="28" t="s">
        <v>437</v>
      </c>
      <c r="G820" s="28" t="s">
        <v>437</v>
      </c>
      <c r="H820" s="28" t="s">
        <v>706</v>
      </c>
      <c r="I820" s="28" t="str">
        <f>VLOOKUP(F820,표준용어사전!$B:$D,3,FALSE)</f>
        <v>여부C1</v>
      </c>
      <c r="J820" s="28" t="s">
        <v>709</v>
      </c>
      <c r="K820" s="27">
        <v>1</v>
      </c>
      <c r="L820" s="29" t="s">
        <v>927</v>
      </c>
      <c r="M820" s="29" t="s">
        <v>722</v>
      </c>
      <c r="N820" s="29" t="s">
        <v>572</v>
      </c>
      <c r="O820" s="28"/>
      <c r="P820" s="28"/>
      <c r="Q820" s="28" t="s">
        <v>76</v>
      </c>
      <c r="R820" s="29"/>
      <c r="S820" s="28"/>
      <c r="T820" s="28" t="s">
        <v>576</v>
      </c>
      <c r="U820" s="28" t="s">
        <v>75</v>
      </c>
      <c r="V820" s="28" t="s">
        <v>75</v>
      </c>
      <c r="W820" s="28"/>
    </row>
    <row r="821" spans="1:23" s="12" customFormat="1" hidden="1">
      <c r="A821" s="46" t="s">
        <v>572</v>
      </c>
      <c r="B821" s="28" t="s">
        <v>1338</v>
      </c>
      <c r="C821" s="28" t="s">
        <v>944</v>
      </c>
      <c r="D821" s="28" t="s">
        <v>683</v>
      </c>
      <c r="E821" s="28" t="s">
        <v>90</v>
      </c>
      <c r="F821" s="28" t="s">
        <v>14</v>
      </c>
      <c r="G821" s="28" t="s">
        <v>14</v>
      </c>
      <c r="H821" s="28" t="s">
        <v>706</v>
      </c>
      <c r="I821" s="28" t="str">
        <f>VLOOKUP(F821,표준용어사전!$B:$D,3,FALSE)</f>
        <v>연월일시분초TS</v>
      </c>
      <c r="J821" s="28" t="s">
        <v>719</v>
      </c>
      <c r="K821" s="27" t="s">
        <v>927</v>
      </c>
      <c r="L821" s="29" t="s">
        <v>927</v>
      </c>
      <c r="M821" s="29" t="s">
        <v>726</v>
      </c>
      <c r="N821" s="29" t="s">
        <v>572</v>
      </c>
      <c r="O821" s="28"/>
      <c r="P821" s="28"/>
      <c r="Q821" s="28" t="s">
        <v>76</v>
      </c>
      <c r="R821" s="29"/>
      <c r="S821" s="28"/>
      <c r="T821" s="28"/>
      <c r="U821" s="28" t="s">
        <v>75</v>
      </c>
      <c r="V821" s="28" t="s">
        <v>75</v>
      </c>
      <c r="W821" s="28"/>
    </row>
    <row r="822" spans="1:23" s="12" customFormat="1" hidden="1">
      <c r="A822" s="46" t="s">
        <v>572</v>
      </c>
      <c r="B822" s="28" t="s">
        <v>1338</v>
      </c>
      <c r="C822" s="28" t="s">
        <v>944</v>
      </c>
      <c r="D822" s="28" t="s">
        <v>683</v>
      </c>
      <c r="E822" s="28" t="s">
        <v>91</v>
      </c>
      <c r="F822" s="28" t="s">
        <v>369</v>
      </c>
      <c r="G822" s="28" t="s">
        <v>369</v>
      </c>
      <c r="H822" s="28" t="s">
        <v>706</v>
      </c>
      <c r="I822" s="28" t="str">
        <f>VLOOKUP(F822,표준용어사전!$B:$D,3,FALSE)</f>
        <v>명V20</v>
      </c>
      <c r="J822" s="28" t="s">
        <v>718</v>
      </c>
      <c r="K822" s="27">
        <v>20</v>
      </c>
      <c r="L822" s="29" t="s">
        <v>927</v>
      </c>
      <c r="M822" s="29" t="s">
        <v>727</v>
      </c>
      <c r="N822" s="29" t="s">
        <v>572</v>
      </c>
      <c r="O822" s="28"/>
      <c r="P822" s="28"/>
      <c r="Q822" s="28" t="s">
        <v>76</v>
      </c>
      <c r="R822" s="29"/>
      <c r="S822" s="28"/>
      <c r="T822" s="28"/>
      <c r="U822" s="28" t="s">
        <v>75</v>
      </c>
      <c r="V822" s="28" t="s">
        <v>75</v>
      </c>
      <c r="W822" s="28"/>
    </row>
    <row r="823" spans="1:23" s="12" customFormat="1" hidden="1">
      <c r="A823" s="46" t="s">
        <v>572</v>
      </c>
      <c r="B823" s="28" t="s">
        <v>1338</v>
      </c>
      <c r="C823" s="28" t="s">
        <v>944</v>
      </c>
      <c r="D823" s="28" t="s">
        <v>683</v>
      </c>
      <c r="E823" s="28" t="s">
        <v>92</v>
      </c>
      <c r="F823" s="28" t="s">
        <v>15</v>
      </c>
      <c r="G823" s="28" t="s">
        <v>15</v>
      </c>
      <c r="H823" s="28" t="s">
        <v>706</v>
      </c>
      <c r="I823" s="28" t="str">
        <f>VLOOKUP(F823,표준용어사전!$B:$D,3,FALSE)</f>
        <v>연월일시분초TS</v>
      </c>
      <c r="J823" s="28" t="s">
        <v>719</v>
      </c>
      <c r="K823" s="27" t="s">
        <v>927</v>
      </c>
      <c r="L823" s="29" t="s">
        <v>927</v>
      </c>
      <c r="M823" s="29" t="s">
        <v>726</v>
      </c>
      <c r="N823" s="29" t="s">
        <v>572</v>
      </c>
      <c r="O823" s="28"/>
      <c r="P823" s="28"/>
      <c r="Q823" s="28" t="s">
        <v>76</v>
      </c>
      <c r="R823" s="29"/>
      <c r="S823" s="28"/>
      <c r="T823" s="28"/>
      <c r="U823" s="28" t="s">
        <v>75</v>
      </c>
      <c r="V823" s="28" t="s">
        <v>75</v>
      </c>
      <c r="W823" s="28"/>
    </row>
    <row r="824" spans="1:23" s="12" customFormat="1" hidden="1">
      <c r="A824" s="46" t="s">
        <v>572</v>
      </c>
      <c r="B824" s="28" t="s">
        <v>1338</v>
      </c>
      <c r="C824" s="28" t="s">
        <v>944</v>
      </c>
      <c r="D824" s="28" t="s">
        <v>683</v>
      </c>
      <c r="E824" s="28" t="s">
        <v>93</v>
      </c>
      <c r="F824" s="28" t="s">
        <v>370</v>
      </c>
      <c r="G824" s="28" t="s">
        <v>370</v>
      </c>
      <c r="H824" s="28" t="s">
        <v>706</v>
      </c>
      <c r="I824" s="28" t="str">
        <f>VLOOKUP(F824,표준용어사전!$B:$D,3,FALSE)</f>
        <v>명V20</v>
      </c>
      <c r="J824" s="28" t="s">
        <v>718</v>
      </c>
      <c r="K824" s="27">
        <v>20</v>
      </c>
      <c r="L824" s="29" t="s">
        <v>927</v>
      </c>
      <c r="M824" s="29" t="s">
        <v>727</v>
      </c>
      <c r="N824" s="29" t="s">
        <v>572</v>
      </c>
      <c r="O824" s="28"/>
      <c r="P824" s="28"/>
      <c r="Q824" s="28" t="s">
        <v>76</v>
      </c>
      <c r="R824" s="29"/>
      <c r="S824" s="28"/>
      <c r="T824" s="28"/>
      <c r="U824" s="28" t="s">
        <v>75</v>
      </c>
      <c r="V824" s="28" t="s">
        <v>75</v>
      </c>
      <c r="W824" s="28"/>
    </row>
    <row r="825" spans="1:23" s="12" customFormat="1" hidden="1">
      <c r="A825" s="46" t="s">
        <v>572</v>
      </c>
      <c r="B825" s="28" t="s">
        <v>1338</v>
      </c>
      <c r="C825" s="28" t="s">
        <v>944</v>
      </c>
      <c r="D825" s="28" t="s">
        <v>958</v>
      </c>
      <c r="E825" s="28" t="s">
        <v>856</v>
      </c>
      <c r="F825" s="28" t="s">
        <v>770</v>
      </c>
      <c r="G825" s="28" t="s">
        <v>770</v>
      </c>
      <c r="H825" s="28" t="s">
        <v>705</v>
      </c>
      <c r="I825" s="28" t="e">
        <f>VLOOKUP(F825,표준용어사전!$B:$D,3,FALSE)</f>
        <v>#N/A</v>
      </c>
      <c r="J825" s="28" t="s">
        <v>717</v>
      </c>
      <c r="K825" s="27" t="s">
        <v>571</v>
      </c>
      <c r="L825" s="29" t="s">
        <v>571</v>
      </c>
      <c r="M825" s="29"/>
      <c r="N825" s="29" t="s">
        <v>572</v>
      </c>
      <c r="O825" s="28"/>
      <c r="P825" s="28"/>
      <c r="Q825" s="28" t="s">
        <v>76</v>
      </c>
      <c r="R825" s="29"/>
      <c r="S825" s="28"/>
      <c r="T825" s="28"/>
      <c r="U825" s="28" t="s">
        <v>75</v>
      </c>
      <c r="V825" s="28" t="s">
        <v>75</v>
      </c>
      <c r="W825" s="28"/>
    </row>
    <row r="826" spans="1:23" s="12" customFormat="1" hidden="1">
      <c r="A826" s="46" t="s">
        <v>572</v>
      </c>
      <c r="B826" s="28" t="s">
        <v>1338</v>
      </c>
      <c r="C826" s="28" t="s">
        <v>944</v>
      </c>
      <c r="D826" s="28" t="s">
        <v>682</v>
      </c>
      <c r="E826" s="28" t="s">
        <v>246</v>
      </c>
      <c r="F826" s="28" t="s">
        <v>17</v>
      </c>
      <c r="G826" s="28" t="s">
        <v>17</v>
      </c>
      <c r="H826" s="28" t="s">
        <v>705</v>
      </c>
      <c r="I826" s="28" t="str">
        <f>VLOOKUP(F826,표준용어사전!$B:$D,3,FALSE)</f>
        <v>명V20</v>
      </c>
      <c r="J826" s="28" t="s">
        <v>718</v>
      </c>
      <c r="K826" s="27">
        <v>20</v>
      </c>
      <c r="L826" s="29" t="s">
        <v>571</v>
      </c>
      <c r="M826" s="29" t="s">
        <v>727</v>
      </c>
      <c r="N826" s="29" t="s">
        <v>572</v>
      </c>
      <c r="O826" s="28"/>
      <c r="P826" s="28"/>
      <c r="Q826" s="28" t="s">
        <v>76</v>
      </c>
      <c r="R826" s="29"/>
      <c r="S826" s="28"/>
      <c r="T826" s="28"/>
      <c r="U826" s="28" t="s">
        <v>75</v>
      </c>
      <c r="V826" s="28" t="s">
        <v>75</v>
      </c>
      <c r="W826" s="28"/>
    </row>
    <row r="827" spans="1:23" s="12" customFormat="1" hidden="1">
      <c r="A827" s="46" t="s">
        <v>572</v>
      </c>
      <c r="B827" s="28" t="s">
        <v>1338</v>
      </c>
      <c r="C827" s="28" t="s">
        <v>944</v>
      </c>
      <c r="D827" s="28" t="s">
        <v>682</v>
      </c>
      <c r="E827" s="28" t="s">
        <v>89</v>
      </c>
      <c r="F827" s="28" t="s">
        <v>501</v>
      </c>
      <c r="G827" s="28" t="s">
        <v>501</v>
      </c>
      <c r="H827" s="28" t="s">
        <v>705</v>
      </c>
      <c r="I827" s="28" t="str">
        <f>VLOOKUP(F827,표준용어사전!$B:$D,3,FALSE)</f>
        <v>명V20</v>
      </c>
      <c r="J827" s="28" t="s">
        <v>718</v>
      </c>
      <c r="K827" s="27">
        <v>50</v>
      </c>
      <c r="L827" s="29" t="s">
        <v>571</v>
      </c>
      <c r="M827" s="29" t="s">
        <v>720</v>
      </c>
      <c r="N827" s="29" t="s">
        <v>572</v>
      </c>
      <c r="O827" s="28"/>
      <c r="P827" s="28"/>
      <c r="Q827" s="28" t="s">
        <v>76</v>
      </c>
      <c r="R827" s="29"/>
      <c r="S827" s="28"/>
      <c r="T827" s="28"/>
      <c r="U827" s="28" t="s">
        <v>75</v>
      </c>
      <c r="V827" s="28" t="s">
        <v>75</v>
      </c>
      <c r="W827" s="28"/>
    </row>
    <row r="828" spans="1:23" s="12" customFormat="1" hidden="1">
      <c r="A828" s="46" t="s">
        <v>572</v>
      </c>
      <c r="B828" s="28" t="s">
        <v>1338</v>
      </c>
      <c r="C828" s="28" t="s">
        <v>944</v>
      </c>
      <c r="D828" s="28" t="s">
        <v>682</v>
      </c>
      <c r="E828" s="28" t="s">
        <v>268</v>
      </c>
      <c r="F828" s="28" t="s">
        <v>500</v>
      </c>
      <c r="G828" s="28" t="s">
        <v>763</v>
      </c>
      <c r="H828" s="28" t="s">
        <v>705</v>
      </c>
      <c r="I828" s="28" t="str">
        <f>VLOOKUP(F828,표준용어사전!$B:$D,3,FALSE)</f>
        <v>코드C1</v>
      </c>
      <c r="J828" s="28" t="s">
        <v>709</v>
      </c>
      <c r="K828" s="27">
        <v>1</v>
      </c>
      <c r="L828" s="29" t="s">
        <v>571</v>
      </c>
      <c r="M828" s="29" t="s">
        <v>722</v>
      </c>
      <c r="N828" s="29" t="s">
        <v>572</v>
      </c>
      <c r="O828" s="28"/>
      <c r="P828" s="28"/>
      <c r="Q828" s="28" t="s">
        <v>76</v>
      </c>
      <c r="R828" s="29"/>
      <c r="S828" s="28"/>
      <c r="T828" s="28"/>
      <c r="U828" s="28" t="s">
        <v>75</v>
      </c>
      <c r="V828" s="28" t="s">
        <v>75</v>
      </c>
      <c r="W828" s="28"/>
    </row>
    <row r="829" spans="1:23" s="12" customFormat="1" hidden="1">
      <c r="A829" s="46" t="s">
        <v>572</v>
      </c>
      <c r="B829" s="28" t="s">
        <v>1338</v>
      </c>
      <c r="C829" s="28" t="s">
        <v>944</v>
      </c>
      <c r="D829" s="28" t="s">
        <v>682</v>
      </c>
      <c r="E829" s="28" t="s">
        <v>252</v>
      </c>
      <c r="F829" s="28" t="s">
        <v>77</v>
      </c>
      <c r="G829" s="28" t="s">
        <v>77</v>
      </c>
      <c r="H829" s="28" t="s">
        <v>705</v>
      </c>
      <c r="I829" s="28" t="str">
        <f>VLOOKUP(F829,표준용어사전!$B:$D,3,FALSE)</f>
        <v>내용TXT</v>
      </c>
      <c r="J829" s="28" t="s">
        <v>713</v>
      </c>
      <c r="K829" s="27" t="s">
        <v>571</v>
      </c>
      <c r="L829" s="29" t="s">
        <v>571</v>
      </c>
      <c r="M829" s="29"/>
      <c r="N829" s="29" t="s">
        <v>572</v>
      </c>
      <c r="O829" s="28"/>
      <c r="P829" s="28"/>
      <c r="Q829" s="28" t="s">
        <v>76</v>
      </c>
      <c r="R829" s="29"/>
      <c r="S829" s="28"/>
      <c r="T829" s="28"/>
      <c r="U829" s="28" t="s">
        <v>75</v>
      </c>
      <c r="V829" s="28" t="s">
        <v>75</v>
      </c>
      <c r="W829" s="28"/>
    </row>
    <row r="830" spans="1:23" s="12" customFormat="1" hidden="1">
      <c r="A830" s="46" t="s">
        <v>572</v>
      </c>
      <c r="B830" s="28" t="s">
        <v>1338</v>
      </c>
      <c r="C830" s="28" t="s">
        <v>944</v>
      </c>
      <c r="D830" s="28" t="s">
        <v>682</v>
      </c>
      <c r="E830" s="28" t="s">
        <v>90</v>
      </c>
      <c r="F830" s="28" t="s">
        <v>14</v>
      </c>
      <c r="G830" s="28" t="s">
        <v>14</v>
      </c>
      <c r="H830" s="28" t="s">
        <v>705</v>
      </c>
      <c r="I830" s="28" t="str">
        <f>VLOOKUP(F830,표준용어사전!$B:$D,3,FALSE)</f>
        <v>연월일시분초TS</v>
      </c>
      <c r="J830" s="28" t="s">
        <v>16</v>
      </c>
      <c r="K830" s="27" t="s">
        <v>571</v>
      </c>
      <c r="L830" s="29" t="s">
        <v>571</v>
      </c>
      <c r="M830" s="29" t="s">
        <v>726</v>
      </c>
      <c r="N830" s="29" t="s">
        <v>572</v>
      </c>
      <c r="O830" s="28"/>
      <c r="P830" s="28"/>
      <c r="Q830" s="28" t="s">
        <v>76</v>
      </c>
      <c r="R830" s="29"/>
      <c r="S830" s="28"/>
      <c r="T830" s="28"/>
      <c r="U830" s="28" t="s">
        <v>75</v>
      </c>
      <c r="V830" s="28" t="s">
        <v>75</v>
      </c>
      <c r="W830" s="28"/>
    </row>
    <row r="831" spans="1:23" s="12" customFormat="1" hidden="1">
      <c r="A831" s="46" t="s">
        <v>572</v>
      </c>
      <c r="B831" s="28" t="s">
        <v>1338</v>
      </c>
      <c r="C831" s="28" t="s">
        <v>944</v>
      </c>
      <c r="D831" s="28" t="s">
        <v>682</v>
      </c>
      <c r="E831" s="28" t="s">
        <v>91</v>
      </c>
      <c r="F831" s="28" t="s">
        <v>369</v>
      </c>
      <c r="G831" s="28" t="s">
        <v>369</v>
      </c>
      <c r="H831" s="28" t="s">
        <v>705</v>
      </c>
      <c r="I831" s="28" t="str">
        <f>VLOOKUP(F831,표준용어사전!$B:$D,3,FALSE)</f>
        <v>명V20</v>
      </c>
      <c r="J831" s="28" t="s">
        <v>78</v>
      </c>
      <c r="K831" s="27">
        <v>20</v>
      </c>
      <c r="L831" s="29" t="s">
        <v>571</v>
      </c>
      <c r="M831" s="29" t="s">
        <v>727</v>
      </c>
      <c r="N831" s="29" t="s">
        <v>572</v>
      </c>
      <c r="O831" s="28"/>
      <c r="P831" s="28"/>
      <c r="Q831" s="28" t="s">
        <v>76</v>
      </c>
      <c r="R831" s="29"/>
      <c r="S831" s="28"/>
      <c r="T831" s="28"/>
      <c r="U831" s="28" t="s">
        <v>75</v>
      </c>
      <c r="V831" s="28" t="s">
        <v>75</v>
      </c>
      <c r="W831" s="28"/>
    </row>
    <row r="832" spans="1:23" s="12" customFormat="1" hidden="1">
      <c r="A832" s="46" t="s">
        <v>572</v>
      </c>
      <c r="B832" s="28" t="s">
        <v>1338</v>
      </c>
      <c r="C832" s="28" t="s">
        <v>944</v>
      </c>
      <c r="D832" s="28" t="s">
        <v>682</v>
      </c>
      <c r="E832" s="28" t="s">
        <v>92</v>
      </c>
      <c r="F832" s="28" t="s">
        <v>15</v>
      </c>
      <c r="G832" s="28" t="s">
        <v>15</v>
      </c>
      <c r="H832" s="28" t="s">
        <v>705</v>
      </c>
      <c r="I832" s="28" t="str">
        <f>VLOOKUP(F832,표준용어사전!$B:$D,3,FALSE)</f>
        <v>연월일시분초TS</v>
      </c>
      <c r="J832" s="28" t="s">
        <v>16</v>
      </c>
      <c r="K832" s="27" t="s">
        <v>571</v>
      </c>
      <c r="L832" s="29" t="s">
        <v>571</v>
      </c>
      <c r="M832" s="29" t="s">
        <v>726</v>
      </c>
      <c r="N832" s="29" t="s">
        <v>572</v>
      </c>
      <c r="O832" s="28"/>
      <c r="P832" s="28"/>
      <c r="Q832" s="28" t="s">
        <v>76</v>
      </c>
      <c r="R832" s="29"/>
      <c r="S832" s="28"/>
      <c r="T832" s="28"/>
      <c r="U832" s="28" t="s">
        <v>75</v>
      </c>
      <c r="V832" s="28" t="s">
        <v>75</v>
      </c>
      <c r="W832" s="28"/>
    </row>
    <row r="833" spans="1:23" s="12" customFormat="1" hidden="1">
      <c r="A833" s="46" t="s">
        <v>572</v>
      </c>
      <c r="B833" s="28" t="s">
        <v>1338</v>
      </c>
      <c r="C833" s="28" t="s">
        <v>944</v>
      </c>
      <c r="D833" s="28" t="s">
        <v>682</v>
      </c>
      <c r="E833" s="28" t="s">
        <v>93</v>
      </c>
      <c r="F833" s="28" t="s">
        <v>370</v>
      </c>
      <c r="G833" s="28" t="s">
        <v>370</v>
      </c>
      <c r="H833" s="28" t="s">
        <v>705</v>
      </c>
      <c r="I833" s="28" t="str">
        <f>VLOOKUP(F833,표준용어사전!$B:$D,3,FALSE)</f>
        <v>명V20</v>
      </c>
      <c r="J833" s="28" t="s">
        <v>78</v>
      </c>
      <c r="K833" s="27">
        <v>20</v>
      </c>
      <c r="L833" s="29" t="s">
        <v>571</v>
      </c>
      <c r="M833" s="29" t="s">
        <v>727</v>
      </c>
      <c r="N833" s="29" t="s">
        <v>572</v>
      </c>
      <c r="O833" s="28"/>
      <c r="P833" s="28"/>
      <c r="Q833" s="28" t="s">
        <v>76</v>
      </c>
      <c r="R833" s="29"/>
      <c r="S833" s="28"/>
      <c r="T833" s="28"/>
      <c r="U833" s="28" t="s">
        <v>75</v>
      </c>
      <c r="V833" s="28" t="s">
        <v>75</v>
      </c>
      <c r="W833" s="28"/>
    </row>
    <row r="834" spans="1:23" s="12" customFormat="1" hidden="1">
      <c r="A834" s="46" t="s">
        <v>572</v>
      </c>
      <c r="B834" s="28" t="s">
        <v>1338</v>
      </c>
      <c r="C834" s="28" t="s">
        <v>944</v>
      </c>
      <c r="D834" s="28" t="s">
        <v>629</v>
      </c>
      <c r="E834" s="28" t="s">
        <v>145</v>
      </c>
      <c r="F834" s="28" t="s">
        <v>408</v>
      </c>
      <c r="G834" s="28" t="s">
        <v>408</v>
      </c>
      <c r="H834" s="28" t="s">
        <v>704</v>
      </c>
      <c r="I834" s="28" t="e">
        <f>VLOOKUP(F834,표준용어사전!$B:$D,3,FALSE)</f>
        <v>#N/A</v>
      </c>
      <c r="J834" s="28" t="s">
        <v>717</v>
      </c>
      <c r="K834" s="27" t="s">
        <v>571</v>
      </c>
      <c r="L834" s="29" t="s">
        <v>571</v>
      </c>
      <c r="M834" s="29"/>
      <c r="N834" s="29" t="s">
        <v>572</v>
      </c>
      <c r="O834" s="28"/>
      <c r="P834" s="28"/>
      <c r="Q834" s="28" t="s">
        <v>76</v>
      </c>
      <c r="R834" s="29"/>
      <c r="S834" s="28"/>
      <c r="T834" s="28"/>
      <c r="U834" s="28" t="s">
        <v>75</v>
      </c>
      <c r="V834" s="28" t="s">
        <v>75</v>
      </c>
      <c r="W834" s="28"/>
    </row>
    <row r="835" spans="1:23" s="12" customFormat="1" hidden="1">
      <c r="A835" s="46" t="s">
        <v>572</v>
      </c>
      <c r="B835" s="28" t="s">
        <v>1338</v>
      </c>
      <c r="C835" s="28" t="s">
        <v>944</v>
      </c>
      <c r="D835" s="28" t="s">
        <v>629</v>
      </c>
      <c r="E835" s="28" t="s">
        <v>89</v>
      </c>
      <c r="F835" s="28" t="s">
        <v>501</v>
      </c>
      <c r="G835" s="28" t="s">
        <v>501</v>
      </c>
      <c r="H835" s="28" t="s">
        <v>704</v>
      </c>
      <c r="I835" s="28" t="str">
        <f>VLOOKUP(F835,표준용어사전!$B:$D,3,FALSE)</f>
        <v>명V20</v>
      </c>
      <c r="J835" s="28" t="s">
        <v>718</v>
      </c>
      <c r="K835" s="27">
        <v>50</v>
      </c>
      <c r="L835" s="29" t="s">
        <v>571</v>
      </c>
      <c r="M835" s="29" t="s">
        <v>720</v>
      </c>
      <c r="N835" s="29" t="s">
        <v>572</v>
      </c>
      <c r="O835" s="28"/>
      <c r="P835" s="28"/>
      <c r="Q835" s="28" t="s">
        <v>76</v>
      </c>
      <c r="R835" s="29"/>
      <c r="S835" s="28"/>
      <c r="T835" s="28"/>
      <c r="U835" s="28" t="s">
        <v>75</v>
      </c>
      <c r="V835" s="28" t="s">
        <v>75</v>
      </c>
      <c r="W835" s="28"/>
    </row>
    <row r="836" spans="1:23" s="12" customFormat="1" hidden="1">
      <c r="A836" s="46" t="s">
        <v>572</v>
      </c>
      <c r="B836" s="28" t="s">
        <v>1338</v>
      </c>
      <c r="C836" s="28" t="s">
        <v>944</v>
      </c>
      <c r="D836" s="28" t="s">
        <v>629</v>
      </c>
      <c r="E836" s="28" t="s">
        <v>137</v>
      </c>
      <c r="F836" s="28" t="s">
        <v>1613</v>
      </c>
      <c r="G836" s="28" t="s">
        <v>1613</v>
      </c>
      <c r="H836" s="28" t="s">
        <v>704</v>
      </c>
      <c r="I836" s="28" t="str">
        <f>VLOOKUP(F836,표준용어사전!$B:$D,3,FALSE)</f>
        <v>명V50</v>
      </c>
      <c r="J836" s="28" t="s">
        <v>718</v>
      </c>
      <c r="K836" s="27">
        <v>50</v>
      </c>
      <c r="L836" s="29" t="s">
        <v>571</v>
      </c>
      <c r="M836" s="29" t="s">
        <v>720</v>
      </c>
      <c r="N836" s="29" t="s">
        <v>572</v>
      </c>
      <c r="O836" s="28"/>
      <c r="P836" s="28"/>
      <c r="Q836" s="28" t="s">
        <v>76</v>
      </c>
      <c r="R836" s="29"/>
      <c r="S836" s="28"/>
      <c r="T836" s="28"/>
      <c r="U836" s="28" t="s">
        <v>75</v>
      </c>
      <c r="V836" s="28" t="s">
        <v>75</v>
      </c>
      <c r="W836" s="28"/>
    </row>
    <row r="837" spans="1:23" s="12" customFormat="1" hidden="1">
      <c r="A837" s="46" t="s">
        <v>572</v>
      </c>
      <c r="B837" s="28" t="s">
        <v>1338</v>
      </c>
      <c r="C837" s="28" t="s">
        <v>944</v>
      </c>
      <c r="D837" s="28" t="s">
        <v>629</v>
      </c>
      <c r="E837" s="28" t="s">
        <v>138</v>
      </c>
      <c r="F837" s="28" t="s">
        <v>403</v>
      </c>
      <c r="G837" s="28" t="s">
        <v>403</v>
      </c>
      <c r="H837" s="28" t="s">
        <v>704</v>
      </c>
      <c r="I837" s="28" t="e">
        <f>VLOOKUP(F837,표준용어사전!$B:$D,3,FALSE)</f>
        <v>#N/A</v>
      </c>
      <c r="J837" s="28" t="s">
        <v>718</v>
      </c>
      <c r="K837" s="27">
        <v>15</v>
      </c>
      <c r="L837" s="29" t="s">
        <v>571</v>
      </c>
      <c r="M837" s="29" t="s">
        <v>769</v>
      </c>
      <c r="N837" s="29" t="s">
        <v>572</v>
      </c>
      <c r="O837" s="28"/>
      <c r="P837" s="28"/>
      <c r="Q837" s="28" t="s">
        <v>76</v>
      </c>
      <c r="R837" s="29"/>
      <c r="S837" s="28"/>
      <c r="T837" s="28"/>
      <c r="U837" s="28" t="s">
        <v>75</v>
      </c>
      <c r="V837" s="28" t="s">
        <v>75</v>
      </c>
      <c r="W837" s="28"/>
    </row>
    <row r="838" spans="1:23" s="12" customFormat="1" hidden="1">
      <c r="A838" s="46" t="s">
        <v>572</v>
      </c>
      <c r="B838" s="28" t="s">
        <v>1338</v>
      </c>
      <c r="C838" s="28" t="s">
        <v>944</v>
      </c>
      <c r="D838" s="28" t="s">
        <v>629</v>
      </c>
      <c r="E838" s="28" t="s">
        <v>146</v>
      </c>
      <c r="F838" s="28" t="s">
        <v>409</v>
      </c>
      <c r="G838" s="28" t="s">
        <v>409</v>
      </c>
      <c r="H838" s="28" t="s">
        <v>704</v>
      </c>
      <c r="I838" s="28" t="e">
        <f>VLOOKUP(F838,표준용어사전!$B:$D,3,FALSE)</f>
        <v>#N/A</v>
      </c>
      <c r="J838" s="28" t="s">
        <v>718</v>
      </c>
      <c r="K838" s="27">
        <v>512</v>
      </c>
      <c r="L838" s="29" t="s">
        <v>571</v>
      </c>
      <c r="M838" s="29" t="s">
        <v>721</v>
      </c>
      <c r="N838" s="29" t="s">
        <v>572</v>
      </c>
      <c r="O838" s="28"/>
      <c r="P838" s="28"/>
      <c r="Q838" s="28" t="s">
        <v>76</v>
      </c>
      <c r="R838" s="29"/>
      <c r="S838" s="28"/>
      <c r="T838" s="28"/>
      <c r="U838" s="28" t="s">
        <v>75</v>
      </c>
      <c r="V838" s="28" t="s">
        <v>75</v>
      </c>
      <c r="W838" s="28"/>
    </row>
    <row r="839" spans="1:23" s="12" customFormat="1" hidden="1">
      <c r="A839" s="46" t="s">
        <v>572</v>
      </c>
      <c r="B839" s="28" t="s">
        <v>1338</v>
      </c>
      <c r="C839" s="28" t="s">
        <v>944</v>
      </c>
      <c r="D839" s="28" t="s">
        <v>629</v>
      </c>
      <c r="E839" s="28" t="s">
        <v>140</v>
      </c>
      <c r="F839" s="28" t="s">
        <v>405</v>
      </c>
      <c r="G839" s="28" t="s">
        <v>405</v>
      </c>
      <c r="H839" s="28" t="s">
        <v>704</v>
      </c>
      <c r="I839" s="28" t="e">
        <f>VLOOKUP(F839,표준용어사전!$B:$D,3,FALSE)</f>
        <v>#N/A</v>
      </c>
      <c r="J839" s="28" t="s">
        <v>718</v>
      </c>
      <c r="K839" s="27">
        <v>2000</v>
      </c>
      <c r="L839" s="29" t="s">
        <v>571</v>
      </c>
      <c r="M839" s="29" t="s">
        <v>728</v>
      </c>
      <c r="N839" s="29" t="s">
        <v>572</v>
      </c>
      <c r="O839" s="28"/>
      <c r="P839" s="28"/>
      <c r="Q839" s="28" t="s">
        <v>76</v>
      </c>
      <c r="R839" s="29"/>
      <c r="S839" s="28"/>
      <c r="T839" s="28"/>
      <c r="U839" s="28" t="s">
        <v>75</v>
      </c>
      <c r="V839" s="28" t="s">
        <v>75</v>
      </c>
      <c r="W839" s="28"/>
    </row>
    <row r="840" spans="1:23" s="12" customFormat="1" hidden="1">
      <c r="A840" s="46" t="s">
        <v>572</v>
      </c>
      <c r="B840" s="28" t="s">
        <v>1338</v>
      </c>
      <c r="C840" s="28" t="s">
        <v>944</v>
      </c>
      <c r="D840" s="28" t="s">
        <v>629</v>
      </c>
      <c r="E840" s="28" t="s">
        <v>853</v>
      </c>
      <c r="F840" s="28" t="s">
        <v>767</v>
      </c>
      <c r="G840" s="28" t="s">
        <v>767</v>
      </c>
      <c r="H840" s="28" t="s">
        <v>704</v>
      </c>
      <c r="I840" s="28" t="str">
        <f>VLOOKUP(F840,표준용어사전!$B:$D,3,FALSE)</f>
        <v>명V256</v>
      </c>
      <c r="J840" s="28" t="s">
        <v>718</v>
      </c>
      <c r="K840" s="27">
        <v>256</v>
      </c>
      <c r="L840" s="29" t="s">
        <v>571</v>
      </c>
      <c r="M840" s="29" t="s">
        <v>730</v>
      </c>
      <c r="N840" s="29" t="s">
        <v>572</v>
      </c>
      <c r="O840" s="28"/>
      <c r="P840" s="28"/>
      <c r="Q840" s="28" t="s">
        <v>76</v>
      </c>
      <c r="R840" s="29"/>
      <c r="S840" s="28"/>
      <c r="T840" s="28"/>
      <c r="U840" s="28" t="s">
        <v>75</v>
      </c>
      <c r="V840" s="28" t="s">
        <v>75</v>
      </c>
      <c r="W840" s="28"/>
    </row>
    <row r="841" spans="1:23" s="12" customFormat="1" hidden="1">
      <c r="A841" s="46" t="s">
        <v>572</v>
      </c>
      <c r="B841" s="28" t="s">
        <v>1338</v>
      </c>
      <c r="C841" s="28" t="s">
        <v>944</v>
      </c>
      <c r="D841" s="28" t="s">
        <v>629</v>
      </c>
      <c r="E841" s="28" t="s">
        <v>854</v>
      </c>
      <c r="F841" s="28" t="s">
        <v>768</v>
      </c>
      <c r="G841" s="28" t="s">
        <v>768</v>
      </c>
      <c r="H841" s="28" t="s">
        <v>704</v>
      </c>
      <c r="I841" s="28" t="str">
        <f>VLOOKUP(F841,표준용어사전!$B:$D,3,FALSE)</f>
        <v>명V256</v>
      </c>
      <c r="J841" s="28" t="s">
        <v>718</v>
      </c>
      <c r="K841" s="27">
        <v>256</v>
      </c>
      <c r="L841" s="29" t="s">
        <v>571</v>
      </c>
      <c r="M841" s="29" t="s">
        <v>730</v>
      </c>
      <c r="N841" s="29" t="s">
        <v>572</v>
      </c>
      <c r="O841" s="28"/>
      <c r="P841" s="28"/>
      <c r="Q841" s="28" t="s">
        <v>76</v>
      </c>
      <c r="R841" s="29"/>
      <c r="S841" s="28"/>
      <c r="T841" s="28"/>
      <c r="U841" s="28" t="s">
        <v>75</v>
      </c>
      <c r="V841" s="28" t="s">
        <v>75</v>
      </c>
      <c r="W841" s="28"/>
    </row>
    <row r="842" spans="1:23" s="12" customFormat="1" hidden="1">
      <c r="A842" s="46" t="s">
        <v>572</v>
      </c>
      <c r="B842" s="28" t="s">
        <v>1338</v>
      </c>
      <c r="C842" s="28" t="s">
        <v>944</v>
      </c>
      <c r="D842" s="28" t="s">
        <v>629</v>
      </c>
      <c r="E842" s="28" t="s">
        <v>855</v>
      </c>
      <c r="F842" s="28" t="s">
        <v>1614</v>
      </c>
      <c r="G842" s="28" t="s">
        <v>1614</v>
      </c>
      <c r="H842" s="28" t="s">
        <v>704</v>
      </c>
      <c r="I842" s="28" t="e">
        <f>VLOOKUP(F842,표준용어사전!$B:$D,3,FALSE)</f>
        <v>#N/A</v>
      </c>
      <c r="J842" s="28" t="s">
        <v>713</v>
      </c>
      <c r="K842" s="27" t="s">
        <v>571</v>
      </c>
      <c r="L842" s="29" t="s">
        <v>571</v>
      </c>
      <c r="M842" s="29"/>
      <c r="N842" s="29" t="s">
        <v>572</v>
      </c>
      <c r="O842" s="28"/>
      <c r="P842" s="28"/>
      <c r="Q842" s="28" t="s">
        <v>76</v>
      </c>
      <c r="R842" s="29"/>
      <c r="S842" s="28"/>
      <c r="T842" s="28"/>
      <c r="U842" s="28" t="s">
        <v>75</v>
      </c>
      <c r="V842" s="28" t="s">
        <v>75</v>
      </c>
      <c r="W842" s="28"/>
    </row>
    <row r="843" spans="1:23" s="12" customFormat="1" hidden="1">
      <c r="A843" s="46" t="s">
        <v>572</v>
      </c>
      <c r="B843" s="28" t="s">
        <v>1338</v>
      </c>
      <c r="C843" s="28" t="s">
        <v>944</v>
      </c>
      <c r="D843" s="28" t="s">
        <v>629</v>
      </c>
      <c r="E843" s="28" t="s">
        <v>147</v>
      </c>
      <c r="F843" s="28" t="s">
        <v>410</v>
      </c>
      <c r="G843" s="28" t="s">
        <v>410</v>
      </c>
      <c r="H843" s="28" t="s">
        <v>704</v>
      </c>
      <c r="I843" s="28" t="e">
        <f>VLOOKUP(F843,표준용어사전!$B:$D,3,FALSE)</f>
        <v>#N/A</v>
      </c>
      <c r="J843" s="28" t="s">
        <v>718</v>
      </c>
      <c r="K843" s="27">
        <v>2000</v>
      </c>
      <c r="L843" s="29" t="s">
        <v>571</v>
      </c>
      <c r="M843" s="29" t="s">
        <v>728</v>
      </c>
      <c r="N843" s="29" t="s">
        <v>572</v>
      </c>
      <c r="O843" s="28"/>
      <c r="P843" s="28"/>
      <c r="Q843" s="28" t="s">
        <v>76</v>
      </c>
      <c r="R843" s="29"/>
      <c r="S843" s="28"/>
      <c r="T843" s="28"/>
      <c r="U843" s="28" t="s">
        <v>75</v>
      </c>
      <c r="V843" s="28" t="s">
        <v>75</v>
      </c>
      <c r="W843" s="28"/>
    </row>
    <row r="844" spans="1:23" s="12" customFormat="1" hidden="1">
      <c r="A844" s="46" t="s">
        <v>572</v>
      </c>
      <c r="B844" s="28" t="s">
        <v>1338</v>
      </c>
      <c r="C844" s="28" t="s">
        <v>944</v>
      </c>
      <c r="D844" s="28" t="s">
        <v>629</v>
      </c>
      <c r="E844" s="28" t="s">
        <v>148</v>
      </c>
      <c r="F844" s="28" t="s">
        <v>411</v>
      </c>
      <c r="G844" s="28" t="s">
        <v>411</v>
      </c>
      <c r="H844" s="28" t="s">
        <v>704</v>
      </c>
      <c r="I844" s="28" t="str">
        <f>VLOOKUP(F844,표준용어사전!$B:$D,3,FALSE)</f>
        <v>명V256</v>
      </c>
      <c r="J844" s="28" t="s">
        <v>718</v>
      </c>
      <c r="K844" s="27">
        <v>256</v>
      </c>
      <c r="L844" s="29" t="s">
        <v>571</v>
      </c>
      <c r="M844" s="29" t="s">
        <v>730</v>
      </c>
      <c r="N844" s="29" t="s">
        <v>572</v>
      </c>
      <c r="O844" s="28"/>
      <c r="P844" s="28"/>
      <c r="Q844" s="28" t="s">
        <v>76</v>
      </c>
      <c r="R844" s="29"/>
      <c r="S844" s="28"/>
      <c r="T844" s="28"/>
      <c r="U844" s="28" t="s">
        <v>75</v>
      </c>
      <c r="V844" s="28" t="s">
        <v>75</v>
      </c>
      <c r="W844" s="28"/>
    </row>
    <row r="845" spans="1:23" s="12" customFormat="1" hidden="1">
      <c r="A845" s="46" t="s">
        <v>572</v>
      </c>
      <c r="B845" s="28" t="s">
        <v>1338</v>
      </c>
      <c r="C845" s="28" t="s">
        <v>944</v>
      </c>
      <c r="D845" s="28" t="s">
        <v>629</v>
      </c>
      <c r="E845" s="28" t="s">
        <v>142</v>
      </c>
      <c r="F845" s="28" t="s">
        <v>1612</v>
      </c>
      <c r="G845" s="28" t="s">
        <v>1612</v>
      </c>
      <c r="H845" s="28" t="s">
        <v>704</v>
      </c>
      <c r="I845" s="28" t="e">
        <f>VLOOKUP(F845,표준용어사전!$B:$D,3,FALSE)</f>
        <v>#N/A</v>
      </c>
      <c r="J845" s="28" t="s">
        <v>718</v>
      </c>
      <c r="K845" s="27">
        <v>2000</v>
      </c>
      <c r="L845" s="29" t="s">
        <v>571</v>
      </c>
      <c r="M845" s="29" t="s">
        <v>728</v>
      </c>
      <c r="N845" s="29" t="s">
        <v>572</v>
      </c>
      <c r="O845" s="28"/>
      <c r="P845" s="28"/>
      <c r="Q845" s="28" t="s">
        <v>76</v>
      </c>
      <c r="R845" s="29"/>
      <c r="S845" s="28"/>
      <c r="T845" s="28"/>
      <c r="U845" s="28" t="s">
        <v>75</v>
      </c>
      <c r="V845" s="28" t="s">
        <v>75</v>
      </c>
      <c r="W845" s="28"/>
    </row>
    <row r="846" spans="1:23" s="12" customFormat="1" hidden="1">
      <c r="A846" s="46" t="s">
        <v>572</v>
      </c>
      <c r="B846" s="28" t="s">
        <v>1338</v>
      </c>
      <c r="C846" s="28" t="s">
        <v>944</v>
      </c>
      <c r="D846" s="28" t="s">
        <v>629</v>
      </c>
      <c r="E846" s="28" t="s">
        <v>143</v>
      </c>
      <c r="F846" s="28" t="s">
        <v>406</v>
      </c>
      <c r="G846" s="28" t="s">
        <v>406</v>
      </c>
      <c r="H846" s="28" t="s">
        <v>704</v>
      </c>
      <c r="I846" s="28" t="str">
        <f>VLOOKUP(F846,표준용어사전!$B:$D,3,FALSE)</f>
        <v>명V256</v>
      </c>
      <c r="J846" s="28" t="s">
        <v>718</v>
      </c>
      <c r="K846" s="27">
        <v>256</v>
      </c>
      <c r="L846" s="29" t="s">
        <v>571</v>
      </c>
      <c r="M846" s="29" t="s">
        <v>730</v>
      </c>
      <c r="N846" s="29" t="s">
        <v>572</v>
      </c>
      <c r="O846" s="28"/>
      <c r="P846" s="28"/>
      <c r="Q846" s="28" t="s">
        <v>76</v>
      </c>
      <c r="R846" s="29"/>
      <c r="S846" s="28"/>
      <c r="T846" s="28"/>
      <c r="U846" s="28" t="s">
        <v>75</v>
      </c>
      <c r="V846" s="28" t="s">
        <v>75</v>
      </c>
      <c r="W846" s="28"/>
    </row>
    <row r="847" spans="1:23" s="12" customFormat="1" hidden="1">
      <c r="A847" s="46" t="s">
        <v>572</v>
      </c>
      <c r="B847" s="28" t="s">
        <v>1338</v>
      </c>
      <c r="C847" s="28" t="s">
        <v>944</v>
      </c>
      <c r="D847" s="28" t="s">
        <v>629</v>
      </c>
      <c r="E847" s="28" t="s">
        <v>144</v>
      </c>
      <c r="F847" s="28" t="s">
        <v>407</v>
      </c>
      <c r="G847" s="28" t="s">
        <v>407</v>
      </c>
      <c r="H847" s="28" t="s">
        <v>704</v>
      </c>
      <c r="I847" s="28" t="e">
        <f>VLOOKUP(F847,표준용어사전!$B:$D,3,FALSE)</f>
        <v>#N/A</v>
      </c>
      <c r="J847" s="28" t="s">
        <v>718</v>
      </c>
      <c r="K847" s="27">
        <v>2000</v>
      </c>
      <c r="L847" s="29" t="s">
        <v>571</v>
      </c>
      <c r="M847" s="29" t="s">
        <v>728</v>
      </c>
      <c r="N847" s="29" t="s">
        <v>572</v>
      </c>
      <c r="O847" s="28"/>
      <c r="P847" s="28"/>
      <c r="Q847" s="28" t="s">
        <v>76</v>
      </c>
      <c r="R847" s="29"/>
      <c r="S847" s="28"/>
      <c r="T847" s="28"/>
      <c r="U847" s="28" t="s">
        <v>75</v>
      </c>
      <c r="V847" s="28" t="s">
        <v>75</v>
      </c>
      <c r="W847" s="28"/>
    </row>
    <row r="848" spans="1:23" s="12" customFormat="1" hidden="1">
      <c r="A848" s="46" t="s">
        <v>572</v>
      </c>
      <c r="B848" s="28" t="s">
        <v>1338</v>
      </c>
      <c r="C848" s="28" t="s">
        <v>944</v>
      </c>
      <c r="D848" s="28" t="s">
        <v>629</v>
      </c>
      <c r="E848" s="28" t="s">
        <v>183</v>
      </c>
      <c r="F848" s="28" t="s">
        <v>437</v>
      </c>
      <c r="G848" s="28" t="s">
        <v>437</v>
      </c>
      <c r="H848" s="28" t="s">
        <v>704</v>
      </c>
      <c r="I848" s="28" t="str">
        <f>VLOOKUP(F848,표준용어사전!$B:$D,3,FALSE)</f>
        <v>여부C1</v>
      </c>
      <c r="J848" s="28" t="s">
        <v>709</v>
      </c>
      <c r="K848" s="27">
        <v>1</v>
      </c>
      <c r="L848" s="29" t="s">
        <v>571</v>
      </c>
      <c r="M848" s="29" t="s">
        <v>722</v>
      </c>
      <c r="N848" s="29" t="s">
        <v>572</v>
      </c>
      <c r="O848" s="28"/>
      <c r="P848" s="28"/>
      <c r="Q848" s="28" t="s">
        <v>76</v>
      </c>
      <c r="R848" s="29"/>
      <c r="S848" s="28"/>
      <c r="T848" s="28" t="s">
        <v>576</v>
      </c>
      <c r="U848" s="28" t="s">
        <v>75</v>
      </c>
      <c r="V848" s="28" t="s">
        <v>75</v>
      </c>
      <c r="W848" s="28"/>
    </row>
    <row r="849" spans="1:23" s="12" customFormat="1" hidden="1">
      <c r="A849" s="46" t="s">
        <v>572</v>
      </c>
      <c r="B849" s="28" t="s">
        <v>1338</v>
      </c>
      <c r="C849" s="28" t="s">
        <v>944</v>
      </c>
      <c r="D849" s="28" t="s">
        <v>629</v>
      </c>
      <c r="E849" s="28" t="s">
        <v>90</v>
      </c>
      <c r="F849" s="28" t="s">
        <v>14</v>
      </c>
      <c r="G849" s="28" t="s">
        <v>14</v>
      </c>
      <c r="H849" s="28" t="s">
        <v>704</v>
      </c>
      <c r="I849" s="28" t="str">
        <f>VLOOKUP(F849,표준용어사전!$B:$D,3,FALSE)</f>
        <v>연월일시분초TS</v>
      </c>
      <c r="J849" s="28" t="s">
        <v>16</v>
      </c>
      <c r="K849" s="27" t="s">
        <v>571</v>
      </c>
      <c r="L849" s="29" t="s">
        <v>571</v>
      </c>
      <c r="M849" s="29" t="s">
        <v>726</v>
      </c>
      <c r="N849" s="29" t="s">
        <v>572</v>
      </c>
      <c r="O849" s="28"/>
      <c r="P849" s="28"/>
      <c r="Q849" s="28" t="s">
        <v>76</v>
      </c>
      <c r="R849" s="29"/>
      <c r="S849" s="28"/>
      <c r="T849" s="28"/>
      <c r="U849" s="28" t="s">
        <v>75</v>
      </c>
      <c r="V849" s="28" t="s">
        <v>75</v>
      </c>
      <c r="W849" s="28"/>
    </row>
    <row r="850" spans="1:23" s="12" customFormat="1" hidden="1">
      <c r="A850" s="46" t="s">
        <v>572</v>
      </c>
      <c r="B850" s="28" t="s">
        <v>1338</v>
      </c>
      <c r="C850" s="28" t="s">
        <v>944</v>
      </c>
      <c r="D850" s="28" t="s">
        <v>629</v>
      </c>
      <c r="E850" s="28" t="s">
        <v>91</v>
      </c>
      <c r="F850" s="28" t="s">
        <v>369</v>
      </c>
      <c r="G850" s="28" t="s">
        <v>369</v>
      </c>
      <c r="H850" s="28" t="s">
        <v>704</v>
      </c>
      <c r="I850" s="28" t="str">
        <f>VLOOKUP(F850,표준용어사전!$B:$D,3,FALSE)</f>
        <v>명V20</v>
      </c>
      <c r="J850" s="28" t="s">
        <v>78</v>
      </c>
      <c r="K850" s="27">
        <v>20</v>
      </c>
      <c r="L850" s="29" t="s">
        <v>571</v>
      </c>
      <c r="M850" s="29" t="s">
        <v>727</v>
      </c>
      <c r="N850" s="29" t="s">
        <v>572</v>
      </c>
      <c r="O850" s="28"/>
      <c r="P850" s="28"/>
      <c r="Q850" s="28" t="s">
        <v>76</v>
      </c>
      <c r="R850" s="29"/>
      <c r="S850" s="28"/>
      <c r="T850" s="28"/>
      <c r="U850" s="28" t="s">
        <v>75</v>
      </c>
      <c r="V850" s="28" t="s">
        <v>75</v>
      </c>
      <c r="W850" s="28"/>
    </row>
    <row r="851" spans="1:23" s="12" customFormat="1" hidden="1">
      <c r="A851" s="46" t="s">
        <v>572</v>
      </c>
      <c r="B851" s="28" t="s">
        <v>1338</v>
      </c>
      <c r="C851" s="28" t="s">
        <v>944</v>
      </c>
      <c r="D851" s="28" t="s">
        <v>629</v>
      </c>
      <c r="E851" s="28" t="s">
        <v>92</v>
      </c>
      <c r="F851" s="28" t="s">
        <v>15</v>
      </c>
      <c r="G851" s="28" t="s">
        <v>15</v>
      </c>
      <c r="H851" s="28" t="s">
        <v>704</v>
      </c>
      <c r="I851" s="28" t="str">
        <f>VLOOKUP(F851,표준용어사전!$B:$D,3,FALSE)</f>
        <v>연월일시분초TS</v>
      </c>
      <c r="J851" s="28" t="s">
        <v>16</v>
      </c>
      <c r="K851" s="27" t="s">
        <v>571</v>
      </c>
      <c r="L851" s="29" t="s">
        <v>571</v>
      </c>
      <c r="M851" s="29" t="s">
        <v>726</v>
      </c>
      <c r="N851" s="29" t="s">
        <v>572</v>
      </c>
      <c r="O851" s="28"/>
      <c r="P851" s="28"/>
      <c r="Q851" s="28" t="s">
        <v>76</v>
      </c>
      <c r="R851" s="29"/>
      <c r="S851" s="28"/>
      <c r="T851" s="28"/>
      <c r="U851" s="28" t="s">
        <v>75</v>
      </c>
      <c r="V851" s="28" t="s">
        <v>75</v>
      </c>
      <c r="W851" s="28"/>
    </row>
    <row r="852" spans="1:23" s="12" customFormat="1" hidden="1">
      <c r="A852" s="46" t="s">
        <v>572</v>
      </c>
      <c r="B852" s="28" t="s">
        <v>1338</v>
      </c>
      <c r="C852" s="28" t="s">
        <v>944</v>
      </c>
      <c r="D852" s="28" t="s">
        <v>629</v>
      </c>
      <c r="E852" s="28" t="s">
        <v>93</v>
      </c>
      <c r="F852" s="28" t="s">
        <v>370</v>
      </c>
      <c r="G852" s="28" t="s">
        <v>370</v>
      </c>
      <c r="H852" s="28" t="s">
        <v>704</v>
      </c>
      <c r="I852" s="28" t="str">
        <f>VLOOKUP(F852,표준용어사전!$B:$D,3,FALSE)</f>
        <v>명V20</v>
      </c>
      <c r="J852" s="28" t="s">
        <v>78</v>
      </c>
      <c r="K852" s="27">
        <v>20</v>
      </c>
      <c r="L852" s="29" t="s">
        <v>571</v>
      </c>
      <c r="M852" s="29" t="s">
        <v>727</v>
      </c>
      <c r="N852" s="29" t="s">
        <v>572</v>
      </c>
      <c r="O852" s="28"/>
      <c r="P852" s="28"/>
      <c r="Q852" s="28" t="s">
        <v>76</v>
      </c>
      <c r="R852" s="29"/>
      <c r="S852" s="28"/>
      <c r="T852" s="28"/>
      <c r="U852" s="28" t="s">
        <v>75</v>
      </c>
      <c r="V852" s="28" t="s">
        <v>75</v>
      </c>
      <c r="W852" s="28"/>
    </row>
    <row r="853" spans="1:23" s="12" customFormat="1" hidden="1">
      <c r="A853" s="46" t="s">
        <v>572</v>
      </c>
      <c r="B853" s="28" t="s">
        <v>1338</v>
      </c>
      <c r="C853" s="28" t="s">
        <v>944</v>
      </c>
      <c r="D853" s="28" t="s">
        <v>681</v>
      </c>
      <c r="E853" s="28" t="s">
        <v>89</v>
      </c>
      <c r="F853" s="28" t="s">
        <v>501</v>
      </c>
      <c r="G853" s="28" t="s">
        <v>501</v>
      </c>
      <c r="H853" s="28" t="s">
        <v>149</v>
      </c>
      <c r="I853" s="28" t="str">
        <f>VLOOKUP(F853,표준용어사전!$B:$D,3,FALSE)</f>
        <v>명V20</v>
      </c>
      <c r="J853" s="28" t="s">
        <v>718</v>
      </c>
      <c r="K853" s="27">
        <v>50</v>
      </c>
      <c r="L853" s="29" t="s">
        <v>571</v>
      </c>
      <c r="M853" s="29" t="s">
        <v>720</v>
      </c>
      <c r="N853" s="29" t="s">
        <v>572</v>
      </c>
      <c r="O853" s="28"/>
      <c r="P853" s="28"/>
      <c r="Q853" s="28" t="s">
        <v>76</v>
      </c>
      <c r="R853" s="29"/>
      <c r="S853" s="28"/>
      <c r="T853" s="28"/>
      <c r="U853" s="28" t="s">
        <v>75</v>
      </c>
      <c r="V853" s="28" t="s">
        <v>75</v>
      </c>
      <c r="W853" s="28"/>
    </row>
    <row r="854" spans="1:23" s="12" customFormat="1" hidden="1">
      <c r="A854" s="46" t="s">
        <v>572</v>
      </c>
      <c r="B854" s="28" t="s">
        <v>1338</v>
      </c>
      <c r="C854" s="28" t="s">
        <v>944</v>
      </c>
      <c r="D854" s="28" t="s">
        <v>681</v>
      </c>
      <c r="E854" s="28" t="s">
        <v>150</v>
      </c>
      <c r="F854" s="28" t="s">
        <v>412</v>
      </c>
      <c r="G854" s="28" t="s">
        <v>412</v>
      </c>
      <c r="H854" s="28" t="s">
        <v>149</v>
      </c>
      <c r="I854" s="28" t="e">
        <f>VLOOKUP(F854,표준용어사전!$B:$D,3,FALSE)</f>
        <v>#N/A</v>
      </c>
      <c r="J854" s="28" t="s">
        <v>713</v>
      </c>
      <c r="K854" s="27" t="s">
        <v>571</v>
      </c>
      <c r="L854" s="29" t="s">
        <v>571</v>
      </c>
      <c r="M854" s="29"/>
      <c r="N854" s="29" t="s">
        <v>572</v>
      </c>
      <c r="O854" s="28"/>
      <c r="P854" s="28"/>
      <c r="Q854" s="28" t="s">
        <v>76</v>
      </c>
      <c r="R854" s="29"/>
      <c r="S854" s="28"/>
      <c r="T854" s="28"/>
      <c r="U854" s="28" t="s">
        <v>75</v>
      </c>
      <c r="V854" s="28" t="s">
        <v>75</v>
      </c>
      <c r="W854" s="28"/>
    </row>
    <row r="855" spans="1:23" s="12" customFormat="1" hidden="1">
      <c r="A855" s="46" t="s">
        <v>572</v>
      </c>
      <c r="B855" s="28" t="s">
        <v>1338</v>
      </c>
      <c r="C855" s="28" t="s">
        <v>944</v>
      </c>
      <c r="D855" s="28" t="s">
        <v>681</v>
      </c>
      <c r="E855" s="28" t="s">
        <v>142</v>
      </c>
      <c r="F855" s="28" t="s">
        <v>1612</v>
      </c>
      <c r="G855" s="28" t="s">
        <v>1612</v>
      </c>
      <c r="H855" s="28" t="s">
        <v>149</v>
      </c>
      <c r="I855" s="28" t="e">
        <f>VLOOKUP(F855,표준용어사전!$B:$D,3,FALSE)</f>
        <v>#N/A</v>
      </c>
      <c r="J855" s="28" t="s">
        <v>718</v>
      </c>
      <c r="K855" s="27">
        <v>2000</v>
      </c>
      <c r="L855" s="29" t="s">
        <v>571</v>
      </c>
      <c r="M855" s="29" t="s">
        <v>728</v>
      </c>
      <c r="N855" s="29" t="s">
        <v>572</v>
      </c>
      <c r="O855" s="28"/>
      <c r="P855" s="28"/>
      <c r="Q855" s="28" t="s">
        <v>76</v>
      </c>
      <c r="R855" s="29"/>
      <c r="S855" s="28"/>
      <c r="T855" s="28"/>
      <c r="U855" s="28" t="s">
        <v>75</v>
      </c>
      <c r="V855" s="28" t="s">
        <v>75</v>
      </c>
      <c r="W855" s="28"/>
    </row>
    <row r="856" spans="1:23" s="12" customFormat="1" hidden="1">
      <c r="A856" s="46" t="s">
        <v>572</v>
      </c>
      <c r="B856" s="28" t="s">
        <v>1338</v>
      </c>
      <c r="C856" s="28" t="s">
        <v>944</v>
      </c>
      <c r="D856" s="28" t="s">
        <v>681</v>
      </c>
      <c r="E856" s="28" t="s">
        <v>162</v>
      </c>
      <c r="F856" s="28" t="s">
        <v>421</v>
      </c>
      <c r="G856" s="28" t="s">
        <v>421</v>
      </c>
      <c r="H856" s="28" t="s">
        <v>149</v>
      </c>
      <c r="I856" s="28" t="str">
        <f>VLOOKUP(F856,표준용어사전!$B:$D,3,FALSE)</f>
        <v>여부C1</v>
      </c>
      <c r="J856" s="28" t="s">
        <v>709</v>
      </c>
      <c r="K856" s="27">
        <v>1</v>
      </c>
      <c r="L856" s="29" t="s">
        <v>571</v>
      </c>
      <c r="M856" s="29" t="s">
        <v>722</v>
      </c>
      <c r="N856" s="29" t="s">
        <v>572</v>
      </c>
      <c r="O856" s="28"/>
      <c r="P856" s="28"/>
      <c r="Q856" s="28" t="s">
        <v>76</v>
      </c>
      <c r="R856" s="29"/>
      <c r="S856" s="28"/>
      <c r="T856" s="28" t="s">
        <v>576</v>
      </c>
      <c r="U856" s="28" t="s">
        <v>75</v>
      </c>
      <c r="V856" s="28" t="s">
        <v>75</v>
      </c>
      <c r="W856" s="28"/>
    </row>
    <row r="857" spans="1:23" s="12" customFormat="1" hidden="1">
      <c r="A857" s="46" t="s">
        <v>572</v>
      </c>
      <c r="B857" s="28" t="s">
        <v>1338</v>
      </c>
      <c r="C857" s="28" t="s">
        <v>944</v>
      </c>
      <c r="D857" s="28" t="s">
        <v>681</v>
      </c>
      <c r="E857" s="28" t="s">
        <v>90</v>
      </c>
      <c r="F857" s="28" t="s">
        <v>14</v>
      </c>
      <c r="G857" s="28" t="s">
        <v>14</v>
      </c>
      <c r="H857" s="28" t="s">
        <v>149</v>
      </c>
      <c r="I857" s="28" t="str">
        <f>VLOOKUP(F857,표준용어사전!$B:$D,3,FALSE)</f>
        <v>연월일시분초TS</v>
      </c>
      <c r="J857" s="28" t="s">
        <v>16</v>
      </c>
      <c r="K857" s="27" t="s">
        <v>571</v>
      </c>
      <c r="L857" s="29" t="s">
        <v>571</v>
      </c>
      <c r="M857" s="29" t="s">
        <v>726</v>
      </c>
      <c r="N857" s="29" t="s">
        <v>572</v>
      </c>
      <c r="O857" s="28"/>
      <c r="P857" s="28"/>
      <c r="Q857" s="28" t="s">
        <v>76</v>
      </c>
      <c r="R857" s="29"/>
      <c r="S857" s="28"/>
      <c r="T857" s="28"/>
      <c r="U857" s="28" t="s">
        <v>75</v>
      </c>
      <c r="V857" s="28" t="s">
        <v>75</v>
      </c>
      <c r="W857" s="28"/>
    </row>
    <row r="858" spans="1:23" s="12" customFormat="1" hidden="1">
      <c r="A858" s="46" t="s">
        <v>572</v>
      </c>
      <c r="B858" s="28" t="s">
        <v>1338</v>
      </c>
      <c r="C858" s="28" t="s">
        <v>944</v>
      </c>
      <c r="D858" s="28" t="s">
        <v>681</v>
      </c>
      <c r="E858" s="28" t="s">
        <v>91</v>
      </c>
      <c r="F858" s="28" t="s">
        <v>369</v>
      </c>
      <c r="G858" s="28" t="s">
        <v>369</v>
      </c>
      <c r="H858" s="28" t="s">
        <v>149</v>
      </c>
      <c r="I858" s="28" t="str">
        <f>VLOOKUP(F858,표준용어사전!$B:$D,3,FALSE)</f>
        <v>명V20</v>
      </c>
      <c r="J858" s="28" t="s">
        <v>78</v>
      </c>
      <c r="K858" s="27">
        <v>20</v>
      </c>
      <c r="L858" s="29" t="s">
        <v>571</v>
      </c>
      <c r="M858" s="29" t="s">
        <v>727</v>
      </c>
      <c r="N858" s="29" t="s">
        <v>572</v>
      </c>
      <c r="O858" s="28"/>
      <c r="P858" s="28"/>
      <c r="Q858" s="28" t="s">
        <v>76</v>
      </c>
      <c r="R858" s="29"/>
      <c r="S858" s="28"/>
      <c r="T858" s="28"/>
      <c r="U858" s="28" t="s">
        <v>75</v>
      </c>
      <c r="V858" s="28" t="s">
        <v>75</v>
      </c>
      <c r="W858" s="28"/>
    </row>
    <row r="859" spans="1:23" s="12" customFormat="1" hidden="1">
      <c r="A859" s="46" t="s">
        <v>572</v>
      </c>
      <c r="B859" s="28" t="s">
        <v>1338</v>
      </c>
      <c r="C859" s="28" t="s">
        <v>944</v>
      </c>
      <c r="D859" s="28" t="s">
        <v>681</v>
      </c>
      <c r="E859" s="28" t="s">
        <v>92</v>
      </c>
      <c r="F859" s="28" t="s">
        <v>15</v>
      </c>
      <c r="G859" s="28" t="s">
        <v>15</v>
      </c>
      <c r="H859" s="28" t="s">
        <v>149</v>
      </c>
      <c r="I859" s="28" t="str">
        <f>VLOOKUP(F859,표준용어사전!$B:$D,3,FALSE)</f>
        <v>연월일시분초TS</v>
      </c>
      <c r="J859" s="28" t="s">
        <v>16</v>
      </c>
      <c r="K859" s="27" t="s">
        <v>571</v>
      </c>
      <c r="L859" s="29" t="s">
        <v>571</v>
      </c>
      <c r="M859" s="29" t="s">
        <v>726</v>
      </c>
      <c r="N859" s="29" t="s">
        <v>572</v>
      </c>
      <c r="O859" s="28"/>
      <c r="P859" s="28"/>
      <c r="Q859" s="28" t="s">
        <v>76</v>
      </c>
      <c r="R859" s="29"/>
      <c r="S859" s="28"/>
      <c r="T859" s="28"/>
      <c r="U859" s="28" t="s">
        <v>75</v>
      </c>
      <c r="V859" s="28" t="s">
        <v>75</v>
      </c>
      <c r="W859" s="28"/>
    </row>
    <row r="860" spans="1:23" s="12" customFormat="1" hidden="1">
      <c r="A860" s="46" t="s">
        <v>572</v>
      </c>
      <c r="B860" s="28" t="s">
        <v>1338</v>
      </c>
      <c r="C860" s="28" t="s">
        <v>944</v>
      </c>
      <c r="D860" s="28" t="s">
        <v>681</v>
      </c>
      <c r="E860" s="28" t="s">
        <v>93</v>
      </c>
      <c r="F860" s="28" t="s">
        <v>370</v>
      </c>
      <c r="G860" s="28" t="s">
        <v>370</v>
      </c>
      <c r="H860" s="28" t="s">
        <v>149</v>
      </c>
      <c r="I860" s="28" t="str">
        <f>VLOOKUP(F860,표준용어사전!$B:$D,3,FALSE)</f>
        <v>명V20</v>
      </c>
      <c r="J860" s="28" t="s">
        <v>78</v>
      </c>
      <c r="K860" s="27">
        <v>20</v>
      </c>
      <c r="L860" s="29" t="s">
        <v>571</v>
      </c>
      <c r="M860" s="29" t="s">
        <v>727</v>
      </c>
      <c r="N860" s="29" t="s">
        <v>572</v>
      </c>
      <c r="O860" s="28"/>
      <c r="P860" s="28"/>
      <c r="Q860" s="28" t="s">
        <v>76</v>
      </c>
      <c r="R860" s="29"/>
      <c r="S860" s="28"/>
      <c r="T860" s="28"/>
      <c r="U860" s="28" t="s">
        <v>75</v>
      </c>
      <c r="V860" s="28" t="s">
        <v>75</v>
      </c>
      <c r="W860" s="28"/>
    </row>
    <row r="861" spans="1:23" s="12" customFormat="1" hidden="1">
      <c r="A861" s="46" t="s">
        <v>572</v>
      </c>
      <c r="B861" s="28" t="s">
        <v>1338</v>
      </c>
      <c r="C861" s="28" t="s">
        <v>944</v>
      </c>
      <c r="D861" s="28" t="s">
        <v>630</v>
      </c>
      <c r="E861" s="28" t="s">
        <v>1431</v>
      </c>
      <c r="F861" s="28" t="s">
        <v>1626</v>
      </c>
      <c r="G861" s="28" t="s">
        <v>1626</v>
      </c>
      <c r="H861" s="28" t="s">
        <v>152</v>
      </c>
      <c r="I861" s="28" t="e">
        <f>VLOOKUP(F861,표준용어사전!$B:$D,3,FALSE)</f>
        <v>#N/A</v>
      </c>
      <c r="J861" s="28" t="s">
        <v>1349</v>
      </c>
      <c r="K861" s="27" t="s">
        <v>927</v>
      </c>
      <c r="L861" s="29" t="s">
        <v>927</v>
      </c>
      <c r="M861" s="29" t="s">
        <v>1353</v>
      </c>
      <c r="N861" s="29" t="s">
        <v>572</v>
      </c>
      <c r="O861" s="28"/>
      <c r="P861" s="28"/>
      <c r="Q861" s="28" t="s">
        <v>76</v>
      </c>
      <c r="R861" s="29"/>
      <c r="S861" s="28"/>
      <c r="T861" s="28"/>
      <c r="U861" s="28" t="s">
        <v>75</v>
      </c>
      <c r="V861" s="28" t="s">
        <v>75</v>
      </c>
      <c r="W861" s="28"/>
    </row>
    <row r="862" spans="1:23" s="12" customFormat="1" hidden="1">
      <c r="A862" s="46" t="s">
        <v>572</v>
      </c>
      <c r="B862" s="28" t="s">
        <v>1338</v>
      </c>
      <c r="C862" s="28" t="s">
        <v>944</v>
      </c>
      <c r="D862" s="28" t="s">
        <v>630</v>
      </c>
      <c r="E862" s="28" t="s">
        <v>151</v>
      </c>
      <c r="F862" s="28" t="s">
        <v>413</v>
      </c>
      <c r="G862" s="28" t="s">
        <v>413</v>
      </c>
      <c r="H862" s="28" t="s">
        <v>152</v>
      </c>
      <c r="I862" s="28" t="str">
        <f>VLOOKUP(F862,표준용어사전!$B:$D,3,FALSE)</f>
        <v>번호N10</v>
      </c>
      <c r="J862" s="28" t="s">
        <v>717</v>
      </c>
      <c r="K862" s="27" t="s">
        <v>571</v>
      </c>
      <c r="L862" s="29" t="s">
        <v>571</v>
      </c>
      <c r="M862" s="29"/>
      <c r="N862" s="29" t="s">
        <v>572</v>
      </c>
      <c r="O862" s="28"/>
      <c r="P862" s="28"/>
      <c r="Q862" s="28" t="s">
        <v>76</v>
      </c>
      <c r="R862" s="29"/>
      <c r="S862" s="28"/>
      <c r="T862" s="28"/>
      <c r="U862" s="28" t="s">
        <v>75</v>
      </c>
      <c r="V862" s="28" t="s">
        <v>75</v>
      </c>
      <c r="W862" s="28"/>
    </row>
    <row r="863" spans="1:23" s="12" customFormat="1" hidden="1">
      <c r="A863" s="46" t="s">
        <v>572</v>
      </c>
      <c r="B863" s="28" t="s">
        <v>1338</v>
      </c>
      <c r="C863" s="28" t="s">
        <v>944</v>
      </c>
      <c r="D863" s="28" t="s">
        <v>630</v>
      </c>
      <c r="E863" s="28" t="s">
        <v>89</v>
      </c>
      <c r="F863" s="28" t="s">
        <v>760</v>
      </c>
      <c r="G863" s="28" t="s">
        <v>760</v>
      </c>
      <c r="H863" s="28" t="s">
        <v>152</v>
      </c>
      <c r="I863" s="28" t="str">
        <f>VLOOKUP(F863,표준용어사전!$B:$D,3,FALSE)</f>
        <v>명V20</v>
      </c>
      <c r="J863" s="28" t="s">
        <v>718</v>
      </c>
      <c r="K863" s="27">
        <v>50</v>
      </c>
      <c r="L863" s="29" t="s">
        <v>571</v>
      </c>
      <c r="M863" s="29" t="s">
        <v>720</v>
      </c>
      <c r="N863" s="29" t="s">
        <v>572</v>
      </c>
      <c r="O863" s="28"/>
      <c r="P863" s="28"/>
      <c r="Q863" s="28" t="s">
        <v>76</v>
      </c>
      <c r="R863" s="29"/>
      <c r="S863" s="28"/>
      <c r="T863" s="28"/>
      <c r="U863" s="28" t="s">
        <v>75</v>
      </c>
      <c r="V863" s="28" t="s">
        <v>75</v>
      </c>
      <c r="W863" s="28"/>
    </row>
    <row r="864" spans="1:23" s="12" customFormat="1" hidden="1">
      <c r="A864" s="46" t="s">
        <v>572</v>
      </c>
      <c r="B864" s="28" t="s">
        <v>1338</v>
      </c>
      <c r="C864" s="28" t="s">
        <v>944</v>
      </c>
      <c r="D864" s="28" t="s">
        <v>630</v>
      </c>
      <c r="E864" s="28" t="s">
        <v>137</v>
      </c>
      <c r="F864" s="28" t="s">
        <v>1613</v>
      </c>
      <c r="G864" s="28" t="s">
        <v>1613</v>
      </c>
      <c r="H864" s="28" t="s">
        <v>152</v>
      </c>
      <c r="I864" s="28" t="str">
        <f>VLOOKUP(F864,표준용어사전!$B:$D,3,FALSE)</f>
        <v>명V50</v>
      </c>
      <c r="J864" s="28" t="s">
        <v>718</v>
      </c>
      <c r="K864" s="27">
        <v>50</v>
      </c>
      <c r="L864" s="29" t="s">
        <v>571</v>
      </c>
      <c r="M864" s="29" t="s">
        <v>720</v>
      </c>
      <c r="N864" s="29" t="s">
        <v>572</v>
      </c>
      <c r="O864" s="28"/>
      <c r="P864" s="28"/>
      <c r="Q864" s="28" t="s">
        <v>76</v>
      </c>
      <c r="R864" s="29"/>
      <c r="S864" s="28"/>
      <c r="T864" s="28"/>
      <c r="U864" s="28" t="s">
        <v>75</v>
      </c>
      <c r="V864" s="28" t="s">
        <v>75</v>
      </c>
      <c r="W864" s="28"/>
    </row>
    <row r="865" spans="1:23" s="12" customFormat="1" hidden="1">
      <c r="A865" s="46" t="s">
        <v>572</v>
      </c>
      <c r="B865" s="28" t="s">
        <v>1338</v>
      </c>
      <c r="C865" s="28" t="s">
        <v>944</v>
      </c>
      <c r="D865" s="28" t="s">
        <v>630</v>
      </c>
      <c r="E865" s="28" t="s">
        <v>153</v>
      </c>
      <c r="F865" s="28" t="s">
        <v>79</v>
      </c>
      <c r="G865" s="28" t="s">
        <v>79</v>
      </c>
      <c r="H865" s="28" t="s">
        <v>152</v>
      </c>
      <c r="I865" s="28" t="str">
        <f>VLOOKUP(F865,표준용어사전!$B:$D,3,FALSE)</f>
        <v>코드C2</v>
      </c>
      <c r="J865" s="28" t="s">
        <v>709</v>
      </c>
      <c r="K865" s="27">
        <v>50</v>
      </c>
      <c r="L865" s="29" t="s">
        <v>571</v>
      </c>
      <c r="M865" s="29" t="s">
        <v>720</v>
      </c>
      <c r="N865" s="29" t="s">
        <v>572</v>
      </c>
      <c r="O865" s="28"/>
      <c r="P865" s="28"/>
      <c r="Q865" s="28" t="s">
        <v>76</v>
      </c>
      <c r="R865" s="29"/>
      <c r="S865" s="28"/>
      <c r="T865" s="28"/>
      <c r="U865" s="28" t="s">
        <v>75</v>
      </c>
      <c r="V865" s="28" t="s">
        <v>75</v>
      </c>
      <c r="W865" s="28"/>
    </row>
    <row r="866" spans="1:23" s="12" customFormat="1" hidden="1">
      <c r="A866" s="46" t="s">
        <v>572</v>
      </c>
      <c r="B866" s="28" t="s">
        <v>1338</v>
      </c>
      <c r="C866" s="28" t="s">
        <v>944</v>
      </c>
      <c r="D866" s="28" t="s">
        <v>630</v>
      </c>
      <c r="E866" s="28" t="s">
        <v>154</v>
      </c>
      <c r="F866" s="28" t="s">
        <v>414</v>
      </c>
      <c r="G866" s="28" t="s">
        <v>414</v>
      </c>
      <c r="H866" s="28" t="s">
        <v>152</v>
      </c>
      <c r="I866" s="28" t="str">
        <f>VLOOKUP(F866,표준용어사전!$B:$D,3,FALSE)</f>
        <v>여부C1</v>
      </c>
      <c r="J866" s="28" t="s">
        <v>709</v>
      </c>
      <c r="K866" s="27">
        <v>1</v>
      </c>
      <c r="L866" s="29" t="s">
        <v>571</v>
      </c>
      <c r="M866" s="29" t="s">
        <v>722</v>
      </c>
      <c r="N866" s="29" t="s">
        <v>572</v>
      </c>
      <c r="O866" s="28"/>
      <c r="P866" s="28"/>
      <c r="Q866" s="28" t="s">
        <v>76</v>
      </c>
      <c r="R866" s="29"/>
      <c r="S866" s="28"/>
      <c r="T866" s="28" t="s">
        <v>576</v>
      </c>
      <c r="U866" s="28" t="s">
        <v>75</v>
      </c>
      <c r="V866" s="28" t="s">
        <v>75</v>
      </c>
      <c r="W866" s="28"/>
    </row>
    <row r="867" spans="1:23" s="12" customFormat="1" hidden="1">
      <c r="A867" s="46" t="s">
        <v>572</v>
      </c>
      <c r="B867" s="28" t="s">
        <v>1338</v>
      </c>
      <c r="C867" s="28" t="s">
        <v>944</v>
      </c>
      <c r="D867" s="28" t="s">
        <v>630</v>
      </c>
      <c r="E867" s="28" t="s">
        <v>155</v>
      </c>
      <c r="F867" s="28" t="s">
        <v>415</v>
      </c>
      <c r="G867" s="28" t="s">
        <v>415</v>
      </c>
      <c r="H867" s="28" t="s">
        <v>152</v>
      </c>
      <c r="I867" s="28" t="str">
        <f>VLOOKUP(F867,표준용어사전!$B:$D,3,FALSE)</f>
        <v>명V256</v>
      </c>
      <c r="J867" s="28" t="s">
        <v>718</v>
      </c>
      <c r="K867" s="27">
        <v>256</v>
      </c>
      <c r="L867" s="29" t="s">
        <v>571</v>
      </c>
      <c r="M867" s="29" t="s">
        <v>730</v>
      </c>
      <c r="N867" s="29" t="s">
        <v>572</v>
      </c>
      <c r="O867" s="28"/>
      <c r="P867" s="28"/>
      <c r="Q867" s="28" t="s">
        <v>76</v>
      </c>
      <c r="R867" s="29"/>
      <c r="S867" s="28"/>
      <c r="T867" s="28"/>
      <c r="U867" s="28" t="s">
        <v>75</v>
      </c>
      <c r="V867" s="28" t="s">
        <v>75</v>
      </c>
      <c r="W867" s="28"/>
    </row>
    <row r="868" spans="1:23" s="12" customFormat="1" hidden="1">
      <c r="A868" s="46" t="s">
        <v>572</v>
      </c>
      <c r="B868" s="28" t="s">
        <v>1338</v>
      </c>
      <c r="C868" s="28" t="s">
        <v>944</v>
      </c>
      <c r="D868" s="28" t="s">
        <v>630</v>
      </c>
      <c r="E868" s="28" t="s">
        <v>156</v>
      </c>
      <c r="F868" s="28" t="s">
        <v>416</v>
      </c>
      <c r="G868" s="28" t="s">
        <v>416</v>
      </c>
      <c r="H868" s="28" t="s">
        <v>152</v>
      </c>
      <c r="I868" s="28" t="str">
        <f>VLOOKUP(F868,표준용어사전!$B:$D,3,FALSE)</f>
        <v>명V512</v>
      </c>
      <c r="J868" s="28" t="s">
        <v>718</v>
      </c>
      <c r="K868" s="27">
        <v>512</v>
      </c>
      <c r="L868" s="29" t="s">
        <v>571</v>
      </c>
      <c r="M868" s="29" t="s">
        <v>721</v>
      </c>
      <c r="N868" s="29" t="s">
        <v>572</v>
      </c>
      <c r="O868" s="28"/>
      <c r="P868" s="28"/>
      <c r="Q868" s="28" t="s">
        <v>76</v>
      </c>
      <c r="R868" s="29"/>
      <c r="S868" s="28"/>
      <c r="T868" s="28"/>
      <c r="U868" s="28" t="s">
        <v>75</v>
      </c>
      <c r="V868" s="28" t="s">
        <v>75</v>
      </c>
      <c r="W868" s="28"/>
    </row>
    <row r="869" spans="1:23" s="12" customFormat="1" hidden="1">
      <c r="A869" s="46" t="s">
        <v>572</v>
      </c>
      <c r="B869" s="28" t="s">
        <v>1338</v>
      </c>
      <c r="C869" s="28" t="s">
        <v>944</v>
      </c>
      <c r="D869" s="28" t="s">
        <v>630</v>
      </c>
      <c r="E869" s="28" t="s">
        <v>157</v>
      </c>
      <c r="F869" s="28" t="s">
        <v>417</v>
      </c>
      <c r="G869" s="28" t="s">
        <v>417</v>
      </c>
      <c r="H869" s="28" t="s">
        <v>152</v>
      </c>
      <c r="I869" s="28" t="str">
        <f>VLOOKUP(F869,표준용어사전!$B:$D,3,FALSE)</f>
        <v>내용TXT</v>
      </c>
      <c r="J869" s="28" t="s">
        <v>713</v>
      </c>
      <c r="K869" s="27" t="s">
        <v>571</v>
      </c>
      <c r="L869" s="29" t="s">
        <v>571</v>
      </c>
      <c r="M869" s="29"/>
      <c r="N869" s="29" t="s">
        <v>572</v>
      </c>
      <c r="O869" s="28"/>
      <c r="P869" s="28"/>
      <c r="Q869" s="28" t="s">
        <v>76</v>
      </c>
      <c r="R869" s="29"/>
      <c r="S869" s="28"/>
      <c r="T869" s="28"/>
      <c r="U869" s="28" t="s">
        <v>75</v>
      </c>
      <c r="V869" s="28" t="s">
        <v>75</v>
      </c>
      <c r="W869" s="28"/>
    </row>
    <row r="870" spans="1:23" s="12" customFormat="1" hidden="1">
      <c r="A870" s="46" t="s">
        <v>572</v>
      </c>
      <c r="B870" s="28" t="s">
        <v>1338</v>
      </c>
      <c r="C870" s="28" t="s">
        <v>944</v>
      </c>
      <c r="D870" s="28" t="s">
        <v>630</v>
      </c>
      <c r="E870" s="28" t="s">
        <v>158</v>
      </c>
      <c r="F870" s="28" t="s">
        <v>418</v>
      </c>
      <c r="G870" s="28" t="s">
        <v>418</v>
      </c>
      <c r="H870" s="28" t="s">
        <v>152</v>
      </c>
      <c r="I870" s="28" t="str">
        <f>VLOOKUP(F870,표준용어사전!$B:$D,3,FALSE)</f>
        <v>내용TXT</v>
      </c>
      <c r="J870" s="28" t="s">
        <v>713</v>
      </c>
      <c r="K870" s="27" t="s">
        <v>571</v>
      </c>
      <c r="L870" s="29" t="s">
        <v>571</v>
      </c>
      <c r="M870" s="29"/>
      <c r="N870" s="29" t="s">
        <v>572</v>
      </c>
      <c r="O870" s="28"/>
      <c r="P870" s="28"/>
      <c r="Q870" s="28" t="s">
        <v>76</v>
      </c>
      <c r="R870" s="29"/>
      <c r="S870" s="28"/>
      <c r="T870" s="28"/>
      <c r="U870" s="28" t="s">
        <v>75</v>
      </c>
      <c r="V870" s="28" t="s">
        <v>75</v>
      </c>
      <c r="W870" s="28"/>
    </row>
    <row r="871" spans="1:23" s="12" customFormat="1" hidden="1">
      <c r="A871" s="46" t="s">
        <v>572</v>
      </c>
      <c r="B871" s="28" t="s">
        <v>1338</v>
      </c>
      <c r="C871" s="28" t="s">
        <v>944</v>
      </c>
      <c r="D871" s="28" t="s">
        <v>630</v>
      </c>
      <c r="E871" s="28" t="s">
        <v>143</v>
      </c>
      <c r="F871" s="28" t="s">
        <v>406</v>
      </c>
      <c r="G871" s="28" t="s">
        <v>406</v>
      </c>
      <c r="H871" s="28" t="s">
        <v>152</v>
      </c>
      <c r="I871" s="28" t="str">
        <f>VLOOKUP(F871,표준용어사전!$B:$D,3,FALSE)</f>
        <v>명V256</v>
      </c>
      <c r="J871" s="28" t="s">
        <v>718</v>
      </c>
      <c r="K871" s="27">
        <v>256</v>
      </c>
      <c r="L871" s="29" t="s">
        <v>571</v>
      </c>
      <c r="M871" s="29" t="s">
        <v>730</v>
      </c>
      <c r="N871" s="29" t="s">
        <v>572</v>
      </c>
      <c r="O871" s="28"/>
      <c r="P871" s="28"/>
      <c r="Q871" s="28" t="s">
        <v>76</v>
      </c>
      <c r="R871" s="29"/>
      <c r="S871" s="28"/>
      <c r="T871" s="28"/>
      <c r="U871" s="28" t="s">
        <v>75</v>
      </c>
      <c r="V871" s="28" t="s">
        <v>75</v>
      </c>
      <c r="W871" s="28"/>
    </row>
    <row r="872" spans="1:23" s="12" customFormat="1" hidden="1">
      <c r="A872" s="46" t="s">
        <v>572</v>
      </c>
      <c r="B872" s="28" t="s">
        <v>1338</v>
      </c>
      <c r="C872" s="28" t="s">
        <v>944</v>
      </c>
      <c r="D872" s="28" t="s">
        <v>630</v>
      </c>
      <c r="E872" s="28" t="s">
        <v>142</v>
      </c>
      <c r="F872" s="28" t="s">
        <v>1612</v>
      </c>
      <c r="G872" s="28" t="s">
        <v>1612</v>
      </c>
      <c r="H872" s="28" t="s">
        <v>152</v>
      </c>
      <c r="I872" s="28" t="e">
        <f>VLOOKUP(F872,표준용어사전!$B:$D,3,FALSE)</f>
        <v>#N/A</v>
      </c>
      <c r="J872" s="28" t="s">
        <v>718</v>
      </c>
      <c r="K872" s="27">
        <v>2000</v>
      </c>
      <c r="L872" s="29" t="s">
        <v>571</v>
      </c>
      <c r="M872" s="29" t="s">
        <v>728</v>
      </c>
      <c r="N872" s="29" t="s">
        <v>572</v>
      </c>
      <c r="O872" s="28"/>
      <c r="P872" s="28"/>
      <c r="Q872" s="28" t="s">
        <v>76</v>
      </c>
      <c r="R872" s="29"/>
      <c r="S872" s="28"/>
      <c r="T872" s="28"/>
      <c r="U872" s="28" t="s">
        <v>75</v>
      </c>
      <c r="V872" s="28" t="s">
        <v>75</v>
      </c>
      <c r="W872" s="28"/>
    </row>
    <row r="873" spans="1:23" s="12" customFormat="1" hidden="1">
      <c r="A873" s="46" t="s">
        <v>572</v>
      </c>
      <c r="B873" s="28" t="s">
        <v>1338</v>
      </c>
      <c r="C873" s="28" t="s">
        <v>944</v>
      </c>
      <c r="D873" s="28" t="s">
        <v>630</v>
      </c>
      <c r="E873" s="28" t="s">
        <v>144</v>
      </c>
      <c r="F873" s="28" t="s">
        <v>407</v>
      </c>
      <c r="G873" s="28" t="s">
        <v>407</v>
      </c>
      <c r="H873" s="28" t="s">
        <v>152</v>
      </c>
      <c r="I873" s="28" t="e">
        <f>VLOOKUP(F873,표준용어사전!$B:$D,3,FALSE)</f>
        <v>#N/A</v>
      </c>
      <c r="J873" s="28" t="s">
        <v>718</v>
      </c>
      <c r="K873" s="27">
        <v>2000</v>
      </c>
      <c r="L873" s="29" t="s">
        <v>571</v>
      </c>
      <c r="M873" s="29" t="s">
        <v>728</v>
      </c>
      <c r="N873" s="29" t="s">
        <v>572</v>
      </c>
      <c r="O873" s="28"/>
      <c r="P873" s="28"/>
      <c r="Q873" s="28" t="s">
        <v>76</v>
      </c>
      <c r="R873" s="29"/>
      <c r="S873" s="28"/>
      <c r="T873" s="28"/>
      <c r="U873" s="28" t="s">
        <v>75</v>
      </c>
      <c r="V873" s="28" t="s">
        <v>75</v>
      </c>
      <c r="W873" s="28"/>
    </row>
    <row r="874" spans="1:23" s="12" customFormat="1" hidden="1">
      <c r="A874" s="46" t="s">
        <v>572</v>
      </c>
      <c r="B874" s="28" t="s">
        <v>1338</v>
      </c>
      <c r="C874" s="28" t="s">
        <v>944</v>
      </c>
      <c r="D874" s="28" t="s">
        <v>630</v>
      </c>
      <c r="E874" s="28" t="s">
        <v>159</v>
      </c>
      <c r="F874" s="28" t="s">
        <v>419</v>
      </c>
      <c r="G874" s="28" t="s">
        <v>419</v>
      </c>
      <c r="H874" s="28" t="s">
        <v>152</v>
      </c>
      <c r="I874" s="28" t="str">
        <f>VLOOKUP(F874,표준용어사전!$B:$D,3,FALSE)</f>
        <v>여부C1</v>
      </c>
      <c r="J874" s="28" t="s">
        <v>709</v>
      </c>
      <c r="K874" s="27">
        <v>1</v>
      </c>
      <c r="L874" s="29" t="s">
        <v>571</v>
      </c>
      <c r="M874" s="29" t="s">
        <v>722</v>
      </c>
      <c r="N874" s="29" t="s">
        <v>572</v>
      </c>
      <c r="O874" s="28"/>
      <c r="P874" s="28"/>
      <c r="Q874" s="28" t="s">
        <v>76</v>
      </c>
      <c r="R874" s="29"/>
      <c r="S874" s="28"/>
      <c r="T874" s="28" t="s">
        <v>576</v>
      </c>
      <c r="U874" s="28" t="s">
        <v>75</v>
      </c>
      <c r="V874" s="28" t="s">
        <v>75</v>
      </c>
      <c r="W874" s="28"/>
    </row>
    <row r="875" spans="1:23" s="12" customFormat="1" hidden="1">
      <c r="A875" s="46" t="s">
        <v>572</v>
      </c>
      <c r="B875" s="28" t="s">
        <v>1338</v>
      </c>
      <c r="C875" s="28" t="s">
        <v>944</v>
      </c>
      <c r="D875" s="28" t="s">
        <v>630</v>
      </c>
      <c r="E875" s="28" t="s">
        <v>849</v>
      </c>
      <c r="F875" s="28" t="s">
        <v>761</v>
      </c>
      <c r="G875" s="28" t="s">
        <v>761</v>
      </c>
      <c r="H875" s="28" t="s">
        <v>152</v>
      </c>
      <c r="I875" s="28" t="str">
        <f>VLOOKUP(F875,표준용어사전!$B:$D,3,FALSE)</f>
        <v>여부C1</v>
      </c>
      <c r="J875" s="28" t="s">
        <v>709</v>
      </c>
      <c r="K875" s="27">
        <v>1</v>
      </c>
      <c r="L875" s="29" t="s">
        <v>571</v>
      </c>
      <c r="M875" s="29" t="s">
        <v>722</v>
      </c>
      <c r="N875" s="29" t="s">
        <v>572</v>
      </c>
      <c r="O875" s="28"/>
      <c r="P875" s="28"/>
      <c r="Q875" s="28" t="s">
        <v>76</v>
      </c>
      <c r="R875" s="29"/>
      <c r="S875" s="28"/>
      <c r="T875" s="28" t="s">
        <v>576</v>
      </c>
      <c r="U875" s="28" t="s">
        <v>75</v>
      </c>
      <c r="V875" s="28" t="s">
        <v>75</v>
      </c>
      <c r="W875" s="28"/>
    </row>
    <row r="876" spans="1:23" s="12" customFormat="1" hidden="1">
      <c r="A876" s="46" t="s">
        <v>572</v>
      </c>
      <c r="B876" s="28" t="s">
        <v>1338</v>
      </c>
      <c r="C876" s="28" t="s">
        <v>944</v>
      </c>
      <c r="D876" s="28" t="s">
        <v>630</v>
      </c>
      <c r="E876" s="28" t="s">
        <v>90</v>
      </c>
      <c r="F876" s="28" t="s">
        <v>14</v>
      </c>
      <c r="G876" s="28" t="s">
        <v>14</v>
      </c>
      <c r="H876" s="28" t="s">
        <v>152</v>
      </c>
      <c r="I876" s="28" t="str">
        <f>VLOOKUP(F876,표준용어사전!$B:$D,3,FALSE)</f>
        <v>연월일시분초TS</v>
      </c>
      <c r="J876" s="28" t="s">
        <v>16</v>
      </c>
      <c r="K876" s="27" t="s">
        <v>571</v>
      </c>
      <c r="L876" s="29" t="s">
        <v>571</v>
      </c>
      <c r="M876" s="29" t="s">
        <v>726</v>
      </c>
      <c r="N876" s="29" t="s">
        <v>572</v>
      </c>
      <c r="O876" s="28"/>
      <c r="P876" s="28"/>
      <c r="Q876" s="28" t="s">
        <v>76</v>
      </c>
      <c r="R876" s="29"/>
      <c r="S876" s="28"/>
      <c r="T876" s="28"/>
      <c r="U876" s="28" t="s">
        <v>75</v>
      </c>
      <c r="V876" s="28" t="s">
        <v>75</v>
      </c>
      <c r="W876" s="28"/>
    </row>
    <row r="877" spans="1:23" s="12" customFormat="1" hidden="1">
      <c r="A877" s="46" t="s">
        <v>572</v>
      </c>
      <c r="B877" s="28" t="s">
        <v>1338</v>
      </c>
      <c r="C877" s="28" t="s">
        <v>944</v>
      </c>
      <c r="D877" s="28" t="s">
        <v>630</v>
      </c>
      <c r="E877" s="28" t="s">
        <v>91</v>
      </c>
      <c r="F877" s="28" t="s">
        <v>369</v>
      </c>
      <c r="G877" s="28" t="s">
        <v>369</v>
      </c>
      <c r="H877" s="28" t="s">
        <v>152</v>
      </c>
      <c r="I877" s="28" t="str">
        <f>VLOOKUP(F877,표준용어사전!$B:$D,3,FALSE)</f>
        <v>명V20</v>
      </c>
      <c r="J877" s="28" t="s">
        <v>78</v>
      </c>
      <c r="K877" s="27">
        <v>20</v>
      </c>
      <c r="L877" s="29" t="s">
        <v>571</v>
      </c>
      <c r="M877" s="29" t="s">
        <v>727</v>
      </c>
      <c r="N877" s="29" t="s">
        <v>572</v>
      </c>
      <c r="O877" s="28"/>
      <c r="P877" s="28"/>
      <c r="Q877" s="28" t="s">
        <v>76</v>
      </c>
      <c r="R877" s="29"/>
      <c r="S877" s="28"/>
      <c r="T877" s="28"/>
      <c r="U877" s="28" t="s">
        <v>75</v>
      </c>
      <c r="V877" s="28" t="s">
        <v>75</v>
      </c>
      <c r="W877" s="28"/>
    </row>
    <row r="878" spans="1:23" s="12" customFormat="1" hidden="1">
      <c r="A878" s="46" t="s">
        <v>572</v>
      </c>
      <c r="B878" s="28" t="s">
        <v>1338</v>
      </c>
      <c r="C878" s="28" t="s">
        <v>944</v>
      </c>
      <c r="D878" s="28" t="s">
        <v>630</v>
      </c>
      <c r="E878" s="28" t="s">
        <v>92</v>
      </c>
      <c r="F878" s="28" t="s">
        <v>15</v>
      </c>
      <c r="G878" s="28" t="s">
        <v>15</v>
      </c>
      <c r="H878" s="28" t="s">
        <v>152</v>
      </c>
      <c r="I878" s="28" t="str">
        <f>VLOOKUP(F878,표준용어사전!$B:$D,3,FALSE)</f>
        <v>연월일시분초TS</v>
      </c>
      <c r="J878" s="28" t="s">
        <v>16</v>
      </c>
      <c r="K878" s="27" t="s">
        <v>571</v>
      </c>
      <c r="L878" s="29" t="s">
        <v>571</v>
      </c>
      <c r="M878" s="29" t="s">
        <v>726</v>
      </c>
      <c r="N878" s="29" t="s">
        <v>572</v>
      </c>
      <c r="O878" s="28"/>
      <c r="P878" s="28"/>
      <c r="Q878" s="28" t="s">
        <v>76</v>
      </c>
      <c r="R878" s="29"/>
      <c r="S878" s="28"/>
      <c r="T878" s="28"/>
      <c r="U878" s="28" t="s">
        <v>75</v>
      </c>
      <c r="V878" s="28" t="s">
        <v>75</v>
      </c>
      <c r="W878" s="28"/>
    </row>
    <row r="879" spans="1:23" s="12" customFormat="1" hidden="1">
      <c r="A879" s="46" t="s">
        <v>572</v>
      </c>
      <c r="B879" s="28" t="s">
        <v>1338</v>
      </c>
      <c r="C879" s="28" t="s">
        <v>944</v>
      </c>
      <c r="D879" s="28" t="s">
        <v>630</v>
      </c>
      <c r="E879" s="28" t="s">
        <v>93</v>
      </c>
      <c r="F879" s="28" t="s">
        <v>370</v>
      </c>
      <c r="G879" s="28" t="s">
        <v>370</v>
      </c>
      <c r="H879" s="28" t="s">
        <v>152</v>
      </c>
      <c r="I879" s="28" t="str">
        <f>VLOOKUP(F879,표준용어사전!$B:$D,3,FALSE)</f>
        <v>명V20</v>
      </c>
      <c r="J879" s="28" t="s">
        <v>78</v>
      </c>
      <c r="K879" s="27">
        <v>20</v>
      </c>
      <c r="L879" s="29" t="s">
        <v>571</v>
      </c>
      <c r="M879" s="29" t="s">
        <v>727</v>
      </c>
      <c r="N879" s="29" t="s">
        <v>572</v>
      </c>
      <c r="O879" s="28"/>
      <c r="P879" s="28"/>
      <c r="Q879" s="28" t="s">
        <v>76</v>
      </c>
      <c r="R879" s="29"/>
      <c r="S879" s="28"/>
      <c r="T879" s="28"/>
      <c r="U879" s="28" t="s">
        <v>75</v>
      </c>
      <c r="V879" s="28" t="s">
        <v>75</v>
      </c>
      <c r="W879" s="28"/>
    </row>
    <row r="880" spans="1:23" s="12" customFormat="1" hidden="1">
      <c r="A880" s="46" t="s">
        <v>572</v>
      </c>
      <c r="B880" s="28" t="s">
        <v>1338</v>
      </c>
      <c r="C880" s="28" t="s">
        <v>944</v>
      </c>
      <c r="D880" s="28" t="s">
        <v>678</v>
      </c>
      <c r="E880" s="28" t="s">
        <v>1431</v>
      </c>
      <c r="F880" s="28" t="s">
        <v>1626</v>
      </c>
      <c r="G880" s="28" t="s">
        <v>1626</v>
      </c>
      <c r="H880" s="28" t="s">
        <v>160</v>
      </c>
      <c r="I880" s="28" t="e">
        <f>VLOOKUP(F880,표준용어사전!$B:$D,3,FALSE)</f>
        <v>#N/A</v>
      </c>
      <c r="J880" s="28" t="s">
        <v>1349</v>
      </c>
      <c r="K880" s="27" t="s">
        <v>927</v>
      </c>
      <c r="L880" s="29" t="s">
        <v>927</v>
      </c>
      <c r="M880" s="29" t="s">
        <v>1353</v>
      </c>
      <c r="N880" s="29" t="s">
        <v>572</v>
      </c>
      <c r="O880" s="28"/>
      <c r="P880" s="28"/>
      <c r="Q880" s="28" t="s">
        <v>76</v>
      </c>
      <c r="R880" s="29"/>
      <c r="S880" s="28"/>
      <c r="T880" s="28"/>
      <c r="U880" s="28" t="s">
        <v>75</v>
      </c>
      <c r="V880" s="28" t="s">
        <v>75</v>
      </c>
      <c r="W880" s="28"/>
    </row>
    <row r="881" spans="1:23" s="12" customFormat="1" hidden="1">
      <c r="A881" s="46" t="s">
        <v>572</v>
      </c>
      <c r="B881" s="28" t="s">
        <v>1338</v>
      </c>
      <c r="C881" s="28" t="s">
        <v>944</v>
      </c>
      <c r="D881" s="28" t="s">
        <v>678</v>
      </c>
      <c r="E881" s="28" t="s">
        <v>89</v>
      </c>
      <c r="F881" s="28" t="s">
        <v>501</v>
      </c>
      <c r="G881" s="28" t="s">
        <v>501</v>
      </c>
      <c r="H881" s="28" t="s">
        <v>160</v>
      </c>
      <c r="I881" s="28" t="str">
        <f>VLOOKUP(F881,표준용어사전!$B:$D,3,FALSE)</f>
        <v>명V20</v>
      </c>
      <c r="J881" s="28" t="s">
        <v>718</v>
      </c>
      <c r="K881" s="27">
        <v>50</v>
      </c>
      <c r="L881" s="29" t="s">
        <v>571</v>
      </c>
      <c r="M881" s="29" t="s">
        <v>720</v>
      </c>
      <c r="N881" s="29" t="s">
        <v>572</v>
      </c>
      <c r="O881" s="28"/>
      <c r="P881" s="28"/>
      <c r="Q881" s="28" t="s">
        <v>76</v>
      </c>
      <c r="R881" s="29"/>
      <c r="S881" s="28"/>
      <c r="T881" s="28"/>
      <c r="U881" s="28" t="s">
        <v>75</v>
      </c>
      <c r="V881" s="28" t="s">
        <v>75</v>
      </c>
      <c r="W881" s="28"/>
    </row>
    <row r="882" spans="1:23" s="12" customFormat="1" hidden="1">
      <c r="A882" s="46" t="s">
        <v>572</v>
      </c>
      <c r="B882" s="28" t="s">
        <v>1338</v>
      </c>
      <c r="C882" s="28" t="s">
        <v>944</v>
      </c>
      <c r="D882" s="28" t="s">
        <v>678</v>
      </c>
      <c r="E882" s="28" t="s">
        <v>43</v>
      </c>
      <c r="F882" s="28" t="s">
        <v>1611</v>
      </c>
      <c r="G882" s="28" t="s">
        <v>1611</v>
      </c>
      <c r="H882" s="28" t="s">
        <v>160</v>
      </c>
      <c r="I882" s="28" t="e">
        <f>VLOOKUP(F882,표준용어사전!$B:$D,3,FALSE)</f>
        <v>#N/A</v>
      </c>
      <c r="J882" s="28" t="s">
        <v>748</v>
      </c>
      <c r="K882" s="27">
        <v>10</v>
      </c>
      <c r="L882" s="29" t="s">
        <v>571</v>
      </c>
      <c r="M882" s="29">
        <v>9999999999</v>
      </c>
      <c r="N882" s="29" t="s">
        <v>572</v>
      </c>
      <c r="O882" s="28"/>
      <c r="P882" s="28"/>
      <c r="Q882" s="28" t="s">
        <v>76</v>
      </c>
      <c r="R882" s="29"/>
      <c r="S882" s="28"/>
      <c r="T882" s="28"/>
      <c r="U882" s="28" t="s">
        <v>75</v>
      </c>
      <c r="V882" s="28" t="s">
        <v>75</v>
      </c>
      <c r="W882" s="28"/>
    </row>
    <row r="883" spans="1:23" s="12" customFormat="1" hidden="1">
      <c r="A883" s="46" t="s">
        <v>572</v>
      </c>
      <c r="B883" s="28" t="s">
        <v>1338</v>
      </c>
      <c r="C883" s="28" t="s">
        <v>944</v>
      </c>
      <c r="D883" s="28" t="s">
        <v>678</v>
      </c>
      <c r="E883" s="28" t="s">
        <v>161</v>
      </c>
      <c r="F883" s="28" t="s">
        <v>420</v>
      </c>
      <c r="G883" s="28" t="s">
        <v>420</v>
      </c>
      <c r="H883" s="28" t="s">
        <v>160</v>
      </c>
      <c r="I883" s="28" t="str">
        <f>VLOOKUP(F883,표준용어사전!$B:$D,3,FALSE)</f>
        <v>내용TXT</v>
      </c>
      <c r="J883" s="28" t="s">
        <v>713</v>
      </c>
      <c r="K883" s="27" t="s">
        <v>571</v>
      </c>
      <c r="L883" s="29" t="s">
        <v>571</v>
      </c>
      <c r="M883" s="29"/>
      <c r="N883" s="29" t="s">
        <v>572</v>
      </c>
      <c r="O883" s="28"/>
      <c r="P883" s="28"/>
      <c r="Q883" s="28" t="s">
        <v>76</v>
      </c>
      <c r="R883" s="29"/>
      <c r="S883" s="28"/>
      <c r="T883" s="28"/>
      <c r="U883" s="28" t="s">
        <v>75</v>
      </c>
      <c r="V883" s="28" t="s">
        <v>75</v>
      </c>
      <c r="W883" s="28"/>
    </row>
    <row r="884" spans="1:23" s="12" customFormat="1" hidden="1">
      <c r="A884" s="46" t="s">
        <v>572</v>
      </c>
      <c r="B884" s="28" t="s">
        <v>1338</v>
      </c>
      <c r="C884" s="28" t="s">
        <v>944</v>
      </c>
      <c r="D884" s="28" t="s">
        <v>678</v>
      </c>
      <c r="E884" s="28" t="s">
        <v>162</v>
      </c>
      <c r="F884" s="28" t="s">
        <v>421</v>
      </c>
      <c r="G884" s="28" t="s">
        <v>421</v>
      </c>
      <c r="H884" s="28" t="s">
        <v>160</v>
      </c>
      <c r="I884" s="28" t="str">
        <f>VLOOKUP(F884,표준용어사전!$B:$D,3,FALSE)</f>
        <v>여부C1</v>
      </c>
      <c r="J884" s="28" t="s">
        <v>709</v>
      </c>
      <c r="K884" s="27">
        <v>1</v>
      </c>
      <c r="L884" s="29" t="s">
        <v>571</v>
      </c>
      <c r="M884" s="29" t="s">
        <v>722</v>
      </c>
      <c r="N884" s="29" t="s">
        <v>572</v>
      </c>
      <c r="O884" s="28"/>
      <c r="P884" s="28"/>
      <c r="Q884" s="28" t="s">
        <v>76</v>
      </c>
      <c r="R884" s="29"/>
      <c r="S884" s="28"/>
      <c r="T884" s="28" t="s">
        <v>576</v>
      </c>
      <c r="U884" s="28" t="s">
        <v>75</v>
      </c>
      <c r="V884" s="28" t="s">
        <v>75</v>
      </c>
      <c r="W884" s="28"/>
    </row>
    <row r="885" spans="1:23" s="12" customFormat="1" hidden="1">
      <c r="A885" s="46" t="s">
        <v>572</v>
      </c>
      <c r="B885" s="28" t="s">
        <v>1338</v>
      </c>
      <c r="C885" s="28" t="s">
        <v>944</v>
      </c>
      <c r="D885" s="28" t="s">
        <v>678</v>
      </c>
      <c r="E885" s="28" t="s">
        <v>142</v>
      </c>
      <c r="F885" s="28" t="s">
        <v>1612</v>
      </c>
      <c r="G885" s="28" t="s">
        <v>1612</v>
      </c>
      <c r="H885" s="28" t="s">
        <v>160</v>
      </c>
      <c r="I885" s="28" t="e">
        <f>VLOOKUP(F885,표준용어사전!$B:$D,3,FALSE)</f>
        <v>#N/A</v>
      </c>
      <c r="J885" s="28" t="s">
        <v>718</v>
      </c>
      <c r="K885" s="27">
        <v>2000</v>
      </c>
      <c r="L885" s="29" t="s">
        <v>571</v>
      </c>
      <c r="M885" s="29" t="s">
        <v>728</v>
      </c>
      <c r="N885" s="29" t="s">
        <v>572</v>
      </c>
      <c r="O885" s="28"/>
      <c r="P885" s="28"/>
      <c r="Q885" s="28" t="s">
        <v>76</v>
      </c>
      <c r="R885" s="29"/>
      <c r="S885" s="28"/>
      <c r="T885" s="28"/>
      <c r="U885" s="28" t="s">
        <v>75</v>
      </c>
      <c r="V885" s="28" t="s">
        <v>75</v>
      </c>
      <c r="W885" s="28"/>
    </row>
    <row r="886" spans="1:23" s="12" customFormat="1" hidden="1">
      <c r="A886" s="46" t="s">
        <v>572</v>
      </c>
      <c r="B886" s="28" t="s">
        <v>1338</v>
      </c>
      <c r="C886" s="28" t="s">
        <v>944</v>
      </c>
      <c r="D886" s="28" t="s">
        <v>678</v>
      </c>
      <c r="E886" s="28" t="s">
        <v>90</v>
      </c>
      <c r="F886" s="28" t="s">
        <v>14</v>
      </c>
      <c r="G886" s="28" t="s">
        <v>14</v>
      </c>
      <c r="H886" s="28" t="s">
        <v>160</v>
      </c>
      <c r="I886" s="28" t="str">
        <f>VLOOKUP(F886,표준용어사전!$B:$D,3,FALSE)</f>
        <v>연월일시분초TS</v>
      </c>
      <c r="J886" s="28" t="s">
        <v>16</v>
      </c>
      <c r="K886" s="27" t="s">
        <v>571</v>
      </c>
      <c r="L886" s="29" t="s">
        <v>571</v>
      </c>
      <c r="M886" s="29" t="s">
        <v>726</v>
      </c>
      <c r="N886" s="29" t="s">
        <v>572</v>
      </c>
      <c r="O886" s="28"/>
      <c r="P886" s="28"/>
      <c r="Q886" s="28" t="s">
        <v>76</v>
      </c>
      <c r="R886" s="29"/>
      <c r="S886" s="28"/>
      <c r="T886" s="28"/>
      <c r="U886" s="28" t="s">
        <v>75</v>
      </c>
      <c r="V886" s="28" t="s">
        <v>75</v>
      </c>
      <c r="W886" s="28"/>
    </row>
    <row r="887" spans="1:23" s="12" customFormat="1" hidden="1">
      <c r="A887" s="46" t="s">
        <v>572</v>
      </c>
      <c r="B887" s="28" t="s">
        <v>1338</v>
      </c>
      <c r="C887" s="28" t="s">
        <v>944</v>
      </c>
      <c r="D887" s="28" t="s">
        <v>678</v>
      </c>
      <c r="E887" s="28" t="s">
        <v>91</v>
      </c>
      <c r="F887" s="28" t="s">
        <v>369</v>
      </c>
      <c r="G887" s="28" t="s">
        <v>369</v>
      </c>
      <c r="H887" s="28" t="s">
        <v>160</v>
      </c>
      <c r="I887" s="28" t="str">
        <f>VLOOKUP(F887,표준용어사전!$B:$D,3,FALSE)</f>
        <v>명V20</v>
      </c>
      <c r="J887" s="28" t="s">
        <v>78</v>
      </c>
      <c r="K887" s="27">
        <v>20</v>
      </c>
      <c r="L887" s="29" t="s">
        <v>571</v>
      </c>
      <c r="M887" s="29" t="s">
        <v>727</v>
      </c>
      <c r="N887" s="29" t="s">
        <v>572</v>
      </c>
      <c r="O887" s="28"/>
      <c r="P887" s="28"/>
      <c r="Q887" s="28" t="s">
        <v>76</v>
      </c>
      <c r="R887" s="29"/>
      <c r="S887" s="28"/>
      <c r="T887" s="28"/>
      <c r="U887" s="28" t="s">
        <v>75</v>
      </c>
      <c r="V887" s="28" t="s">
        <v>75</v>
      </c>
      <c r="W887" s="28"/>
    </row>
    <row r="888" spans="1:23" s="12" customFormat="1" hidden="1">
      <c r="A888" s="46" t="s">
        <v>572</v>
      </c>
      <c r="B888" s="28" t="s">
        <v>1338</v>
      </c>
      <c r="C888" s="28" t="s">
        <v>944</v>
      </c>
      <c r="D888" s="28" t="s">
        <v>678</v>
      </c>
      <c r="E888" s="28" t="s">
        <v>92</v>
      </c>
      <c r="F888" s="28" t="s">
        <v>15</v>
      </c>
      <c r="G888" s="28" t="s">
        <v>15</v>
      </c>
      <c r="H888" s="28" t="s">
        <v>160</v>
      </c>
      <c r="I888" s="28" t="str">
        <f>VLOOKUP(F888,표준용어사전!$B:$D,3,FALSE)</f>
        <v>연월일시분초TS</v>
      </c>
      <c r="J888" s="28" t="s">
        <v>16</v>
      </c>
      <c r="K888" s="27" t="s">
        <v>571</v>
      </c>
      <c r="L888" s="29" t="s">
        <v>571</v>
      </c>
      <c r="M888" s="29" t="s">
        <v>726</v>
      </c>
      <c r="N888" s="29" t="s">
        <v>572</v>
      </c>
      <c r="O888" s="28"/>
      <c r="P888" s="28"/>
      <c r="Q888" s="28" t="s">
        <v>76</v>
      </c>
      <c r="R888" s="29"/>
      <c r="S888" s="28"/>
      <c r="T888" s="28"/>
      <c r="U888" s="28" t="s">
        <v>75</v>
      </c>
      <c r="V888" s="28" t="s">
        <v>75</v>
      </c>
      <c r="W888" s="28"/>
    </row>
    <row r="889" spans="1:23" s="12" customFormat="1" hidden="1">
      <c r="A889" s="46" t="s">
        <v>572</v>
      </c>
      <c r="B889" s="28" t="s">
        <v>1338</v>
      </c>
      <c r="C889" s="28" t="s">
        <v>944</v>
      </c>
      <c r="D889" s="28" t="s">
        <v>678</v>
      </c>
      <c r="E889" s="28" t="s">
        <v>93</v>
      </c>
      <c r="F889" s="28" t="s">
        <v>370</v>
      </c>
      <c r="G889" s="28" t="s">
        <v>370</v>
      </c>
      <c r="H889" s="28" t="s">
        <v>160</v>
      </c>
      <c r="I889" s="28" t="str">
        <f>VLOOKUP(F889,표준용어사전!$B:$D,3,FALSE)</f>
        <v>명V20</v>
      </c>
      <c r="J889" s="28" t="s">
        <v>78</v>
      </c>
      <c r="K889" s="27">
        <v>20</v>
      </c>
      <c r="L889" s="29" t="s">
        <v>571</v>
      </c>
      <c r="M889" s="29" t="s">
        <v>727</v>
      </c>
      <c r="N889" s="29" t="s">
        <v>572</v>
      </c>
      <c r="O889" s="28"/>
      <c r="P889" s="28"/>
      <c r="Q889" s="28" t="s">
        <v>76</v>
      </c>
      <c r="R889" s="29"/>
      <c r="S889" s="28"/>
      <c r="T889" s="28"/>
      <c r="U889" s="28" t="s">
        <v>75</v>
      </c>
      <c r="V889" s="28" t="s">
        <v>75</v>
      </c>
      <c r="W889" s="28"/>
    </row>
    <row r="890" spans="1:23" s="12" customFormat="1" hidden="1">
      <c r="A890" s="46" t="s">
        <v>572</v>
      </c>
      <c r="B890" s="28" t="s">
        <v>1338</v>
      </c>
      <c r="C890" s="28" t="s">
        <v>944</v>
      </c>
      <c r="D890" s="28" t="s">
        <v>631</v>
      </c>
      <c r="E890" s="28" t="s">
        <v>1431</v>
      </c>
      <c r="F890" s="28" t="s">
        <v>1626</v>
      </c>
      <c r="G890" s="28" t="s">
        <v>1626</v>
      </c>
      <c r="H890" s="28" t="s">
        <v>194</v>
      </c>
      <c r="I890" s="28" t="e">
        <f>VLOOKUP(F890,표준용어사전!$B:$D,3,FALSE)</f>
        <v>#N/A</v>
      </c>
      <c r="J890" s="28" t="s">
        <v>1349</v>
      </c>
      <c r="K890" s="27" t="s">
        <v>927</v>
      </c>
      <c r="L890" s="29" t="s">
        <v>927</v>
      </c>
      <c r="M890" s="29" t="s">
        <v>1353</v>
      </c>
      <c r="N890" s="29" t="s">
        <v>572</v>
      </c>
      <c r="O890" s="28"/>
      <c r="P890" s="28"/>
      <c r="Q890" s="28" t="s">
        <v>76</v>
      </c>
      <c r="R890" s="29"/>
      <c r="S890" s="28"/>
      <c r="T890" s="28"/>
      <c r="U890" s="28" t="s">
        <v>75</v>
      </c>
      <c r="V890" s="28" t="s">
        <v>75</v>
      </c>
      <c r="W890" s="28"/>
    </row>
    <row r="891" spans="1:23" s="12" customFormat="1" hidden="1">
      <c r="A891" s="46" t="s">
        <v>572</v>
      </c>
      <c r="B891" s="28" t="s">
        <v>1338</v>
      </c>
      <c r="C891" s="28" t="s">
        <v>944</v>
      </c>
      <c r="D891" s="28" t="s">
        <v>631</v>
      </c>
      <c r="E891" s="28" t="s">
        <v>103</v>
      </c>
      <c r="F891" s="28" t="s">
        <v>380</v>
      </c>
      <c r="G891" s="28" t="s">
        <v>380</v>
      </c>
      <c r="H891" s="28" t="s">
        <v>194</v>
      </c>
      <c r="I891" s="28" t="str">
        <f>VLOOKUP(F891,표준용어사전!$B:$D,3,FALSE)</f>
        <v>명V50</v>
      </c>
      <c r="J891" s="28" t="s">
        <v>718</v>
      </c>
      <c r="K891" s="27">
        <v>50</v>
      </c>
      <c r="L891" s="29" t="s">
        <v>571</v>
      </c>
      <c r="M891" s="29" t="s">
        <v>720</v>
      </c>
      <c r="N891" s="29" t="s">
        <v>572</v>
      </c>
      <c r="O891" s="28"/>
      <c r="P891" s="28"/>
      <c r="Q891" s="28" t="s">
        <v>76</v>
      </c>
      <c r="R891" s="29"/>
      <c r="S891" s="28"/>
      <c r="T891" s="28"/>
      <c r="U891" s="28" t="s">
        <v>75</v>
      </c>
      <c r="V891" s="28" t="s">
        <v>75</v>
      </c>
      <c r="W891" s="28"/>
    </row>
    <row r="892" spans="1:23" s="12" customFormat="1" hidden="1">
      <c r="A892" s="46" t="s">
        <v>572</v>
      </c>
      <c r="B892" s="28" t="s">
        <v>1338</v>
      </c>
      <c r="C892" s="28" t="s">
        <v>944</v>
      </c>
      <c r="D892" s="28" t="s">
        <v>631</v>
      </c>
      <c r="E892" s="28" t="s">
        <v>89</v>
      </c>
      <c r="F892" s="28" t="s">
        <v>501</v>
      </c>
      <c r="G892" s="28" t="s">
        <v>501</v>
      </c>
      <c r="H892" s="28" t="s">
        <v>194</v>
      </c>
      <c r="I892" s="28" t="str">
        <f>VLOOKUP(F892,표준용어사전!$B:$D,3,FALSE)</f>
        <v>명V20</v>
      </c>
      <c r="J892" s="28" t="s">
        <v>718</v>
      </c>
      <c r="K892" s="27">
        <v>50</v>
      </c>
      <c r="L892" s="29" t="s">
        <v>571</v>
      </c>
      <c r="M892" s="29" t="s">
        <v>720</v>
      </c>
      <c r="N892" s="29" t="s">
        <v>572</v>
      </c>
      <c r="O892" s="28"/>
      <c r="P892" s="28"/>
      <c r="Q892" s="28" t="s">
        <v>76</v>
      </c>
      <c r="R892" s="29"/>
      <c r="S892" s="28"/>
      <c r="T892" s="28"/>
      <c r="U892" s="28" t="s">
        <v>75</v>
      </c>
      <c r="V892" s="28" t="s">
        <v>75</v>
      </c>
      <c r="W892" s="28"/>
    </row>
    <row r="893" spans="1:23" s="12" customFormat="1" hidden="1">
      <c r="A893" s="46" t="s">
        <v>572</v>
      </c>
      <c r="B893" s="28" t="s">
        <v>1338</v>
      </c>
      <c r="C893" s="28" t="s">
        <v>944</v>
      </c>
      <c r="D893" s="28" t="s">
        <v>631</v>
      </c>
      <c r="E893" s="28" t="s">
        <v>195</v>
      </c>
      <c r="F893" s="28" t="s">
        <v>444</v>
      </c>
      <c r="G893" s="28" t="s">
        <v>444</v>
      </c>
      <c r="H893" s="28" t="s">
        <v>194</v>
      </c>
      <c r="I893" s="28" t="str">
        <f>VLOOKUP(F893,표준용어사전!$B:$D,3,FALSE)</f>
        <v>위도N12,10</v>
      </c>
      <c r="J893" s="28" t="s">
        <v>748</v>
      </c>
      <c r="K893" s="27">
        <v>12</v>
      </c>
      <c r="L893" s="29">
        <v>10</v>
      </c>
      <c r="M893" s="29" t="s">
        <v>1350</v>
      </c>
      <c r="N893" s="29" t="s">
        <v>572</v>
      </c>
      <c r="O893" s="28"/>
      <c r="P893" s="28"/>
      <c r="Q893" s="28" t="s">
        <v>76</v>
      </c>
      <c r="R893" s="29"/>
      <c r="S893" s="28"/>
      <c r="T893" s="28"/>
      <c r="U893" s="28" t="s">
        <v>75</v>
      </c>
      <c r="V893" s="28" t="s">
        <v>75</v>
      </c>
      <c r="W893" s="28"/>
    </row>
    <row r="894" spans="1:23" s="12" customFormat="1" hidden="1">
      <c r="A894" s="46" t="s">
        <v>572</v>
      </c>
      <c r="B894" s="28" t="s">
        <v>1338</v>
      </c>
      <c r="C894" s="28" t="s">
        <v>944</v>
      </c>
      <c r="D894" s="28" t="s">
        <v>631</v>
      </c>
      <c r="E894" s="28" t="s">
        <v>196</v>
      </c>
      <c r="F894" s="28" t="s">
        <v>445</v>
      </c>
      <c r="G894" s="28" t="s">
        <v>445</v>
      </c>
      <c r="H894" s="28" t="s">
        <v>194</v>
      </c>
      <c r="I894" s="28" t="str">
        <f>VLOOKUP(F894,표준용어사전!$B:$D,3,FALSE)</f>
        <v>경도N13,10</v>
      </c>
      <c r="J894" s="28" t="s">
        <v>748</v>
      </c>
      <c r="K894" s="27">
        <v>13</v>
      </c>
      <c r="L894" s="29">
        <v>10</v>
      </c>
      <c r="M894" s="29" t="s">
        <v>1351</v>
      </c>
      <c r="N894" s="29" t="s">
        <v>572</v>
      </c>
      <c r="O894" s="28"/>
      <c r="P894" s="28"/>
      <c r="Q894" s="28" t="s">
        <v>76</v>
      </c>
      <c r="R894" s="29"/>
      <c r="S894" s="28"/>
      <c r="T894" s="28"/>
      <c r="U894" s="28" t="s">
        <v>75</v>
      </c>
      <c r="V894" s="28" t="s">
        <v>75</v>
      </c>
      <c r="W894" s="28"/>
    </row>
    <row r="895" spans="1:23" s="12" customFormat="1" hidden="1">
      <c r="A895" s="46" t="s">
        <v>572</v>
      </c>
      <c r="B895" s="28" t="s">
        <v>1338</v>
      </c>
      <c r="C895" s="28" t="s">
        <v>944</v>
      </c>
      <c r="D895" s="28" t="s">
        <v>631</v>
      </c>
      <c r="E895" s="28" t="s">
        <v>197</v>
      </c>
      <c r="F895" s="28" t="s">
        <v>446</v>
      </c>
      <c r="G895" s="28" t="s">
        <v>446</v>
      </c>
      <c r="H895" s="28" t="s">
        <v>194</v>
      </c>
      <c r="I895" s="28" t="str">
        <f>VLOOKUP(F895,표준용어사전!$B:$D,3,FALSE)</f>
        <v>위도N12,10</v>
      </c>
      <c r="J895" s="28" t="s">
        <v>748</v>
      </c>
      <c r="K895" s="27">
        <v>12</v>
      </c>
      <c r="L895" s="29">
        <v>10</v>
      </c>
      <c r="M895" s="29" t="s">
        <v>1350</v>
      </c>
      <c r="N895" s="29" t="s">
        <v>572</v>
      </c>
      <c r="O895" s="28"/>
      <c r="P895" s="28"/>
      <c r="Q895" s="28" t="s">
        <v>76</v>
      </c>
      <c r="R895" s="29"/>
      <c r="S895" s="28"/>
      <c r="T895" s="28"/>
      <c r="U895" s="28" t="s">
        <v>75</v>
      </c>
      <c r="V895" s="28" t="s">
        <v>75</v>
      </c>
      <c r="W895" s="28"/>
    </row>
    <row r="896" spans="1:23" s="12" customFormat="1" hidden="1">
      <c r="A896" s="46" t="s">
        <v>572</v>
      </c>
      <c r="B896" s="28" t="s">
        <v>1338</v>
      </c>
      <c r="C896" s="28" t="s">
        <v>944</v>
      </c>
      <c r="D896" s="28" t="s">
        <v>631</v>
      </c>
      <c r="E896" s="28" t="s">
        <v>198</v>
      </c>
      <c r="F896" s="28" t="s">
        <v>447</v>
      </c>
      <c r="G896" s="28" t="s">
        <v>447</v>
      </c>
      <c r="H896" s="28" t="s">
        <v>194</v>
      </c>
      <c r="I896" s="28" t="str">
        <f>VLOOKUP(F896,표준용어사전!$B:$D,3,FALSE)</f>
        <v>경도N13,10</v>
      </c>
      <c r="J896" s="28" t="s">
        <v>748</v>
      </c>
      <c r="K896" s="27">
        <v>13</v>
      </c>
      <c r="L896" s="29">
        <v>10</v>
      </c>
      <c r="M896" s="29" t="s">
        <v>1351</v>
      </c>
      <c r="N896" s="29" t="s">
        <v>572</v>
      </c>
      <c r="O896" s="28"/>
      <c r="P896" s="28"/>
      <c r="Q896" s="28" t="s">
        <v>76</v>
      </c>
      <c r="R896" s="29"/>
      <c r="S896" s="28"/>
      <c r="T896" s="28"/>
      <c r="U896" s="28" t="s">
        <v>75</v>
      </c>
      <c r="V896" s="28" t="s">
        <v>75</v>
      </c>
      <c r="W896" s="28"/>
    </row>
    <row r="897" spans="1:23" s="12" customFormat="1" hidden="1">
      <c r="A897" s="46" t="s">
        <v>572</v>
      </c>
      <c r="B897" s="28" t="s">
        <v>1338</v>
      </c>
      <c r="C897" s="28" t="s">
        <v>944</v>
      </c>
      <c r="D897" s="28" t="s">
        <v>631</v>
      </c>
      <c r="E897" s="28" t="s">
        <v>199</v>
      </c>
      <c r="F897" s="28" t="s">
        <v>448</v>
      </c>
      <c r="G897" s="28" t="s">
        <v>448</v>
      </c>
      <c r="H897" s="28" t="s">
        <v>194</v>
      </c>
      <c r="I897" s="28" t="e">
        <f>VLOOKUP(F897,표준용어사전!$B:$D,3,FALSE)</f>
        <v>#N/A</v>
      </c>
      <c r="J897" s="28" t="s">
        <v>709</v>
      </c>
      <c r="K897" s="27">
        <v>4</v>
      </c>
      <c r="L897" s="29" t="s">
        <v>571</v>
      </c>
      <c r="M897" s="29" t="s">
        <v>1352</v>
      </c>
      <c r="N897" s="29" t="s">
        <v>572</v>
      </c>
      <c r="O897" s="28"/>
      <c r="P897" s="28"/>
      <c r="Q897" s="28" t="s">
        <v>76</v>
      </c>
      <c r="R897" s="29"/>
      <c r="S897" s="28"/>
      <c r="T897" s="28"/>
      <c r="U897" s="28" t="s">
        <v>75</v>
      </c>
      <c r="V897" s="28" t="s">
        <v>75</v>
      </c>
      <c r="W897" s="28"/>
    </row>
    <row r="898" spans="1:23" s="12" customFormat="1" hidden="1">
      <c r="A898" s="46" t="s">
        <v>572</v>
      </c>
      <c r="B898" s="28" t="s">
        <v>1338</v>
      </c>
      <c r="C898" s="28" t="s">
        <v>944</v>
      </c>
      <c r="D898" s="28" t="s">
        <v>631</v>
      </c>
      <c r="E898" s="28" t="s">
        <v>200</v>
      </c>
      <c r="F898" s="28" t="s">
        <v>449</v>
      </c>
      <c r="G898" s="28" t="s">
        <v>449</v>
      </c>
      <c r="H898" s="28" t="s">
        <v>194</v>
      </c>
      <c r="I898" s="28" t="e">
        <f>VLOOKUP(F898,표준용어사전!$B:$D,3,FALSE)</f>
        <v>#N/A</v>
      </c>
      <c r="J898" s="28" t="s">
        <v>709</v>
      </c>
      <c r="K898" s="27">
        <v>4</v>
      </c>
      <c r="L898" s="29" t="s">
        <v>571</v>
      </c>
      <c r="M898" s="29" t="s">
        <v>1352</v>
      </c>
      <c r="N898" s="29" t="s">
        <v>572</v>
      </c>
      <c r="O898" s="28"/>
      <c r="P898" s="28"/>
      <c r="Q898" s="28" t="s">
        <v>76</v>
      </c>
      <c r="R898" s="29"/>
      <c r="S898" s="28"/>
      <c r="T898" s="28"/>
      <c r="U898" s="28" t="s">
        <v>75</v>
      </c>
      <c r="V898" s="28" t="s">
        <v>75</v>
      </c>
      <c r="W898" s="28"/>
    </row>
    <row r="899" spans="1:23" s="12" customFormat="1" hidden="1">
      <c r="A899" s="46" t="s">
        <v>572</v>
      </c>
      <c r="B899" s="28" t="s">
        <v>1338</v>
      </c>
      <c r="C899" s="28" t="s">
        <v>944</v>
      </c>
      <c r="D899" s="28" t="s">
        <v>631</v>
      </c>
      <c r="E899" s="28" t="s">
        <v>201</v>
      </c>
      <c r="F899" s="28" t="s">
        <v>450</v>
      </c>
      <c r="G899" s="28" t="s">
        <v>450</v>
      </c>
      <c r="H899" s="28" t="s">
        <v>194</v>
      </c>
      <c r="I899" s="28" t="str">
        <f>VLOOKUP(F899,표준용어사전!$B:$D,3,FALSE)</f>
        <v>수N10</v>
      </c>
      <c r="J899" s="28" t="s">
        <v>748</v>
      </c>
      <c r="K899" s="27">
        <v>10</v>
      </c>
      <c r="L899" s="29" t="s">
        <v>571</v>
      </c>
      <c r="M899" s="29">
        <v>9999999999</v>
      </c>
      <c r="N899" s="29" t="s">
        <v>572</v>
      </c>
      <c r="O899" s="28"/>
      <c r="P899" s="28"/>
      <c r="Q899" s="28" t="s">
        <v>76</v>
      </c>
      <c r="R899" s="29"/>
      <c r="S899" s="28"/>
      <c r="T899" s="28"/>
      <c r="U899" s="28" t="s">
        <v>75</v>
      </c>
      <c r="V899" s="28" t="s">
        <v>75</v>
      </c>
      <c r="W899" s="28"/>
    </row>
    <row r="900" spans="1:23" s="12" customFormat="1" hidden="1">
      <c r="A900" s="46" t="s">
        <v>572</v>
      </c>
      <c r="B900" s="28" t="s">
        <v>1338</v>
      </c>
      <c r="C900" s="28" t="s">
        <v>944</v>
      </c>
      <c r="D900" s="28" t="s">
        <v>631</v>
      </c>
      <c r="E900" s="28" t="s">
        <v>183</v>
      </c>
      <c r="F900" s="28" t="s">
        <v>437</v>
      </c>
      <c r="G900" s="28" t="s">
        <v>437</v>
      </c>
      <c r="H900" s="28" t="s">
        <v>194</v>
      </c>
      <c r="I900" s="28" t="str">
        <f>VLOOKUP(F900,표준용어사전!$B:$D,3,FALSE)</f>
        <v>여부C1</v>
      </c>
      <c r="J900" s="28" t="s">
        <v>709</v>
      </c>
      <c r="K900" s="27">
        <v>1</v>
      </c>
      <c r="L900" s="29" t="s">
        <v>571</v>
      </c>
      <c r="M900" s="29" t="s">
        <v>722</v>
      </c>
      <c r="N900" s="29" t="s">
        <v>572</v>
      </c>
      <c r="O900" s="28"/>
      <c r="P900" s="28"/>
      <c r="Q900" s="28" t="s">
        <v>76</v>
      </c>
      <c r="R900" s="29"/>
      <c r="S900" s="28"/>
      <c r="T900" s="28" t="s">
        <v>576</v>
      </c>
      <c r="U900" s="28" t="s">
        <v>75</v>
      </c>
      <c r="V900" s="28" t="s">
        <v>75</v>
      </c>
      <c r="W900" s="28"/>
    </row>
    <row r="901" spans="1:23" s="12" customFormat="1" hidden="1">
      <c r="A901" s="46" t="s">
        <v>572</v>
      </c>
      <c r="B901" s="28" t="s">
        <v>1338</v>
      </c>
      <c r="C901" s="28" t="s">
        <v>944</v>
      </c>
      <c r="D901" s="28" t="s">
        <v>631</v>
      </c>
      <c r="E901" s="28" t="s">
        <v>90</v>
      </c>
      <c r="F901" s="28" t="s">
        <v>14</v>
      </c>
      <c r="G901" s="28" t="s">
        <v>14</v>
      </c>
      <c r="H901" s="28" t="s">
        <v>194</v>
      </c>
      <c r="I901" s="28" t="str">
        <f>VLOOKUP(F901,표준용어사전!$B:$D,3,FALSE)</f>
        <v>연월일시분초TS</v>
      </c>
      <c r="J901" s="28" t="s">
        <v>16</v>
      </c>
      <c r="K901" s="27" t="s">
        <v>571</v>
      </c>
      <c r="L901" s="29" t="s">
        <v>571</v>
      </c>
      <c r="M901" s="29" t="s">
        <v>726</v>
      </c>
      <c r="N901" s="29" t="s">
        <v>572</v>
      </c>
      <c r="O901" s="28"/>
      <c r="P901" s="28"/>
      <c r="Q901" s="28" t="s">
        <v>76</v>
      </c>
      <c r="R901" s="29"/>
      <c r="S901" s="28"/>
      <c r="T901" s="28"/>
      <c r="U901" s="28" t="s">
        <v>75</v>
      </c>
      <c r="V901" s="28" t="s">
        <v>75</v>
      </c>
      <c r="W901" s="28"/>
    </row>
    <row r="902" spans="1:23" s="12" customFormat="1" hidden="1">
      <c r="A902" s="46" t="s">
        <v>572</v>
      </c>
      <c r="B902" s="28" t="s">
        <v>1338</v>
      </c>
      <c r="C902" s="28" t="s">
        <v>944</v>
      </c>
      <c r="D902" s="28" t="s">
        <v>631</v>
      </c>
      <c r="E902" s="28" t="s">
        <v>91</v>
      </c>
      <c r="F902" s="28" t="s">
        <v>369</v>
      </c>
      <c r="G902" s="28" t="s">
        <v>369</v>
      </c>
      <c r="H902" s="28" t="s">
        <v>194</v>
      </c>
      <c r="I902" s="28" t="str">
        <f>VLOOKUP(F902,표준용어사전!$B:$D,3,FALSE)</f>
        <v>명V20</v>
      </c>
      <c r="J902" s="28" t="s">
        <v>78</v>
      </c>
      <c r="K902" s="27">
        <v>20</v>
      </c>
      <c r="L902" s="29" t="s">
        <v>571</v>
      </c>
      <c r="M902" s="29" t="s">
        <v>727</v>
      </c>
      <c r="N902" s="29" t="s">
        <v>572</v>
      </c>
      <c r="O902" s="28"/>
      <c r="P902" s="28"/>
      <c r="Q902" s="28" t="s">
        <v>76</v>
      </c>
      <c r="R902" s="29"/>
      <c r="S902" s="28"/>
      <c r="T902" s="28"/>
      <c r="U902" s="28" t="s">
        <v>75</v>
      </c>
      <c r="V902" s="28" t="s">
        <v>75</v>
      </c>
      <c r="W902" s="28"/>
    </row>
    <row r="903" spans="1:23" s="12" customFormat="1" hidden="1">
      <c r="A903" s="46" t="s">
        <v>572</v>
      </c>
      <c r="B903" s="28" t="s">
        <v>1338</v>
      </c>
      <c r="C903" s="28" t="s">
        <v>944</v>
      </c>
      <c r="D903" s="28" t="s">
        <v>631</v>
      </c>
      <c r="E903" s="28" t="s">
        <v>92</v>
      </c>
      <c r="F903" s="28" t="s">
        <v>15</v>
      </c>
      <c r="G903" s="28" t="s">
        <v>15</v>
      </c>
      <c r="H903" s="28" t="s">
        <v>194</v>
      </c>
      <c r="I903" s="28" t="str">
        <f>VLOOKUP(F903,표준용어사전!$B:$D,3,FALSE)</f>
        <v>연월일시분초TS</v>
      </c>
      <c r="J903" s="28" t="s">
        <v>16</v>
      </c>
      <c r="K903" s="27" t="s">
        <v>571</v>
      </c>
      <c r="L903" s="29" t="s">
        <v>571</v>
      </c>
      <c r="M903" s="29" t="s">
        <v>726</v>
      </c>
      <c r="N903" s="29" t="s">
        <v>572</v>
      </c>
      <c r="O903" s="28"/>
      <c r="P903" s="28"/>
      <c r="Q903" s="28" t="s">
        <v>76</v>
      </c>
      <c r="R903" s="29"/>
      <c r="S903" s="28"/>
      <c r="T903" s="28"/>
      <c r="U903" s="28" t="s">
        <v>75</v>
      </c>
      <c r="V903" s="28" t="s">
        <v>75</v>
      </c>
      <c r="W903" s="28"/>
    </row>
    <row r="904" spans="1:23" s="12" customFormat="1" hidden="1">
      <c r="A904" s="46" t="s">
        <v>572</v>
      </c>
      <c r="B904" s="28" t="s">
        <v>1338</v>
      </c>
      <c r="C904" s="28" t="s">
        <v>944</v>
      </c>
      <c r="D904" s="28" t="s">
        <v>631</v>
      </c>
      <c r="E904" s="28" t="s">
        <v>93</v>
      </c>
      <c r="F904" s="28" t="s">
        <v>370</v>
      </c>
      <c r="G904" s="28" t="s">
        <v>370</v>
      </c>
      <c r="H904" s="28" t="s">
        <v>194</v>
      </c>
      <c r="I904" s="28" t="str">
        <f>VLOOKUP(F904,표준용어사전!$B:$D,3,FALSE)</f>
        <v>명V20</v>
      </c>
      <c r="J904" s="28" t="s">
        <v>78</v>
      </c>
      <c r="K904" s="27">
        <v>20</v>
      </c>
      <c r="L904" s="29" t="s">
        <v>571</v>
      </c>
      <c r="M904" s="29" t="s">
        <v>727</v>
      </c>
      <c r="N904" s="29" t="s">
        <v>572</v>
      </c>
      <c r="O904" s="28"/>
      <c r="P904" s="28"/>
      <c r="Q904" s="28" t="s">
        <v>76</v>
      </c>
      <c r="R904" s="29"/>
      <c r="S904" s="28"/>
      <c r="T904" s="28"/>
      <c r="U904" s="28" t="s">
        <v>75</v>
      </c>
      <c r="V904" s="28" t="s">
        <v>75</v>
      </c>
      <c r="W904" s="28"/>
    </row>
    <row r="905" spans="1:23" s="12" customFormat="1" hidden="1">
      <c r="A905" s="46" t="s">
        <v>572</v>
      </c>
      <c r="B905" s="28" t="s">
        <v>1338</v>
      </c>
      <c r="C905" s="28" t="s">
        <v>944</v>
      </c>
      <c r="D905" s="40" t="s">
        <v>586</v>
      </c>
      <c r="E905" s="40" t="s">
        <v>1431</v>
      </c>
      <c r="F905" s="28" t="s">
        <v>1626</v>
      </c>
      <c r="G905" s="28" t="s">
        <v>1626</v>
      </c>
      <c r="H905" s="28" t="s">
        <v>591</v>
      </c>
      <c r="I905" s="28" t="e">
        <f>VLOOKUP(F905,표준용어사전!$B:$D,3,FALSE)</f>
        <v>#N/A</v>
      </c>
      <c r="J905" s="28" t="s">
        <v>1349</v>
      </c>
      <c r="K905" s="27" t="s">
        <v>927</v>
      </c>
      <c r="L905" s="29" t="s">
        <v>927</v>
      </c>
      <c r="M905" s="29" t="s">
        <v>1353</v>
      </c>
      <c r="N905" s="29" t="s">
        <v>572</v>
      </c>
      <c r="O905" s="28"/>
      <c r="P905" s="28"/>
      <c r="Q905" s="28" t="s">
        <v>76</v>
      </c>
      <c r="R905" s="29"/>
      <c r="S905" s="28"/>
      <c r="T905" s="28"/>
      <c r="U905" s="28" t="s">
        <v>75</v>
      </c>
      <c r="V905" s="28" t="s">
        <v>75</v>
      </c>
      <c r="W905" s="28"/>
    </row>
    <row r="906" spans="1:23" s="12" customFormat="1" hidden="1">
      <c r="A906" s="46" t="s">
        <v>572</v>
      </c>
      <c r="B906" s="28" t="s">
        <v>1338</v>
      </c>
      <c r="C906" s="28" t="s">
        <v>944</v>
      </c>
      <c r="D906" s="40" t="s">
        <v>586</v>
      </c>
      <c r="E906" s="40" t="s">
        <v>151</v>
      </c>
      <c r="F906" s="28" t="s">
        <v>413</v>
      </c>
      <c r="G906" s="28" t="s">
        <v>413</v>
      </c>
      <c r="H906" s="28" t="s">
        <v>591</v>
      </c>
      <c r="I906" s="28" t="str">
        <f>VLOOKUP(F906,표준용어사전!$B:$D,3,FALSE)</f>
        <v>번호N10</v>
      </c>
      <c r="J906" s="28" t="s">
        <v>748</v>
      </c>
      <c r="K906" s="27">
        <v>10</v>
      </c>
      <c r="L906" s="29" t="s">
        <v>571</v>
      </c>
      <c r="M906" s="29">
        <v>9999999999</v>
      </c>
      <c r="N906" s="29" t="s">
        <v>572</v>
      </c>
      <c r="O906" s="28"/>
      <c r="P906" s="28"/>
      <c r="Q906" s="28" t="s">
        <v>76</v>
      </c>
      <c r="R906" s="29"/>
      <c r="S906" s="28"/>
      <c r="T906" s="28"/>
      <c r="U906" s="28" t="s">
        <v>75</v>
      </c>
      <c r="V906" s="28" t="s">
        <v>75</v>
      </c>
      <c r="W906" s="28"/>
    </row>
    <row r="907" spans="1:23" s="12" customFormat="1" hidden="1">
      <c r="A907" s="46" t="s">
        <v>572</v>
      </c>
      <c r="B907" s="28" t="s">
        <v>1338</v>
      </c>
      <c r="C907" s="28" t="s">
        <v>944</v>
      </c>
      <c r="D907" s="40" t="s">
        <v>586</v>
      </c>
      <c r="E907" s="40" t="s">
        <v>593</v>
      </c>
      <c r="F907" s="28" t="s">
        <v>896</v>
      </c>
      <c r="G907" s="28" t="s">
        <v>738</v>
      </c>
      <c r="H907" s="28" t="s">
        <v>591</v>
      </c>
      <c r="I907" s="28" t="str">
        <f>VLOOKUP(F907,표준용어사전!$B:$D,3,FALSE)</f>
        <v>코드C4</v>
      </c>
      <c r="J907" s="28" t="s">
        <v>709</v>
      </c>
      <c r="K907" s="24">
        <v>50</v>
      </c>
      <c r="L907" s="29" t="s">
        <v>571</v>
      </c>
      <c r="M907" s="29" t="s">
        <v>725</v>
      </c>
      <c r="N907" s="29" t="s">
        <v>572</v>
      </c>
      <c r="O907" s="28"/>
      <c r="P907" s="28"/>
      <c r="Q907" s="28" t="s">
        <v>76</v>
      </c>
      <c r="R907" s="29"/>
      <c r="S907" s="28"/>
      <c r="T907" s="28"/>
      <c r="U907" s="28" t="s">
        <v>75</v>
      </c>
      <c r="V907" s="28" t="s">
        <v>75</v>
      </c>
      <c r="W907" s="28"/>
    </row>
    <row r="908" spans="1:23" s="12" customFormat="1" hidden="1">
      <c r="A908" s="46" t="s">
        <v>572</v>
      </c>
      <c r="B908" s="28" t="s">
        <v>1338</v>
      </c>
      <c r="C908" s="28" t="s">
        <v>944</v>
      </c>
      <c r="D908" s="40" t="s">
        <v>586</v>
      </c>
      <c r="E908" s="40" t="s">
        <v>578</v>
      </c>
      <c r="F908" s="28" t="s">
        <v>580</v>
      </c>
      <c r="G908" s="28" t="s">
        <v>580</v>
      </c>
      <c r="H908" s="28" t="s">
        <v>591</v>
      </c>
      <c r="I908" s="28" t="str">
        <f>VLOOKUP(F908,표준용어사전!$B:$D,3,FALSE)</f>
        <v>명V20</v>
      </c>
      <c r="J908" s="28" t="s">
        <v>718</v>
      </c>
      <c r="K908" s="24">
        <v>20</v>
      </c>
      <c r="L908" s="29" t="s">
        <v>571</v>
      </c>
      <c r="M908" s="29" t="s">
        <v>727</v>
      </c>
      <c r="N908" s="29" t="s">
        <v>572</v>
      </c>
      <c r="O908" s="28"/>
      <c r="P908" s="28"/>
      <c r="Q908" s="28" t="s">
        <v>76</v>
      </c>
      <c r="R908" s="29"/>
      <c r="S908" s="28"/>
      <c r="T908" s="28"/>
      <c r="U908" s="28" t="s">
        <v>75</v>
      </c>
      <c r="V908" s="28" t="s">
        <v>75</v>
      </c>
      <c r="W908" s="28"/>
    </row>
    <row r="909" spans="1:23" s="12" customFormat="1" hidden="1">
      <c r="A909" s="46" t="s">
        <v>572</v>
      </c>
      <c r="B909" s="28" t="s">
        <v>1338</v>
      </c>
      <c r="C909" s="28" t="s">
        <v>944</v>
      </c>
      <c r="D909" s="40" t="s">
        <v>586</v>
      </c>
      <c r="E909" s="40" t="s">
        <v>90</v>
      </c>
      <c r="F909" s="28" t="s">
        <v>14</v>
      </c>
      <c r="G909" s="28" t="s">
        <v>14</v>
      </c>
      <c r="H909" s="28" t="s">
        <v>591</v>
      </c>
      <c r="I909" s="28" t="str">
        <f>VLOOKUP(F909,표준용어사전!$B:$D,3,FALSE)</f>
        <v>연월일시분초TS</v>
      </c>
      <c r="J909" s="28" t="s">
        <v>16</v>
      </c>
      <c r="K909" s="27" t="s">
        <v>571</v>
      </c>
      <c r="L909" s="29" t="s">
        <v>571</v>
      </c>
      <c r="M909" s="29" t="s">
        <v>726</v>
      </c>
      <c r="N909" s="29" t="s">
        <v>572</v>
      </c>
      <c r="O909" s="28"/>
      <c r="P909" s="28"/>
      <c r="Q909" s="28" t="s">
        <v>76</v>
      </c>
      <c r="R909" s="29"/>
      <c r="S909" s="28"/>
      <c r="T909" s="28"/>
      <c r="U909" s="28" t="s">
        <v>75</v>
      </c>
      <c r="V909" s="28" t="s">
        <v>75</v>
      </c>
      <c r="W909" s="28"/>
    </row>
    <row r="910" spans="1:23" s="12" customFormat="1" hidden="1">
      <c r="A910" s="46" t="s">
        <v>572</v>
      </c>
      <c r="B910" s="28" t="s">
        <v>1338</v>
      </c>
      <c r="C910" s="28" t="s">
        <v>944</v>
      </c>
      <c r="D910" s="40" t="s">
        <v>586</v>
      </c>
      <c r="E910" s="40" t="s">
        <v>91</v>
      </c>
      <c r="F910" s="28" t="s">
        <v>369</v>
      </c>
      <c r="G910" s="28" t="s">
        <v>369</v>
      </c>
      <c r="H910" s="28" t="s">
        <v>591</v>
      </c>
      <c r="I910" s="28" t="str">
        <f>VLOOKUP(F910,표준용어사전!$B:$D,3,FALSE)</f>
        <v>명V20</v>
      </c>
      <c r="J910" s="28" t="s">
        <v>78</v>
      </c>
      <c r="K910" s="27">
        <v>20</v>
      </c>
      <c r="L910" s="29" t="s">
        <v>571</v>
      </c>
      <c r="M910" s="29" t="s">
        <v>727</v>
      </c>
      <c r="N910" s="29" t="s">
        <v>572</v>
      </c>
      <c r="O910" s="28"/>
      <c r="P910" s="28"/>
      <c r="Q910" s="28" t="s">
        <v>76</v>
      </c>
      <c r="R910" s="29"/>
      <c r="S910" s="28"/>
      <c r="T910" s="28"/>
      <c r="U910" s="28" t="s">
        <v>75</v>
      </c>
      <c r="V910" s="28" t="s">
        <v>75</v>
      </c>
      <c r="W910" s="28"/>
    </row>
    <row r="911" spans="1:23" s="12" customFormat="1" hidden="1">
      <c r="A911" s="46" t="s">
        <v>572</v>
      </c>
      <c r="B911" s="28" t="s">
        <v>1338</v>
      </c>
      <c r="C911" s="28" t="s">
        <v>944</v>
      </c>
      <c r="D911" s="40" t="s">
        <v>586</v>
      </c>
      <c r="E911" s="40" t="s">
        <v>92</v>
      </c>
      <c r="F911" s="28" t="s">
        <v>15</v>
      </c>
      <c r="G911" s="28" t="s">
        <v>15</v>
      </c>
      <c r="H911" s="28" t="s">
        <v>591</v>
      </c>
      <c r="I911" s="28" t="str">
        <f>VLOOKUP(F911,표준용어사전!$B:$D,3,FALSE)</f>
        <v>연월일시분초TS</v>
      </c>
      <c r="J911" s="28" t="s">
        <v>16</v>
      </c>
      <c r="K911" s="27" t="s">
        <v>571</v>
      </c>
      <c r="L911" s="29" t="s">
        <v>571</v>
      </c>
      <c r="M911" s="29" t="s">
        <v>726</v>
      </c>
      <c r="N911" s="29" t="s">
        <v>572</v>
      </c>
      <c r="O911" s="28"/>
      <c r="P911" s="28"/>
      <c r="Q911" s="28" t="s">
        <v>76</v>
      </c>
      <c r="R911" s="29"/>
      <c r="S911" s="28"/>
      <c r="T911" s="28"/>
      <c r="U911" s="28" t="s">
        <v>75</v>
      </c>
      <c r="V911" s="28" t="s">
        <v>75</v>
      </c>
      <c r="W911" s="28"/>
    </row>
    <row r="912" spans="1:23" s="12" customFormat="1" hidden="1">
      <c r="A912" s="46" t="s">
        <v>572</v>
      </c>
      <c r="B912" s="28" t="s">
        <v>1338</v>
      </c>
      <c r="C912" s="28" t="s">
        <v>944</v>
      </c>
      <c r="D912" s="40" t="s">
        <v>586</v>
      </c>
      <c r="E912" s="40" t="s">
        <v>93</v>
      </c>
      <c r="F912" s="28" t="s">
        <v>370</v>
      </c>
      <c r="G912" s="28" t="s">
        <v>370</v>
      </c>
      <c r="H912" s="28" t="s">
        <v>591</v>
      </c>
      <c r="I912" s="28" t="str">
        <f>VLOOKUP(F912,표준용어사전!$B:$D,3,FALSE)</f>
        <v>명V20</v>
      </c>
      <c r="J912" s="28" t="s">
        <v>78</v>
      </c>
      <c r="K912" s="27">
        <v>20</v>
      </c>
      <c r="L912" s="29" t="s">
        <v>571</v>
      </c>
      <c r="M912" s="29" t="s">
        <v>727</v>
      </c>
      <c r="N912" s="29" t="s">
        <v>572</v>
      </c>
      <c r="O912" s="28"/>
      <c r="P912" s="28"/>
      <c r="Q912" s="28" t="s">
        <v>76</v>
      </c>
      <c r="R912" s="29"/>
      <c r="S912" s="28"/>
      <c r="T912" s="28"/>
      <c r="U912" s="28" t="s">
        <v>75</v>
      </c>
      <c r="V912" s="28" t="s">
        <v>75</v>
      </c>
      <c r="W912" s="28"/>
    </row>
    <row r="913" spans="1:23" s="12" customFormat="1" hidden="1">
      <c r="A913" s="46" t="s">
        <v>572</v>
      </c>
      <c r="B913" s="28" t="s">
        <v>1338</v>
      </c>
      <c r="C913" s="28" t="s">
        <v>944</v>
      </c>
      <c r="D913" s="40" t="s">
        <v>586</v>
      </c>
      <c r="E913" s="40" t="s">
        <v>951</v>
      </c>
      <c r="F913" s="28" t="s">
        <v>952</v>
      </c>
      <c r="G913" s="28" t="s">
        <v>952</v>
      </c>
      <c r="H913" s="28" t="s">
        <v>591</v>
      </c>
      <c r="I913" s="28" t="str">
        <f>VLOOKUP(F913,표준용어사전!$B:$D,3,FALSE)</f>
        <v>수N10,3</v>
      </c>
      <c r="J913" s="28" t="s">
        <v>748</v>
      </c>
      <c r="K913" s="27">
        <v>10</v>
      </c>
      <c r="L913" s="29">
        <v>3</v>
      </c>
      <c r="M913" s="29" t="str">
        <f>ASC(9999999999.999)</f>
        <v>9999999999.999</v>
      </c>
      <c r="N913" s="29" t="s">
        <v>572</v>
      </c>
      <c r="O913" s="28"/>
      <c r="P913" s="28"/>
      <c r="Q913" s="28" t="s">
        <v>76</v>
      </c>
      <c r="R913" s="29"/>
      <c r="S913" s="28"/>
      <c r="T913" s="28"/>
      <c r="U913" s="28" t="s">
        <v>75</v>
      </c>
      <c r="V913" s="28" t="s">
        <v>75</v>
      </c>
      <c r="W913" s="28"/>
    </row>
    <row r="914" spans="1:23" s="12" customFormat="1" hidden="1">
      <c r="A914" s="46" t="s">
        <v>572</v>
      </c>
      <c r="B914" s="28" t="s">
        <v>1338</v>
      </c>
      <c r="C914" s="28" t="s">
        <v>944</v>
      </c>
      <c r="D914" s="40" t="s">
        <v>583</v>
      </c>
      <c r="E914" s="40" t="s">
        <v>1431</v>
      </c>
      <c r="F914" s="28" t="s">
        <v>1626</v>
      </c>
      <c r="G914" s="28" t="s">
        <v>1626</v>
      </c>
      <c r="H914" s="28" t="s">
        <v>589</v>
      </c>
      <c r="I914" s="28" t="e">
        <f>VLOOKUP(F914,표준용어사전!$B:$D,3,FALSE)</f>
        <v>#N/A</v>
      </c>
      <c r="J914" s="28" t="s">
        <v>1349</v>
      </c>
      <c r="K914" s="27" t="s">
        <v>927</v>
      </c>
      <c r="L914" s="29" t="s">
        <v>927</v>
      </c>
      <c r="M914" s="29" t="s">
        <v>1353</v>
      </c>
      <c r="N914" s="29" t="s">
        <v>572</v>
      </c>
      <c r="O914" s="28"/>
      <c r="P914" s="28"/>
      <c r="Q914" s="28" t="s">
        <v>76</v>
      </c>
      <c r="R914" s="29"/>
      <c r="S914" s="28"/>
      <c r="T914" s="28"/>
      <c r="U914" s="28" t="s">
        <v>75</v>
      </c>
      <c r="V914" s="28" t="s">
        <v>75</v>
      </c>
      <c r="W914" s="28"/>
    </row>
    <row r="915" spans="1:23" s="12" customFormat="1" hidden="1">
      <c r="A915" s="46" t="s">
        <v>572</v>
      </c>
      <c r="B915" s="28" t="s">
        <v>1338</v>
      </c>
      <c r="C915" s="28" t="s">
        <v>944</v>
      </c>
      <c r="D915" s="40" t="s">
        <v>583</v>
      </c>
      <c r="E915" s="40" t="s">
        <v>89</v>
      </c>
      <c r="F915" s="28" t="s">
        <v>501</v>
      </c>
      <c r="G915" s="28" t="s">
        <v>501</v>
      </c>
      <c r="H915" s="28" t="s">
        <v>589</v>
      </c>
      <c r="I915" s="28" t="str">
        <f>VLOOKUP(F915,표준용어사전!$B:$D,3,FALSE)</f>
        <v>명V20</v>
      </c>
      <c r="J915" s="28" t="s">
        <v>718</v>
      </c>
      <c r="K915" s="27">
        <v>50</v>
      </c>
      <c r="L915" s="29" t="s">
        <v>927</v>
      </c>
      <c r="M915" s="29" t="s">
        <v>720</v>
      </c>
      <c r="N915" s="29" t="s">
        <v>572</v>
      </c>
      <c r="O915" s="28"/>
      <c r="P915" s="28"/>
      <c r="Q915" s="28" t="s">
        <v>76</v>
      </c>
      <c r="R915" s="29"/>
      <c r="S915" s="28"/>
      <c r="T915" s="28"/>
      <c r="U915" s="28" t="s">
        <v>75</v>
      </c>
      <c r="V915" s="28" t="s">
        <v>75</v>
      </c>
      <c r="W915" s="28"/>
    </row>
    <row r="916" spans="1:23" s="12" customFormat="1" hidden="1">
      <c r="A916" s="46" t="s">
        <v>572</v>
      </c>
      <c r="B916" s="28" t="s">
        <v>1338</v>
      </c>
      <c r="C916" s="28" t="s">
        <v>944</v>
      </c>
      <c r="D916" s="40" t="s">
        <v>583</v>
      </c>
      <c r="E916" s="40" t="s">
        <v>593</v>
      </c>
      <c r="F916" s="28" t="s">
        <v>896</v>
      </c>
      <c r="G916" s="28" t="s">
        <v>738</v>
      </c>
      <c r="H916" s="28" t="s">
        <v>589</v>
      </c>
      <c r="I916" s="28" t="str">
        <f>VLOOKUP(F916,표준용어사전!$B:$D,3,FALSE)</f>
        <v>코드C4</v>
      </c>
      <c r="J916" s="28" t="s">
        <v>709</v>
      </c>
      <c r="K916" s="24">
        <v>50</v>
      </c>
      <c r="L916" s="29" t="s">
        <v>571</v>
      </c>
      <c r="M916" s="29" t="s">
        <v>725</v>
      </c>
      <c r="N916" s="29" t="s">
        <v>572</v>
      </c>
      <c r="O916" s="28"/>
      <c r="P916" s="28"/>
      <c r="Q916" s="28" t="s">
        <v>76</v>
      </c>
      <c r="R916" s="29"/>
      <c r="S916" s="28"/>
      <c r="T916" s="28"/>
      <c r="U916" s="28" t="s">
        <v>75</v>
      </c>
      <c r="V916" s="28" t="s">
        <v>75</v>
      </c>
      <c r="W916" s="28"/>
    </row>
    <row r="917" spans="1:23" s="12" customFormat="1" hidden="1">
      <c r="A917" s="46" t="s">
        <v>572</v>
      </c>
      <c r="B917" s="28" t="s">
        <v>1338</v>
      </c>
      <c r="C917" s="28" t="s">
        <v>944</v>
      </c>
      <c r="D917" s="40" t="s">
        <v>583</v>
      </c>
      <c r="E917" s="40" t="s">
        <v>578</v>
      </c>
      <c r="F917" s="28" t="s">
        <v>580</v>
      </c>
      <c r="G917" s="28" t="s">
        <v>580</v>
      </c>
      <c r="H917" s="28" t="s">
        <v>589</v>
      </c>
      <c r="I917" s="28" t="str">
        <f>VLOOKUP(F917,표준용어사전!$B:$D,3,FALSE)</f>
        <v>명V20</v>
      </c>
      <c r="J917" s="28" t="s">
        <v>718</v>
      </c>
      <c r="K917" s="24">
        <v>20</v>
      </c>
      <c r="L917" s="29" t="s">
        <v>571</v>
      </c>
      <c r="M917" s="29" t="s">
        <v>727</v>
      </c>
      <c r="N917" s="29" t="s">
        <v>572</v>
      </c>
      <c r="O917" s="28"/>
      <c r="P917" s="28"/>
      <c r="Q917" s="28" t="s">
        <v>76</v>
      </c>
      <c r="R917" s="29"/>
      <c r="S917" s="28"/>
      <c r="T917" s="28"/>
      <c r="U917" s="28" t="s">
        <v>75</v>
      </c>
      <c r="V917" s="28" t="s">
        <v>75</v>
      </c>
      <c r="W917" s="28"/>
    </row>
    <row r="918" spans="1:23" s="12" customFormat="1" hidden="1">
      <c r="A918" s="46" t="s">
        <v>572</v>
      </c>
      <c r="B918" s="28" t="s">
        <v>1338</v>
      </c>
      <c r="C918" s="28" t="s">
        <v>944</v>
      </c>
      <c r="D918" s="40" t="s">
        <v>583</v>
      </c>
      <c r="E918" s="40" t="s">
        <v>90</v>
      </c>
      <c r="F918" s="28" t="s">
        <v>14</v>
      </c>
      <c r="G918" s="28" t="s">
        <v>14</v>
      </c>
      <c r="H918" s="28" t="s">
        <v>589</v>
      </c>
      <c r="I918" s="28" t="str">
        <f>VLOOKUP(F918,표준용어사전!$B:$D,3,FALSE)</f>
        <v>연월일시분초TS</v>
      </c>
      <c r="J918" s="28" t="s">
        <v>16</v>
      </c>
      <c r="K918" s="27" t="s">
        <v>571</v>
      </c>
      <c r="L918" s="29" t="s">
        <v>571</v>
      </c>
      <c r="M918" s="29" t="s">
        <v>726</v>
      </c>
      <c r="N918" s="29" t="s">
        <v>572</v>
      </c>
      <c r="O918" s="28"/>
      <c r="P918" s="28"/>
      <c r="Q918" s="28" t="s">
        <v>76</v>
      </c>
      <c r="R918" s="29"/>
      <c r="S918" s="28"/>
      <c r="T918" s="28"/>
      <c r="U918" s="28" t="s">
        <v>75</v>
      </c>
      <c r="V918" s="28" t="s">
        <v>75</v>
      </c>
      <c r="W918" s="28"/>
    </row>
    <row r="919" spans="1:23" s="12" customFormat="1" hidden="1">
      <c r="A919" s="46" t="s">
        <v>572</v>
      </c>
      <c r="B919" s="28" t="s">
        <v>1338</v>
      </c>
      <c r="C919" s="28" t="s">
        <v>944</v>
      </c>
      <c r="D919" s="40" t="s">
        <v>583</v>
      </c>
      <c r="E919" s="40" t="s">
        <v>91</v>
      </c>
      <c r="F919" s="28" t="s">
        <v>369</v>
      </c>
      <c r="G919" s="28" t="s">
        <v>369</v>
      </c>
      <c r="H919" s="28" t="s">
        <v>589</v>
      </c>
      <c r="I919" s="28" t="str">
        <f>VLOOKUP(F919,표준용어사전!$B:$D,3,FALSE)</f>
        <v>명V20</v>
      </c>
      <c r="J919" s="28" t="s">
        <v>78</v>
      </c>
      <c r="K919" s="27">
        <v>20</v>
      </c>
      <c r="L919" s="29" t="s">
        <v>571</v>
      </c>
      <c r="M919" s="29" t="s">
        <v>727</v>
      </c>
      <c r="N919" s="29" t="s">
        <v>572</v>
      </c>
      <c r="O919" s="28"/>
      <c r="P919" s="28"/>
      <c r="Q919" s="28" t="s">
        <v>76</v>
      </c>
      <c r="R919" s="29"/>
      <c r="S919" s="28"/>
      <c r="T919" s="28"/>
      <c r="U919" s="28" t="s">
        <v>75</v>
      </c>
      <c r="V919" s="28" t="s">
        <v>75</v>
      </c>
      <c r="W919" s="28"/>
    </row>
    <row r="920" spans="1:23" s="12" customFormat="1" hidden="1">
      <c r="A920" s="46" t="s">
        <v>572</v>
      </c>
      <c r="B920" s="28" t="s">
        <v>1338</v>
      </c>
      <c r="C920" s="28" t="s">
        <v>944</v>
      </c>
      <c r="D920" s="40" t="s">
        <v>583</v>
      </c>
      <c r="E920" s="40" t="s">
        <v>92</v>
      </c>
      <c r="F920" s="28" t="s">
        <v>15</v>
      </c>
      <c r="G920" s="28" t="s">
        <v>15</v>
      </c>
      <c r="H920" s="28" t="s">
        <v>589</v>
      </c>
      <c r="I920" s="28" t="str">
        <f>VLOOKUP(F920,표준용어사전!$B:$D,3,FALSE)</f>
        <v>연월일시분초TS</v>
      </c>
      <c r="J920" s="28" t="s">
        <v>16</v>
      </c>
      <c r="K920" s="27" t="s">
        <v>571</v>
      </c>
      <c r="L920" s="29" t="s">
        <v>571</v>
      </c>
      <c r="M920" s="29" t="s">
        <v>726</v>
      </c>
      <c r="N920" s="29" t="s">
        <v>572</v>
      </c>
      <c r="O920" s="28"/>
      <c r="P920" s="28"/>
      <c r="Q920" s="28" t="s">
        <v>76</v>
      </c>
      <c r="R920" s="29"/>
      <c r="S920" s="28"/>
      <c r="T920" s="28"/>
      <c r="U920" s="28" t="s">
        <v>75</v>
      </c>
      <c r="V920" s="28" t="s">
        <v>75</v>
      </c>
      <c r="W920" s="28"/>
    </row>
    <row r="921" spans="1:23" s="12" customFormat="1" hidden="1">
      <c r="A921" s="46" t="s">
        <v>572</v>
      </c>
      <c r="B921" s="28" t="s">
        <v>1338</v>
      </c>
      <c r="C921" s="28" t="s">
        <v>944</v>
      </c>
      <c r="D921" s="40" t="s">
        <v>583</v>
      </c>
      <c r="E921" s="40" t="s">
        <v>93</v>
      </c>
      <c r="F921" s="28" t="s">
        <v>370</v>
      </c>
      <c r="G921" s="28" t="s">
        <v>370</v>
      </c>
      <c r="H921" s="28" t="s">
        <v>589</v>
      </c>
      <c r="I921" s="28" t="str">
        <f>VLOOKUP(F921,표준용어사전!$B:$D,3,FALSE)</f>
        <v>명V20</v>
      </c>
      <c r="J921" s="28" t="s">
        <v>78</v>
      </c>
      <c r="K921" s="27">
        <v>20</v>
      </c>
      <c r="L921" s="29" t="s">
        <v>571</v>
      </c>
      <c r="M921" s="29" t="s">
        <v>727</v>
      </c>
      <c r="N921" s="29" t="s">
        <v>572</v>
      </c>
      <c r="O921" s="28"/>
      <c r="P921" s="28"/>
      <c r="Q921" s="28" t="s">
        <v>76</v>
      </c>
      <c r="R921" s="29"/>
      <c r="S921" s="28"/>
      <c r="T921" s="28"/>
      <c r="U921" s="28" t="s">
        <v>75</v>
      </c>
      <c r="V921" s="28" t="s">
        <v>75</v>
      </c>
      <c r="W921" s="28"/>
    </row>
    <row r="922" spans="1:23" s="12" customFormat="1" hidden="1">
      <c r="A922" s="46" t="s">
        <v>572</v>
      </c>
      <c r="B922" s="28" t="s">
        <v>1338</v>
      </c>
      <c r="C922" s="28" t="s">
        <v>944</v>
      </c>
      <c r="D922" s="40" t="s">
        <v>583</v>
      </c>
      <c r="E922" s="40" t="s">
        <v>954</v>
      </c>
      <c r="F922" s="28" t="s">
        <v>953</v>
      </c>
      <c r="G922" s="28" t="s">
        <v>953</v>
      </c>
      <c r="H922" s="28" t="s">
        <v>589</v>
      </c>
      <c r="I922" s="28" t="str">
        <f>VLOOKUP(F922,표준용어사전!$B:$D,3,FALSE)</f>
        <v>수N10,3</v>
      </c>
      <c r="J922" s="28" t="s">
        <v>748</v>
      </c>
      <c r="K922" s="24">
        <v>10</v>
      </c>
      <c r="L922" s="29">
        <v>3</v>
      </c>
      <c r="M922" s="29" t="str">
        <f>ASC(9999999999.999)</f>
        <v>9999999999.999</v>
      </c>
      <c r="N922" s="29" t="s">
        <v>572</v>
      </c>
      <c r="O922" s="28"/>
      <c r="P922" s="28"/>
      <c r="Q922" s="28" t="s">
        <v>76</v>
      </c>
      <c r="R922" s="29"/>
      <c r="S922" s="28"/>
      <c r="T922" s="28"/>
      <c r="U922" s="28" t="s">
        <v>75</v>
      </c>
      <c r="V922" s="28" t="s">
        <v>75</v>
      </c>
      <c r="W922" s="28"/>
    </row>
    <row r="923" spans="1:23" s="12" customFormat="1" hidden="1">
      <c r="A923" s="46" t="s">
        <v>572</v>
      </c>
      <c r="B923" s="28" t="s">
        <v>1338</v>
      </c>
      <c r="C923" s="28" t="s">
        <v>944</v>
      </c>
      <c r="D923" s="28" t="s">
        <v>945</v>
      </c>
      <c r="E923" s="28" t="s">
        <v>1431</v>
      </c>
      <c r="F923" s="28" t="s">
        <v>1626</v>
      </c>
      <c r="G923" s="28" t="s">
        <v>1626</v>
      </c>
      <c r="H923" s="28" t="s">
        <v>955</v>
      </c>
      <c r="I923" s="28" t="e">
        <f>VLOOKUP(F923,표준용어사전!$B:$D,3,FALSE)</f>
        <v>#N/A</v>
      </c>
      <c r="J923" s="28" t="s">
        <v>1349</v>
      </c>
      <c r="K923" s="27" t="s">
        <v>927</v>
      </c>
      <c r="L923" s="29" t="s">
        <v>927</v>
      </c>
      <c r="M923" s="29" t="s">
        <v>1353</v>
      </c>
      <c r="N923" s="29" t="s">
        <v>572</v>
      </c>
      <c r="O923" s="28"/>
      <c r="P923" s="28"/>
      <c r="Q923" s="28" t="s">
        <v>76</v>
      </c>
      <c r="R923" s="29"/>
      <c r="S923" s="28"/>
      <c r="T923" s="28"/>
      <c r="U923" s="28" t="s">
        <v>75</v>
      </c>
      <c r="V923" s="28" t="s">
        <v>75</v>
      </c>
      <c r="W923" s="28"/>
    </row>
    <row r="924" spans="1:23" s="12" customFormat="1" hidden="1">
      <c r="A924" s="46" t="s">
        <v>572</v>
      </c>
      <c r="B924" s="28" t="s">
        <v>1338</v>
      </c>
      <c r="C924" s="28" t="s">
        <v>944</v>
      </c>
      <c r="D924" s="28" t="s">
        <v>945</v>
      </c>
      <c r="E924" s="28" t="s">
        <v>962</v>
      </c>
      <c r="F924" s="28" t="s">
        <v>963</v>
      </c>
      <c r="G924" s="28" t="s">
        <v>963</v>
      </c>
      <c r="H924" s="28" t="s">
        <v>955</v>
      </c>
      <c r="I924" s="28" t="str">
        <f>VLOOKUP(F924,표준용어사전!$B:$D,3,FALSE)</f>
        <v>명V20</v>
      </c>
      <c r="J924" s="28" t="s">
        <v>718</v>
      </c>
      <c r="K924" s="27">
        <v>50</v>
      </c>
      <c r="L924" s="29" t="s">
        <v>927</v>
      </c>
      <c r="M924" s="29" t="s">
        <v>720</v>
      </c>
      <c r="N924" s="29" t="s">
        <v>572</v>
      </c>
      <c r="O924" s="28"/>
      <c r="P924" s="28"/>
      <c r="Q924" s="28" t="s">
        <v>76</v>
      </c>
      <c r="R924" s="29"/>
      <c r="S924" s="28"/>
      <c r="T924" s="28"/>
      <c r="U924" s="28" t="s">
        <v>75</v>
      </c>
      <c r="V924" s="28" t="s">
        <v>75</v>
      </c>
      <c r="W924" s="28"/>
    </row>
    <row r="925" spans="1:23" s="12" customFormat="1" hidden="1">
      <c r="A925" s="46" t="s">
        <v>572</v>
      </c>
      <c r="B925" s="28" t="s">
        <v>1338</v>
      </c>
      <c r="C925" s="28" t="s">
        <v>944</v>
      </c>
      <c r="D925" s="28" t="s">
        <v>945</v>
      </c>
      <c r="E925" s="28" t="s">
        <v>593</v>
      </c>
      <c r="F925" s="28" t="s">
        <v>896</v>
      </c>
      <c r="G925" s="28" t="s">
        <v>739</v>
      </c>
      <c r="H925" s="28" t="s">
        <v>955</v>
      </c>
      <c r="I925" s="28" t="str">
        <f>VLOOKUP(F925,표준용어사전!$B:$D,3,FALSE)</f>
        <v>코드C4</v>
      </c>
      <c r="J925" s="28" t="s">
        <v>709</v>
      </c>
      <c r="K925" s="27">
        <v>50</v>
      </c>
      <c r="L925" s="29" t="s">
        <v>927</v>
      </c>
      <c r="M925" s="29" t="s">
        <v>725</v>
      </c>
      <c r="N925" s="29" t="s">
        <v>572</v>
      </c>
      <c r="O925" s="28"/>
      <c r="P925" s="28"/>
      <c r="Q925" s="28" t="s">
        <v>76</v>
      </c>
      <c r="R925" s="29"/>
      <c r="S925" s="28"/>
      <c r="T925" s="28"/>
      <c r="U925" s="28" t="s">
        <v>75</v>
      </c>
      <c r="V925" s="28" t="s">
        <v>75</v>
      </c>
      <c r="W925" s="28"/>
    </row>
    <row r="926" spans="1:23" s="12" customFormat="1" hidden="1">
      <c r="A926" s="46" t="s">
        <v>572</v>
      </c>
      <c r="B926" s="28" t="s">
        <v>1338</v>
      </c>
      <c r="C926" s="28" t="s">
        <v>944</v>
      </c>
      <c r="D926" s="28" t="s">
        <v>945</v>
      </c>
      <c r="E926" s="28" t="s">
        <v>578</v>
      </c>
      <c r="F926" s="28" t="s">
        <v>580</v>
      </c>
      <c r="G926" s="28" t="s">
        <v>580</v>
      </c>
      <c r="H926" s="28" t="s">
        <v>955</v>
      </c>
      <c r="I926" s="28" t="str">
        <f>VLOOKUP(F926,표준용어사전!$B:$D,3,FALSE)</f>
        <v>명V20</v>
      </c>
      <c r="J926" s="28" t="s">
        <v>718</v>
      </c>
      <c r="K926" s="27">
        <v>20</v>
      </c>
      <c r="L926" s="29" t="s">
        <v>927</v>
      </c>
      <c r="M926" s="29" t="s">
        <v>727</v>
      </c>
      <c r="N926" s="29" t="s">
        <v>572</v>
      </c>
      <c r="O926" s="28"/>
      <c r="P926" s="28"/>
      <c r="Q926" s="28" t="s">
        <v>76</v>
      </c>
      <c r="R926" s="29"/>
      <c r="S926" s="28"/>
      <c r="T926" s="28"/>
      <c r="U926" s="28" t="s">
        <v>75</v>
      </c>
      <c r="V926" s="28" t="s">
        <v>75</v>
      </c>
      <c r="W926" s="28"/>
    </row>
    <row r="927" spans="1:23" s="12" customFormat="1" hidden="1">
      <c r="A927" s="46" t="s">
        <v>572</v>
      </c>
      <c r="B927" s="28" t="s">
        <v>1338</v>
      </c>
      <c r="C927" s="28" t="s">
        <v>944</v>
      </c>
      <c r="D927" s="28" t="s">
        <v>945</v>
      </c>
      <c r="E927" s="28" t="s">
        <v>90</v>
      </c>
      <c r="F927" s="28" t="s">
        <v>14</v>
      </c>
      <c r="G927" s="28" t="s">
        <v>14</v>
      </c>
      <c r="H927" s="28" t="s">
        <v>955</v>
      </c>
      <c r="I927" s="28" t="str">
        <f>VLOOKUP(F927,표준용어사전!$B:$D,3,FALSE)</f>
        <v>연월일시분초TS</v>
      </c>
      <c r="J927" s="28" t="s">
        <v>719</v>
      </c>
      <c r="K927" s="27" t="s">
        <v>927</v>
      </c>
      <c r="L927" s="29" t="s">
        <v>927</v>
      </c>
      <c r="M927" s="29" t="s">
        <v>726</v>
      </c>
      <c r="N927" s="29" t="s">
        <v>572</v>
      </c>
      <c r="O927" s="28"/>
      <c r="P927" s="28"/>
      <c r="Q927" s="28" t="s">
        <v>76</v>
      </c>
      <c r="R927" s="29"/>
      <c r="S927" s="28"/>
      <c r="T927" s="28"/>
      <c r="U927" s="28" t="s">
        <v>75</v>
      </c>
      <c r="V927" s="28" t="s">
        <v>75</v>
      </c>
      <c r="W927" s="28"/>
    </row>
    <row r="928" spans="1:23" s="12" customFormat="1" hidden="1">
      <c r="A928" s="46" t="s">
        <v>572</v>
      </c>
      <c r="B928" s="28" t="s">
        <v>1338</v>
      </c>
      <c r="C928" s="28" t="s">
        <v>944</v>
      </c>
      <c r="D928" s="28" t="s">
        <v>945</v>
      </c>
      <c r="E928" s="28" t="s">
        <v>91</v>
      </c>
      <c r="F928" s="28" t="s">
        <v>369</v>
      </c>
      <c r="G928" s="28" t="s">
        <v>369</v>
      </c>
      <c r="H928" s="28" t="s">
        <v>955</v>
      </c>
      <c r="I928" s="28" t="str">
        <f>VLOOKUP(F928,표준용어사전!$B:$D,3,FALSE)</f>
        <v>명V20</v>
      </c>
      <c r="J928" s="28" t="s">
        <v>718</v>
      </c>
      <c r="K928" s="27">
        <v>20</v>
      </c>
      <c r="L928" s="29" t="s">
        <v>927</v>
      </c>
      <c r="M928" s="29" t="s">
        <v>727</v>
      </c>
      <c r="N928" s="29" t="s">
        <v>572</v>
      </c>
      <c r="O928" s="28"/>
      <c r="P928" s="28"/>
      <c r="Q928" s="28" t="s">
        <v>76</v>
      </c>
      <c r="R928" s="29"/>
      <c r="S928" s="28"/>
      <c r="T928" s="28"/>
      <c r="U928" s="28" t="s">
        <v>75</v>
      </c>
      <c r="V928" s="28" t="s">
        <v>75</v>
      </c>
      <c r="W928" s="28"/>
    </row>
    <row r="929" spans="1:23" s="12" customFormat="1" hidden="1">
      <c r="A929" s="46" t="s">
        <v>572</v>
      </c>
      <c r="B929" s="28" t="s">
        <v>1338</v>
      </c>
      <c r="C929" s="28" t="s">
        <v>944</v>
      </c>
      <c r="D929" s="28" t="s">
        <v>945</v>
      </c>
      <c r="E929" s="28" t="s">
        <v>92</v>
      </c>
      <c r="F929" s="28" t="s">
        <v>15</v>
      </c>
      <c r="G929" s="28" t="s">
        <v>15</v>
      </c>
      <c r="H929" s="28" t="s">
        <v>955</v>
      </c>
      <c r="I929" s="28" t="str">
        <f>VLOOKUP(F929,표준용어사전!$B:$D,3,FALSE)</f>
        <v>연월일시분초TS</v>
      </c>
      <c r="J929" s="28" t="s">
        <v>719</v>
      </c>
      <c r="K929" s="27" t="s">
        <v>927</v>
      </c>
      <c r="L929" s="29" t="s">
        <v>927</v>
      </c>
      <c r="M929" s="29" t="s">
        <v>726</v>
      </c>
      <c r="N929" s="29" t="s">
        <v>572</v>
      </c>
      <c r="O929" s="28"/>
      <c r="P929" s="28"/>
      <c r="Q929" s="28" t="s">
        <v>76</v>
      </c>
      <c r="R929" s="29"/>
      <c r="S929" s="28"/>
      <c r="T929" s="28"/>
      <c r="U929" s="28" t="s">
        <v>75</v>
      </c>
      <c r="V929" s="28" t="s">
        <v>75</v>
      </c>
      <c r="W929" s="28"/>
    </row>
    <row r="930" spans="1:23" s="12" customFormat="1" hidden="1">
      <c r="A930" s="46" t="s">
        <v>572</v>
      </c>
      <c r="B930" s="28" t="s">
        <v>1338</v>
      </c>
      <c r="C930" s="28" t="s">
        <v>944</v>
      </c>
      <c r="D930" s="28" t="s">
        <v>945</v>
      </c>
      <c r="E930" s="28" t="s">
        <v>93</v>
      </c>
      <c r="F930" s="28" t="s">
        <v>370</v>
      </c>
      <c r="G930" s="28" t="s">
        <v>370</v>
      </c>
      <c r="H930" s="28" t="s">
        <v>955</v>
      </c>
      <c r="I930" s="28" t="str">
        <f>VLOOKUP(F930,표준용어사전!$B:$D,3,FALSE)</f>
        <v>명V20</v>
      </c>
      <c r="J930" s="28" t="s">
        <v>718</v>
      </c>
      <c r="K930" s="27">
        <v>20</v>
      </c>
      <c r="L930" s="29" t="s">
        <v>927</v>
      </c>
      <c r="M930" s="29" t="s">
        <v>727</v>
      </c>
      <c r="N930" s="29" t="s">
        <v>572</v>
      </c>
      <c r="O930" s="28"/>
      <c r="P930" s="28"/>
      <c r="Q930" s="28" t="s">
        <v>76</v>
      </c>
      <c r="R930" s="29"/>
      <c r="S930" s="28"/>
      <c r="T930" s="28"/>
      <c r="U930" s="28" t="s">
        <v>75</v>
      </c>
      <c r="V930" s="28" t="s">
        <v>75</v>
      </c>
      <c r="W930" s="28"/>
    </row>
    <row r="931" spans="1:23" s="12" customFormat="1" hidden="1">
      <c r="A931" s="46" t="s">
        <v>572</v>
      </c>
      <c r="B931" s="28" t="s">
        <v>1338</v>
      </c>
      <c r="C931" s="28" t="s">
        <v>944</v>
      </c>
      <c r="D931" s="28" t="s">
        <v>281</v>
      </c>
      <c r="E931" s="28" t="s">
        <v>1431</v>
      </c>
      <c r="F931" s="28" t="s">
        <v>1626</v>
      </c>
      <c r="G931" s="28" t="s">
        <v>1626</v>
      </c>
      <c r="H931" s="28" t="s">
        <v>283</v>
      </c>
      <c r="I931" s="28" t="e">
        <f>VLOOKUP(F931,표준용어사전!$B:$D,3,FALSE)</f>
        <v>#N/A</v>
      </c>
      <c r="J931" s="28" t="s">
        <v>1349</v>
      </c>
      <c r="K931" s="27" t="s">
        <v>927</v>
      </c>
      <c r="L931" s="29" t="s">
        <v>927</v>
      </c>
      <c r="M931" s="29" t="s">
        <v>1353</v>
      </c>
      <c r="N931" s="29" t="s">
        <v>572</v>
      </c>
      <c r="O931" s="28"/>
      <c r="P931" s="28"/>
      <c r="Q931" s="28" t="s">
        <v>76</v>
      </c>
      <c r="R931" s="29"/>
      <c r="S931" s="28"/>
      <c r="T931" s="28"/>
      <c r="U931" s="28" t="s">
        <v>75</v>
      </c>
      <c r="V931" s="28" t="s">
        <v>75</v>
      </c>
      <c r="W931" s="28"/>
    </row>
    <row r="932" spans="1:23" s="12" customFormat="1" hidden="1">
      <c r="A932" s="46" t="s">
        <v>572</v>
      </c>
      <c r="B932" s="28" t="s">
        <v>1338</v>
      </c>
      <c r="C932" s="28" t="s">
        <v>944</v>
      </c>
      <c r="D932" s="28" t="s">
        <v>281</v>
      </c>
      <c r="E932" s="28" t="s">
        <v>578</v>
      </c>
      <c r="F932" s="28" t="s">
        <v>580</v>
      </c>
      <c r="G932" s="28" t="s">
        <v>580</v>
      </c>
      <c r="H932" s="28" t="s">
        <v>283</v>
      </c>
      <c r="I932" s="28" t="str">
        <f>VLOOKUP(F932,표준용어사전!$B:$D,3,FALSE)</f>
        <v>명V20</v>
      </c>
      <c r="J932" s="28" t="s">
        <v>78</v>
      </c>
      <c r="K932" s="27">
        <v>20</v>
      </c>
      <c r="L932" s="29" t="s">
        <v>571</v>
      </c>
      <c r="M932" s="29" t="s">
        <v>727</v>
      </c>
      <c r="N932" s="29" t="s">
        <v>572</v>
      </c>
      <c r="O932" s="28"/>
      <c r="P932" s="28"/>
      <c r="Q932" s="28" t="s">
        <v>76</v>
      </c>
      <c r="R932" s="29"/>
      <c r="S932" s="28"/>
      <c r="T932" s="28"/>
      <c r="U932" s="28" t="s">
        <v>75</v>
      </c>
      <c r="V932" s="28" t="s">
        <v>75</v>
      </c>
      <c r="W932" s="28"/>
    </row>
    <row r="933" spans="1:23" s="12" customFormat="1" hidden="1">
      <c r="A933" s="46" t="s">
        <v>572</v>
      </c>
      <c r="B933" s="28" t="s">
        <v>1338</v>
      </c>
      <c r="C933" s="28" t="s">
        <v>944</v>
      </c>
      <c r="D933" s="28" t="s">
        <v>281</v>
      </c>
      <c r="E933" s="28" t="s">
        <v>282</v>
      </c>
      <c r="F933" s="28" t="s">
        <v>510</v>
      </c>
      <c r="G933" s="28" t="s">
        <v>510</v>
      </c>
      <c r="H933" s="28" t="s">
        <v>283</v>
      </c>
      <c r="I933" s="28" t="str">
        <f>VLOOKUP(F933,표준용어사전!$B:$D,3,FALSE)</f>
        <v>코드V50</v>
      </c>
      <c r="J933" s="28" t="s">
        <v>570</v>
      </c>
      <c r="K933" s="27">
        <v>50</v>
      </c>
      <c r="L933" s="29" t="s">
        <v>571</v>
      </c>
      <c r="M933" s="29" t="s">
        <v>725</v>
      </c>
      <c r="N933" s="29" t="s">
        <v>572</v>
      </c>
      <c r="O933" s="28"/>
      <c r="P933" s="28"/>
      <c r="Q933" s="28" t="s">
        <v>76</v>
      </c>
      <c r="R933" s="29"/>
      <c r="S933" s="28"/>
      <c r="T933" s="28"/>
      <c r="U933" s="28" t="s">
        <v>75</v>
      </c>
      <c r="V933" s="28" t="s">
        <v>75</v>
      </c>
      <c r="W933" s="28"/>
    </row>
    <row r="934" spans="1:23" s="12" customFormat="1" hidden="1">
      <c r="A934" s="46" t="s">
        <v>572</v>
      </c>
      <c r="B934" s="28" t="s">
        <v>1338</v>
      </c>
      <c r="C934" s="28" t="s">
        <v>944</v>
      </c>
      <c r="D934" s="28" t="s">
        <v>281</v>
      </c>
      <c r="E934" s="28" t="s">
        <v>623</v>
      </c>
      <c r="F934" s="28" t="s">
        <v>597</v>
      </c>
      <c r="G934" s="28" t="s">
        <v>597</v>
      </c>
      <c r="H934" s="28" t="s">
        <v>283</v>
      </c>
      <c r="I934" s="28" t="str">
        <f>VLOOKUP(F934,표준용어사전!$B:$D,3,FALSE)</f>
        <v>코드V50</v>
      </c>
      <c r="J934" s="28" t="s">
        <v>570</v>
      </c>
      <c r="K934" s="27">
        <v>50</v>
      </c>
      <c r="L934" s="29" t="s">
        <v>571</v>
      </c>
      <c r="M934" s="29" t="s">
        <v>725</v>
      </c>
      <c r="N934" s="29" t="s">
        <v>572</v>
      </c>
      <c r="O934" s="28"/>
      <c r="P934" s="28"/>
      <c r="Q934" s="28" t="s">
        <v>76</v>
      </c>
      <c r="R934" s="29"/>
      <c r="S934" s="28"/>
      <c r="T934" s="28"/>
      <c r="U934" s="28" t="s">
        <v>75</v>
      </c>
      <c r="V934" s="28" t="s">
        <v>75</v>
      </c>
      <c r="W934" s="28"/>
    </row>
    <row r="935" spans="1:23" s="12" customFormat="1" hidden="1">
      <c r="A935" s="46" t="s">
        <v>572</v>
      </c>
      <c r="B935" s="28" t="s">
        <v>1338</v>
      </c>
      <c r="C935" s="28" t="s">
        <v>944</v>
      </c>
      <c r="D935" s="28" t="s">
        <v>281</v>
      </c>
      <c r="E935" s="28" t="s">
        <v>218</v>
      </c>
      <c r="F935" s="28" t="s">
        <v>460</v>
      </c>
      <c r="G935" s="28" t="s">
        <v>460</v>
      </c>
      <c r="H935" s="28" t="s">
        <v>283</v>
      </c>
      <c r="I935" s="28" t="str">
        <f>VLOOKUP(F935,표준용어사전!$B:$D,3,FALSE)</f>
        <v>코드V50</v>
      </c>
      <c r="J935" s="28" t="s">
        <v>570</v>
      </c>
      <c r="K935" s="27">
        <v>50</v>
      </c>
      <c r="L935" s="29" t="s">
        <v>571</v>
      </c>
      <c r="M935" s="29" t="s">
        <v>725</v>
      </c>
      <c r="N935" s="29" t="s">
        <v>572</v>
      </c>
      <c r="O935" s="28"/>
      <c r="P935" s="28"/>
      <c r="Q935" s="28" t="s">
        <v>76</v>
      </c>
      <c r="R935" s="29"/>
      <c r="S935" s="28"/>
      <c r="T935" s="28"/>
      <c r="U935" s="28" t="s">
        <v>75</v>
      </c>
      <c r="V935" s="28" t="s">
        <v>75</v>
      </c>
      <c r="W935" s="28"/>
    </row>
    <row r="936" spans="1:23" s="12" customFormat="1" hidden="1">
      <c r="A936" s="46" t="s">
        <v>572</v>
      </c>
      <c r="B936" s="28" t="s">
        <v>1338</v>
      </c>
      <c r="C936" s="28" t="s">
        <v>944</v>
      </c>
      <c r="D936" s="28" t="s">
        <v>281</v>
      </c>
      <c r="E936" s="28" t="s">
        <v>830</v>
      </c>
      <c r="F936" s="28" t="s">
        <v>734</v>
      </c>
      <c r="G936" s="28" t="s">
        <v>734</v>
      </c>
      <c r="H936" s="28" t="s">
        <v>283</v>
      </c>
      <c r="I936" s="28" t="str">
        <f>VLOOKUP(F936,표준용어사전!$B:$D,3,FALSE)</f>
        <v>내용V2000</v>
      </c>
      <c r="J936" s="28" t="s">
        <v>78</v>
      </c>
      <c r="K936" s="27">
        <v>2000</v>
      </c>
      <c r="L936" s="29" t="s">
        <v>571</v>
      </c>
      <c r="M936" s="29" t="s">
        <v>728</v>
      </c>
      <c r="N936" s="29" t="s">
        <v>572</v>
      </c>
      <c r="O936" s="28"/>
      <c r="P936" s="28"/>
      <c r="Q936" s="28" t="s">
        <v>76</v>
      </c>
      <c r="R936" s="29"/>
      <c r="S936" s="28"/>
      <c r="T936" s="28"/>
      <c r="U936" s="28" t="s">
        <v>75</v>
      </c>
      <c r="V936" s="28" t="s">
        <v>75</v>
      </c>
      <c r="W936" s="28"/>
    </row>
    <row r="937" spans="1:23" s="12" customFormat="1" hidden="1">
      <c r="A937" s="46" t="s">
        <v>572</v>
      </c>
      <c r="B937" s="28" t="s">
        <v>1338</v>
      </c>
      <c r="C937" s="28" t="s">
        <v>944</v>
      </c>
      <c r="D937" s="28" t="s">
        <v>281</v>
      </c>
      <c r="E937" s="28" t="s">
        <v>831</v>
      </c>
      <c r="F937" s="28" t="s">
        <v>735</v>
      </c>
      <c r="G937" s="28" t="s">
        <v>735</v>
      </c>
      <c r="H937" s="28" t="s">
        <v>283</v>
      </c>
      <c r="I937" s="28" t="str">
        <f>VLOOKUP(F937,표준용어사전!$B:$D,3,FALSE)</f>
        <v>내용V2000</v>
      </c>
      <c r="J937" s="28" t="s">
        <v>78</v>
      </c>
      <c r="K937" s="27">
        <v>2000</v>
      </c>
      <c r="L937" s="29" t="s">
        <v>571</v>
      </c>
      <c r="M937" s="29" t="s">
        <v>728</v>
      </c>
      <c r="N937" s="29" t="s">
        <v>572</v>
      </c>
      <c r="O937" s="28"/>
      <c r="P937" s="28"/>
      <c r="Q937" s="28" t="s">
        <v>76</v>
      </c>
      <c r="R937" s="29"/>
      <c r="S937" s="28"/>
      <c r="T937" s="28"/>
      <c r="U937" s="28" t="s">
        <v>75</v>
      </c>
      <c r="V937" s="28" t="s">
        <v>75</v>
      </c>
      <c r="W937" s="28"/>
    </row>
    <row r="938" spans="1:23" s="12" customFormat="1" hidden="1">
      <c r="A938" s="46" t="s">
        <v>572</v>
      </c>
      <c r="B938" s="28" t="s">
        <v>1338</v>
      </c>
      <c r="C938" s="28" t="s">
        <v>944</v>
      </c>
      <c r="D938" s="28" t="s">
        <v>281</v>
      </c>
      <c r="E938" s="28" t="s">
        <v>219</v>
      </c>
      <c r="F938" s="28" t="s">
        <v>461</v>
      </c>
      <c r="G938" s="28" t="s">
        <v>461</v>
      </c>
      <c r="H938" s="28" t="s">
        <v>283</v>
      </c>
      <c r="I938" s="28" t="str">
        <f>VLOOKUP(F938,표준용어사전!$B:$D,3,FALSE)</f>
        <v>번호V100</v>
      </c>
      <c r="J938" s="28" t="s">
        <v>78</v>
      </c>
      <c r="K938" s="27">
        <v>2000</v>
      </c>
      <c r="L938" s="29" t="s">
        <v>571</v>
      </c>
      <c r="M938" s="29" t="s">
        <v>728</v>
      </c>
      <c r="N938" s="29" t="s">
        <v>572</v>
      </c>
      <c r="O938" s="28"/>
      <c r="P938" s="28"/>
      <c r="Q938" s="28" t="s">
        <v>76</v>
      </c>
      <c r="R938" s="29"/>
      <c r="S938" s="28"/>
      <c r="T938" s="28"/>
      <c r="U938" s="28" t="s">
        <v>75</v>
      </c>
      <c r="V938" s="28" t="s">
        <v>75</v>
      </c>
      <c r="W938" s="28"/>
    </row>
    <row r="939" spans="1:23" s="12" customFormat="1" hidden="1">
      <c r="A939" s="46" t="s">
        <v>572</v>
      </c>
      <c r="B939" s="28" t="s">
        <v>1338</v>
      </c>
      <c r="C939" s="28" t="s">
        <v>944</v>
      </c>
      <c r="D939" s="28" t="s">
        <v>281</v>
      </c>
      <c r="E939" s="28" t="s">
        <v>94</v>
      </c>
      <c r="F939" s="28" t="s">
        <v>373</v>
      </c>
      <c r="G939" s="28" t="s">
        <v>373</v>
      </c>
      <c r="H939" s="28" t="s">
        <v>283</v>
      </c>
      <c r="I939" s="28" t="str">
        <f>VLOOKUP(F939,표준용어사전!$B:$D,3,FALSE)</f>
        <v>번호N10</v>
      </c>
      <c r="J939" s="28" t="s">
        <v>63</v>
      </c>
      <c r="K939" s="27">
        <v>10</v>
      </c>
      <c r="L939" s="29" t="s">
        <v>571</v>
      </c>
      <c r="M939" s="29">
        <v>9999999999</v>
      </c>
      <c r="N939" s="29" t="s">
        <v>572</v>
      </c>
      <c r="O939" s="28"/>
      <c r="P939" s="28"/>
      <c r="Q939" s="28" t="s">
        <v>76</v>
      </c>
      <c r="R939" s="29"/>
      <c r="S939" s="28"/>
      <c r="T939" s="28"/>
      <c r="U939" s="28" t="s">
        <v>75</v>
      </c>
      <c r="V939" s="28" t="s">
        <v>75</v>
      </c>
      <c r="W939" s="28"/>
    </row>
    <row r="940" spans="1:23" s="12" customFormat="1" hidden="1">
      <c r="A940" s="46" t="s">
        <v>572</v>
      </c>
      <c r="B940" s="28" t="s">
        <v>1338</v>
      </c>
      <c r="C940" s="28" t="s">
        <v>944</v>
      </c>
      <c r="D940" s="28" t="s">
        <v>281</v>
      </c>
      <c r="E940" s="28" t="s">
        <v>90</v>
      </c>
      <c r="F940" s="28" t="s">
        <v>14</v>
      </c>
      <c r="G940" s="28" t="s">
        <v>14</v>
      </c>
      <c r="H940" s="28" t="s">
        <v>283</v>
      </c>
      <c r="I940" s="28" t="str">
        <f>VLOOKUP(F940,표준용어사전!$B:$D,3,FALSE)</f>
        <v>연월일시분초TS</v>
      </c>
      <c r="J940" s="28" t="s">
        <v>16</v>
      </c>
      <c r="K940" s="27" t="s">
        <v>571</v>
      </c>
      <c r="L940" s="29" t="s">
        <v>571</v>
      </c>
      <c r="M940" s="29" t="s">
        <v>726</v>
      </c>
      <c r="N940" s="29" t="s">
        <v>572</v>
      </c>
      <c r="O940" s="28"/>
      <c r="P940" s="28"/>
      <c r="Q940" s="28" t="s">
        <v>76</v>
      </c>
      <c r="R940" s="29"/>
      <c r="S940" s="28"/>
      <c r="T940" s="28"/>
      <c r="U940" s="28" t="s">
        <v>75</v>
      </c>
      <c r="V940" s="28" t="s">
        <v>75</v>
      </c>
      <c r="W940" s="28"/>
    </row>
    <row r="941" spans="1:23" s="12" customFormat="1" hidden="1">
      <c r="A941" s="46" t="s">
        <v>572</v>
      </c>
      <c r="B941" s="28" t="s">
        <v>1338</v>
      </c>
      <c r="C941" s="28" t="s">
        <v>944</v>
      </c>
      <c r="D941" s="28" t="s">
        <v>281</v>
      </c>
      <c r="E941" s="28" t="s">
        <v>91</v>
      </c>
      <c r="F941" s="28" t="s">
        <v>369</v>
      </c>
      <c r="G941" s="28" t="s">
        <v>369</v>
      </c>
      <c r="H941" s="28" t="s">
        <v>283</v>
      </c>
      <c r="I941" s="28" t="str">
        <f>VLOOKUP(F941,표준용어사전!$B:$D,3,FALSE)</f>
        <v>명V20</v>
      </c>
      <c r="J941" s="28" t="s">
        <v>78</v>
      </c>
      <c r="K941" s="27">
        <v>20</v>
      </c>
      <c r="L941" s="29" t="s">
        <v>571</v>
      </c>
      <c r="M941" s="29" t="s">
        <v>727</v>
      </c>
      <c r="N941" s="29" t="s">
        <v>572</v>
      </c>
      <c r="O941" s="28"/>
      <c r="P941" s="28"/>
      <c r="Q941" s="28" t="s">
        <v>76</v>
      </c>
      <c r="R941" s="29"/>
      <c r="S941" s="28"/>
      <c r="T941" s="28"/>
      <c r="U941" s="28" t="s">
        <v>75</v>
      </c>
      <c r="V941" s="28" t="s">
        <v>75</v>
      </c>
      <c r="W941" s="28"/>
    </row>
    <row r="942" spans="1:23" s="12" customFormat="1" hidden="1">
      <c r="A942" s="46" t="s">
        <v>572</v>
      </c>
      <c r="B942" s="28" t="s">
        <v>1338</v>
      </c>
      <c r="C942" s="28" t="s">
        <v>944</v>
      </c>
      <c r="D942" s="28" t="s">
        <v>281</v>
      </c>
      <c r="E942" s="28" t="s">
        <v>92</v>
      </c>
      <c r="F942" s="28" t="s">
        <v>15</v>
      </c>
      <c r="G942" s="28" t="s">
        <v>15</v>
      </c>
      <c r="H942" s="28" t="s">
        <v>283</v>
      </c>
      <c r="I942" s="28" t="str">
        <f>VLOOKUP(F942,표준용어사전!$B:$D,3,FALSE)</f>
        <v>연월일시분초TS</v>
      </c>
      <c r="J942" s="28" t="s">
        <v>16</v>
      </c>
      <c r="K942" s="27" t="s">
        <v>571</v>
      </c>
      <c r="L942" s="29" t="s">
        <v>571</v>
      </c>
      <c r="M942" s="29" t="s">
        <v>726</v>
      </c>
      <c r="N942" s="29" t="s">
        <v>572</v>
      </c>
      <c r="O942" s="28"/>
      <c r="P942" s="28"/>
      <c r="Q942" s="28" t="s">
        <v>76</v>
      </c>
      <c r="R942" s="29"/>
      <c r="S942" s="28"/>
      <c r="T942" s="28"/>
      <c r="U942" s="28" t="s">
        <v>75</v>
      </c>
      <c r="V942" s="28" t="s">
        <v>75</v>
      </c>
      <c r="W942" s="28"/>
    </row>
    <row r="943" spans="1:23" s="12" customFormat="1" hidden="1">
      <c r="A943" s="46" t="s">
        <v>572</v>
      </c>
      <c r="B943" s="28" t="s">
        <v>1338</v>
      </c>
      <c r="C943" s="28" t="s">
        <v>944</v>
      </c>
      <c r="D943" s="28" t="s">
        <v>281</v>
      </c>
      <c r="E943" s="28" t="s">
        <v>93</v>
      </c>
      <c r="F943" s="28" t="s">
        <v>370</v>
      </c>
      <c r="G943" s="28" t="s">
        <v>370</v>
      </c>
      <c r="H943" s="28" t="s">
        <v>283</v>
      </c>
      <c r="I943" s="28" t="str">
        <f>VLOOKUP(F943,표준용어사전!$B:$D,3,FALSE)</f>
        <v>명V20</v>
      </c>
      <c r="J943" s="28" t="s">
        <v>78</v>
      </c>
      <c r="K943" s="27">
        <v>20</v>
      </c>
      <c r="L943" s="29" t="s">
        <v>571</v>
      </c>
      <c r="M943" s="29" t="s">
        <v>727</v>
      </c>
      <c r="N943" s="29" t="s">
        <v>572</v>
      </c>
      <c r="O943" s="28"/>
      <c r="P943" s="28"/>
      <c r="Q943" s="28" t="s">
        <v>76</v>
      </c>
      <c r="R943" s="29"/>
      <c r="S943" s="28"/>
      <c r="T943" s="28"/>
      <c r="U943" s="28" t="s">
        <v>75</v>
      </c>
      <c r="V943" s="28" t="s">
        <v>75</v>
      </c>
      <c r="W943" s="28"/>
    </row>
    <row r="944" spans="1:23" s="12" customFormat="1" hidden="1">
      <c r="A944" s="46" t="s">
        <v>572</v>
      </c>
      <c r="B944" s="28" t="s">
        <v>1338</v>
      </c>
      <c r="C944" s="28" t="s">
        <v>944</v>
      </c>
      <c r="D944" s="28" t="s">
        <v>281</v>
      </c>
      <c r="E944" s="28" t="s">
        <v>220</v>
      </c>
      <c r="F944" s="28" t="s">
        <v>462</v>
      </c>
      <c r="G944" s="28" t="s">
        <v>462</v>
      </c>
      <c r="H944" s="28" t="s">
        <v>283</v>
      </c>
      <c r="I944" s="28" t="str">
        <f>VLOOKUP(F944,표준용어사전!$B:$D,3,FALSE)</f>
        <v>내용V2000</v>
      </c>
      <c r="J944" s="28" t="s">
        <v>78</v>
      </c>
      <c r="K944" s="27">
        <v>4000</v>
      </c>
      <c r="L944" s="29" t="s">
        <v>571</v>
      </c>
      <c r="M944" s="29" t="s">
        <v>737</v>
      </c>
      <c r="N944" s="29" t="s">
        <v>572</v>
      </c>
      <c r="O944" s="28"/>
      <c r="P944" s="28"/>
      <c r="Q944" s="28" t="s">
        <v>76</v>
      </c>
      <c r="R944" s="29"/>
      <c r="S944" s="28"/>
      <c r="T944" s="28"/>
      <c r="U944" s="28" t="s">
        <v>75</v>
      </c>
      <c r="V944" s="28" t="s">
        <v>75</v>
      </c>
      <c r="W944" s="28"/>
    </row>
    <row r="945" spans="1:23" s="12" customFormat="1" hidden="1">
      <c r="A945" s="46" t="s">
        <v>572</v>
      </c>
      <c r="B945" s="28" t="s">
        <v>1338</v>
      </c>
      <c r="C945" s="28" t="s">
        <v>944</v>
      </c>
      <c r="D945" s="28" t="s">
        <v>281</v>
      </c>
      <c r="E945" s="28" t="s">
        <v>221</v>
      </c>
      <c r="F945" s="28" t="s">
        <v>463</v>
      </c>
      <c r="G945" s="28" t="s">
        <v>463</v>
      </c>
      <c r="H945" s="28" t="s">
        <v>283</v>
      </c>
      <c r="I945" s="28" t="str">
        <f>VLOOKUP(F945,표준용어사전!$B:$D,3,FALSE)</f>
        <v>내용V2000</v>
      </c>
      <c r="J945" s="28" t="s">
        <v>78</v>
      </c>
      <c r="K945" s="27">
        <v>4000</v>
      </c>
      <c r="L945" s="29" t="s">
        <v>571</v>
      </c>
      <c r="M945" s="29" t="s">
        <v>737</v>
      </c>
      <c r="N945" s="29" t="s">
        <v>572</v>
      </c>
      <c r="O945" s="28"/>
      <c r="P945" s="28"/>
      <c r="Q945" s="28" t="s">
        <v>76</v>
      </c>
      <c r="R945" s="29"/>
      <c r="S945" s="28"/>
      <c r="T945" s="28"/>
      <c r="U945" s="28" t="s">
        <v>75</v>
      </c>
      <c r="V945" s="28" t="s">
        <v>75</v>
      </c>
      <c r="W945" s="28"/>
    </row>
    <row r="946" spans="1:23" s="12" customFormat="1" hidden="1">
      <c r="A946" s="46" t="s">
        <v>572</v>
      </c>
      <c r="B946" s="28" t="s">
        <v>1338</v>
      </c>
      <c r="C946" s="28" t="s">
        <v>944</v>
      </c>
      <c r="D946" s="28" t="s">
        <v>281</v>
      </c>
      <c r="E946" s="28" t="s">
        <v>222</v>
      </c>
      <c r="F946" s="28" t="s">
        <v>464</v>
      </c>
      <c r="G946" s="28" t="s">
        <v>464</v>
      </c>
      <c r="H946" s="28" t="s">
        <v>283</v>
      </c>
      <c r="I946" s="28" t="str">
        <f>VLOOKUP(F946,표준용어사전!$B:$D,3,FALSE)</f>
        <v>내용V2000</v>
      </c>
      <c r="J946" s="28" t="s">
        <v>78</v>
      </c>
      <c r="K946" s="27">
        <v>4000</v>
      </c>
      <c r="L946" s="29" t="s">
        <v>571</v>
      </c>
      <c r="M946" s="29" t="s">
        <v>737</v>
      </c>
      <c r="N946" s="29" t="s">
        <v>572</v>
      </c>
      <c r="O946" s="28"/>
      <c r="P946" s="28"/>
      <c r="Q946" s="28" t="s">
        <v>76</v>
      </c>
      <c r="R946" s="29"/>
      <c r="S946" s="28"/>
      <c r="T946" s="28"/>
      <c r="U946" s="28" t="s">
        <v>75</v>
      </c>
      <c r="V946" s="28" t="s">
        <v>75</v>
      </c>
      <c r="W946" s="28"/>
    </row>
    <row r="947" spans="1:23" s="12" customFormat="1" hidden="1">
      <c r="A947" s="46" t="s">
        <v>572</v>
      </c>
      <c r="B947" s="28" t="s">
        <v>1338</v>
      </c>
      <c r="C947" s="28" t="s">
        <v>944</v>
      </c>
      <c r="D947" s="28" t="s">
        <v>281</v>
      </c>
      <c r="E947" s="28" t="s">
        <v>223</v>
      </c>
      <c r="F947" s="28" t="s">
        <v>1596</v>
      </c>
      <c r="G947" s="28" t="s">
        <v>1596</v>
      </c>
      <c r="H947" s="28" t="s">
        <v>283</v>
      </c>
      <c r="I947" s="28" t="str">
        <f>VLOOKUP(F947,표준용어사전!$B:$D,3,FALSE)</f>
        <v>수N10</v>
      </c>
      <c r="J947" s="28" t="s">
        <v>63</v>
      </c>
      <c r="K947" s="27">
        <v>10</v>
      </c>
      <c r="L947" s="29" t="s">
        <v>571</v>
      </c>
      <c r="M947" s="29">
        <v>9999999999</v>
      </c>
      <c r="N947" s="29" t="s">
        <v>572</v>
      </c>
      <c r="O947" s="28"/>
      <c r="P947" s="28"/>
      <c r="Q947" s="28" t="s">
        <v>76</v>
      </c>
      <c r="R947" s="29"/>
      <c r="S947" s="28"/>
      <c r="T947" s="28"/>
      <c r="U947" s="28" t="s">
        <v>75</v>
      </c>
      <c r="V947" s="28" t="s">
        <v>75</v>
      </c>
      <c r="W947" s="28"/>
    </row>
    <row r="948" spans="1:23" s="12" customFormat="1" hidden="1">
      <c r="A948" s="46" t="s">
        <v>572</v>
      </c>
      <c r="B948" s="28" t="s">
        <v>1332</v>
      </c>
      <c r="C948" s="28" t="s">
        <v>740</v>
      </c>
      <c r="D948" s="31" t="s">
        <v>1150</v>
      </c>
      <c r="E948" s="31" t="s">
        <v>1183</v>
      </c>
      <c r="F948" s="31" t="s">
        <v>1599</v>
      </c>
      <c r="G948" s="31" t="s">
        <v>1599</v>
      </c>
      <c r="H948" s="31" t="s">
        <v>1600</v>
      </c>
      <c r="I948" s="28" t="str">
        <f>VLOOKUP(F948,표준용어사전!$B:$D,3,FALSE)</f>
        <v>코드V50</v>
      </c>
      <c r="J948" s="28" t="s">
        <v>570</v>
      </c>
      <c r="K948" s="28">
        <v>50</v>
      </c>
      <c r="L948" s="29" t="s">
        <v>571</v>
      </c>
      <c r="M948" s="29" t="s">
        <v>725</v>
      </c>
      <c r="N948" s="32" t="s">
        <v>711</v>
      </c>
      <c r="O948" s="28" t="s">
        <v>641</v>
      </c>
      <c r="P948" s="31"/>
      <c r="Q948" s="28" t="s">
        <v>76</v>
      </c>
      <c r="R948" s="29"/>
      <c r="S948" s="31"/>
      <c r="T948" s="31"/>
      <c r="U948" s="28" t="s">
        <v>75</v>
      </c>
      <c r="V948" s="28" t="s">
        <v>75</v>
      </c>
      <c r="W948" s="31"/>
    </row>
    <row r="949" spans="1:23" s="12" customFormat="1" hidden="1">
      <c r="A949" s="46" t="s">
        <v>572</v>
      </c>
      <c r="B949" s="28" t="s">
        <v>1332</v>
      </c>
      <c r="C949" s="28" t="s">
        <v>740</v>
      </c>
      <c r="D949" s="31" t="s">
        <v>1150</v>
      </c>
      <c r="E949" s="31" t="s">
        <v>1184</v>
      </c>
      <c r="F949" s="31" t="s">
        <v>1601</v>
      </c>
      <c r="G949" s="31" t="s">
        <v>1601</v>
      </c>
      <c r="H949" s="31" t="s">
        <v>1600</v>
      </c>
      <c r="I949" s="28" t="str">
        <f>VLOOKUP(F949,표준용어사전!$B:$D,3,FALSE)</f>
        <v>코드V50</v>
      </c>
      <c r="J949" s="28" t="s">
        <v>570</v>
      </c>
      <c r="K949" s="28">
        <v>50</v>
      </c>
      <c r="L949" s="29" t="s">
        <v>571</v>
      </c>
      <c r="M949" s="29" t="s">
        <v>725</v>
      </c>
      <c r="N949" s="32" t="s">
        <v>572</v>
      </c>
      <c r="O949" s="31"/>
      <c r="P949" s="31"/>
      <c r="Q949" s="28" t="s">
        <v>76</v>
      </c>
      <c r="R949" s="29"/>
      <c r="S949" s="31"/>
      <c r="T949" s="31"/>
      <c r="U949" s="28" t="s">
        <v>75</v>
      </c>
      <c r="V949" s="28" t="s">
        <v>75</v>
      </c>
      <c r="W949" s="31"/>
    </row>
    <row r="950" spans="1:23" s="12" customFormat="1" hidden="1">
      <c r="A950" s="46" t="s">
        <v>572</v>
      </c>
      <c r="B950" s="28" t="s">
        <v>1332</v>
      </c>
      <c r="C950" s="28" t="s">
        <v>740</v>
      </c>
      <c r="D950" s="31" t="s">
        <v>1150</v>
      </c>
      <c r="E950" s="31" t="s">
        <v>822</v>
      </c>
      <c r="F950" s="31" t="s">
        <v>1426</v>
      </c>
      <c r="G950" s="31" t="s">
        <v>371</v>
      </c>
      <c r="H950" s="31" t="s">
        <v>1600</v>
      </c>
      <c r="I950" s="28" t="e">
        <f>VLOOKUP(F950,표준용어사전!$B:$D,3,FALSE)</f>
        <v>#N/A</v>
      </c>
      <c r="J950" s="28" t="s">
        <v>78</v>
      </c>
      <c r="K950" s="28">
        <v>2000</v>
      </c>
      <c r="L950" s="29" t="s">
        <v>571</v>
      </c>
      <c r="M950" s="29" t="s">
        <v>728</v>
      </c>
      <c r="N950" s="32" t="s">
        <v>572</v>
      </c>
      <c r="O950" s="31"/>
      <c r="P950" s="31"/>
      <c r="Q950" s="28" t="s">
        <v>76</v>
      </c>
      <c r="R950" s="29"/>
      <c r="S950" s="31"/>
      <c r="T950" s="31"/>
      <c r="U950" s="28" t="s">
        <v>75</v>
      </c>
      <c r="V950" s="28" t="s">
        <v>75</v>
      </c>
      <c r="W950" s="31"/>
    </row>
    <row r="951" spans="1:23" s="12" customFormat="1" hidden="1">
      <c r="A951" s="46" t="s">
        <v>572</v>
      </c>
      <c r="B951" s="28" t="s">
        <v>1332</v>
      </c>
      <c r="C951" s="28" t="s">
        <v>740</v>
      </c>
      <c r="D951" s="31" t="s">
        <v>1150</v>
      </c>
      <c r="E951" s="31" t="s">
        <v>823</v>
      </c>
      <c r="F951" s="31" t="s">
        <v>1427</v>
      </c>
      <c r="G951" s="31" t="s">
        <v>372</v>
      </c>
      <c r="H951" s="31" t="s">
        <v>1600</v>
      </c>
      <c r="I951" s="28" t="e">
        <f>VLOOKUP(F951,표준용어사전!$B:$D,3,FALSE)</f>
        <v>#N/A</v>
      </c>
      <c r="J951" s="28" t="s">
        <v>78</v>
      </c>
      <c r="K951" s="28">
        <v>2000</v>
      </c>
      <c r="L951" s="29" t="s">
        <v>571</v>
      </c>
      <c r="M951" s="29" t="s">
        <v>728</v>
      </c>
      <c r="N951" s="32" t="s">
        <v>572</v>
      </c>
      <c r="O951" s="31"/>
      <c r="P951" s="31"/>
      <c r="Q951" s="28" t="s">
        <v>76</v>
      </c>
      <c r="R951" s="29"/>
      <c r="S951" s="31"/>
      <c r="T951" s="31"/>
      <c r="U951" s="28" t="s">
        <v>75</v>
      </c>
      <c r="V951" s="28" t="s">
        <v>75</v>
      </c>
      <c r="W951" s="31"/>
    </row>
    <row r="952" spans="1:23" s="12" customFormat="1" hidden="1">
      <c r="A952" s="46" t="s">
        <v>572</v>
      </c>
      <c r="B952" s="28" t="s">
        <v>1332</v>
      </c>
      <c r="C952" s="28" t="s">
        <v>740</v>
      </c>
      <c r="D952" s="31" t="s">
        <v>1150</v>
      </c>
      <c r="E952" s="31" t="s">
        <v>1185</v>
      </c>
      <c r="F952" s="31" t="s">
        <v>1428</v>
      </c>
      <c r="G952" s="31" t="s">
        <v>966</v>
      </c>
      <c r="H952" s="31" t="s">
        <v>1600</v>
      </c>
      <c r="I952" s="28" t="e">
        <f>VLOOKUP(F952,표준용어사전!$B:$D,3,FALSE)</f>
        <v>#N/A</v>
      </c>
      <c r="J952" s="28" t="s">
        <v>78</v>
      </c>
      <c r="K952" s="28">
        <v>2000</v>
      </c>
      <c r="L952" s="29" t="s">
        <v>571</v>
      </c>
      <c r="M952" s="29" t="s">
        <v>728</v>
      </c>
      <c r="N952" s="32" t="s">
        <v>572</v>
      </c>
      <c r="O952" s="31"/>
      <c r="P952" s="31"/>
      <c r="Q952" s="28" t="s">
        <v>76</v>
      </c>
      <c r="R952" s="29"/>
      <c r="S952" s="31"/>
      <c r="T952" s="31"/>
      <c r="U952" s="28" t="s">
        <v>75</v>
      </c>
      <c r="V952" s="28" t="s">
        <v>75</v>
      </c>
      <c r="W952" s="31"/>
    </row>
    <row r="953" spans="1:23" s="12" customFormat="1" hidden="1">
      <c r="A953" s="46" t="s">
        <v>572</v>
      </c>
      <c r="B953" s="28" t="s">
        <v>1332</v>
      </c>
      <c r="C953" s="28" t="s">
        <v>740</v>
      </c>
      <c r="D953" s="31" t="s">
        <v>1150</v>
      </c>
      <c r="E953" s="31" t="s">
        <v>1186</v>
      </c>
      <c r="F953" s="31" t="s">
        <v>1429</v>
      </c>
      <c r="G953" s="31" t="s">
        <v>967</v>
      </c>
      <c r="H953" s="31" t="s">
        <v>1600</v>
      </c>
      <c r="I953" s="28" t="e">
        <f>VLOOKUP(F953,표준용어사전!$B:$D,3,FALSE)</f>
        <v>#N/A</v>
      </c>
      <c r="J953" s="28" t="s">
        <v>78</v>
      </c>
      <c r="K953" s="28">
        <v>2000</v>
      </c>
      <c r="L953" s="29" t="s">
        <v>571</v>
      </c>
      <c r="M953" s="29" t="s">
        <v>728</v>
      </c>
      <c r="N953" s="32" t="s">
        <v>572</v>
      </c>
      <c r="O953" s="31"/>
      <c r="P953" s="31"/>
      <c r="Q953" s="28" t="s">
        <v>76</v>
      </c>
      <c r="R953" s="29"/>
      <c r="S953" s="31"/>
      <c r="T953" s="31"/>
      <c r="U953" s="28" t="s">
        <v>75</v>
      </c>
      <c r="V953" s="28" t="s">
        <v>75</v>
      </c>
      <c r="W953" s="31"/>
    </row>
    <row r="954" spans="1:23" s="12" customFormat="1" hidden="1">
      <c r="A954" s="46" t="s">
        <v>572</v>
      </c>
      <c r="B954" s="28" t="s">
        <v>1332</v>
      </c>
      <c r="C954" s="28" t="s">
        <v>740</v>
      </c>
      <c r="D954" s="31" t="s">
        <v>1150</v>
      </c>
      <c r="E954" s="31" t="s">
        <v>94</v>
      </c>
      <c r="F954" s="31" t="s">
        <v>1412</v>
      </c>
      <c r="G954" s="31" t="s">
        <v>968</v>
      </c>
      <c r="H954" s="31" t="s">
        <v>1600</v>
      </c>
      <c r="I954" s="28" t="str">
        <f>VLOOKUP(F954,표준용어사전!$B:$D,3,FALSE)</f>
        <v>번호N10</v>
      </c>
      <c r="J954" s="28" t="s">
        <v>63</v>
      </c>
      <c r="K954" s="28">
        <v>10</v>
      </c>
      <c r="L954" s="29" t="s">
        <v>571</v>
      </c>
      <c r="M954" s="29">
        <v>9999999999</v>
      </c>
      <c r="N954" s="32" t="s">
        <v>572</v>
      </c>
      <c r="O954" s="31"/>
      <c r="P954" s="31"/>
      <c r="Q954" s="28" t="s">
        <v>76</v>
      </c>
      <c r="R954" s="29"/>
      <c r="S954" s="31"/>
      <c r="T954" s="31"/>
      <c r="U954" s="28" t="s">
        <v>75</v>
      </c>
      <c r="V954" s="28" t="s">
        <v>75</v>
      </c>
      <c r="W954" s="31"/>
    </row>
    <row r="955" spans="1:23" s="12" customFormat="1" hidden="1">
      <c r="A955" s="46" t="s">
        <v>572</v>
      </c>
      <c r="B955" s="28" t="s">
        <v>1332</v>
      </c>
      <c r="C955" s="28" t="s">
        <v>740</v>
      </c>
      <c r="D955" s="31" t="s">
        <v>1150</v>
      </c>
      <c r="E955" s="31" t="s">
        <v>90</v>
      </c>
      <c r="F955" s="31" t="s">
        <v>14</v>
      </c>
      <c r="G955" s="31" t="s">
        <v>14</v>
      </c>
      <c r="H955" s="31" t="s">
        <v>1600</v>
      </c>
      <c r="I955" s="28" t="str">
        <f>VLOOKUP(F955,표준용어사전!$B:$D,3,FALSE)</f>
        <v>연월일시분초TS</v>
      </c>
      <c r="J955" s="28" t="s">
        <v>16</v>
      </c>
      <c r="K955" s="28" t="s">
        <v>927</v>
      </c>
      <c r="L955" s="29" t="s">
        <v>571</v>
      </c>
      <c r="M955" s="29" t="s">
        <v>726</v>
      </c>
      <c r="N955" s="29" t="s">
        <v>711</v>
      </c>
      <c r="O955" s="31"/>
      <c r="P955" s="31"/>
      <c r="Q955" s="28" t="s">
        <v>76</v>
      </c>
      <c r="R955" s="29"/>
      <c r="S955" s="31"/>
      <c r="T955" s="28" t="s">
        <v>574</v>
      </c>
      <c r="U955" s="28" t="s">
        <v>75</v>
      </c>
      <c r="V955" s="28" t="s">
        <v>75</v>
      </c>
      <c r="W955" s="31"/>
    </row>
    <row r="956" spans="1:23" s="12" customFormat="1" hidden="1">
      <c r="A956" s="46" t="s">
        <v>572</v>
      </c>
      <c r="B956" s="28" t="s">
        <v>1332</v>
      </c>
      <c r="C956" s="28" t="s">
        <v>740</v>
      </c>
      <c r="D956" s="31" t="s">
        <v>1150</v>
      </c>
      <c r="E956" s="31" t="s">
        <v>91</v>
      </c>
      <c r="F956" s="31" t="s">
        <v>369</v>
      </c>
      <c r="G956" s="31" t="s">
        <v>369</v>
      </c>
      <c r="H956" s="31" t="s">
        <v>1600</v>
      </c>
      <c r="I956" s="28" t="str">
        <f>VLOOKUP(F956,표준용어사전!$B:$D,3,FALSE)</f>
        <v>명V20</v>
      </c>
      <c r="J956" s="28" t="s">
        <v>78</v>
      </c>
      <c r="K956" s="28">
        <v>20</v>
      </c>
      <c r="L956" s="29" t="s">
        <v>571</v>
      </c>
      <c r="M956" s="29" t="s">
        <v>727</v>
      </c>
      <c r="N956" s="32" t="s">
        <v>572</v>
      </c>
      <c r="O956" s="31"/>
      <c r="P956" s="31"/>
      <c r="Q956" s="28" t="s">
        <v>76</v>
      </c>
      <c r="R956" s="29"/>
      <c r="S956" s="31"/>
      <c r="T956" s="31"/>
      <c r="U956" s="28" t="s">
        <v>75</v>
      </c>
      <c r="V956" s="28" t="s">
        <v>75</v>
      </c>
      <c r="W956" s="31"/>
    </row>
    <row r="957" spans="1:23" s="12" customFormat="1" hidden="1">
      <c r="A957" s="46" t="s">
        <v>572</v>
      </c>
      <c r="B957" s="28" t="s">
        <v>1332</v>
      </c>
      <c r="C957" s="28" t="s">
        <v>740</v>
      </c>
      <c r="D957" s="31" t="s">
        <v>1150</v>
      </c>
      <c r="E957" s="31" t="s">
        <v>92</v>
      </c>
      <c r="F957" s="31" t="s">
        <v>15</v>
      </c>
      <c r="G957" s="31" t="s">
        <v>15</v>
      </c>
      <c r="H957" s="31" t="s">
        <v>1600</v>
      </c>
      <c r="I957" s="28" t="str">
        <f>VLOOKUP(F957,표준용어사전!$B:$D,3,FALSE)</f>
        <v>연월일시분초TS</v>
      </c>
      <c r="J957" s="28" t="s">
        <v>16</v>
      </c>
      <c r="K957" s="28" t="s">
        <v>927</v>
      </c>
      <c r="L957" s="29" t="s">
        <v>571</v>
      </c>
      <c r="M957" s="29" t="s">
        <v>726</v>
      </c>
      <c r="N957" s="32" t="s">
        <v>572</v>
      </c>
      <c r="O957" s="31"/>
      <c r="P957" s="31"/>
      <c r="Q957" s="28" t="s">
        <v>76</v>
      </c>
      <c r="R957" s="29"/>
      <c r="S957" s="31"/>
      <c r="T957" s="28" t="s">
        <v>574</v>
      </c>
      <c r="U957" s="28" t="s">
        <v>75</v>
      </c>
      <c r="V957" s="28" t="s">
        <v>75</v>
      </c>
      <c r="W957" s="31"/>
    </row>
    <row r="958" spans="1:23" s="12" customFormat="1" hidden="1">
      <c r="A958" s="46" t="s">
        <v>572</v>
      </c>
      <c r="B958" s="28" t="s">
        <v>1332</v>
      </c>
      <c r="C958" s="28" t="s">
        <v>740</v>
      </c>
      <c r="D958" s="31" t="s">
        <v>1150</v>
      </c>
      <c r="E958" s="31" t="s">
        <v>93</v>
      </c>
      <c r="F958" s="31" t="s">
        <v>370</v>
      </c>
      <c r="G958" s="31" t="s">
        <v>370</v>
      </c>
      <c r="H958" s="31" t="s">
        <v>1600</v>
      </c>
      <c r="I958" s="28" t="str">
        <f>VLOOKUP(F958,표준용어사전!$B:$D,3,FALSE)</f>
        <v>명V20</v>
      </c>
      <c r="J958" s="28" t="s">
        <v>78</v>
      </c>
      <c r="K958" s="28">
        <v>20</v>
      </c>
      <c r="L958" s="29" t="s">
        <v>571</v>
      </c>
      <c r="M958" s="29" t="s">
        <v>727</v>
      </c>
      <c r="N958" s="32" t="s">
        <v>572</v>
      </c>
      <c r="O958" s="31"/>
      <c r="P958" s="31"/>
      <c r="Q958" s="28" t="s">
        <v>76</v>
      </c>
      <c r="R958" s="29"/>
      <c r="S958" s="31"/>
      <c r="T958" s="31"/>
      <c r="U958" s="28" t="s">
        <v>75</v>
      </c>
      <c r="V958" s="28" t="s">
        <v>75</v>
      </c>
      <c r="W958" s="31"/>
    </row>
    <row r="959" spans="1:23" s="12" customFormat="1" hidden="1">
      <c r="A959" s="46" t="s">
        <v>572</v>
      </c>
      <c r="B959" s="28" t="s">
        <v>1332</v>
      </c>
      <c r="C959" s="28" t="s">
        <v>740</v>
      </c>
      <c r="D959" s="31" t="s">
        <v>1151</v>
      </c>
      <c r="E959" s="31" t="s">
        <v>163</v>
      </c>
      <c r="F959" s="31" t="s">
        <v>422</v>
      </c>
      <c r="G959" s="31" t="s">
        <v>422</v>
      </c>
      <c r="H959" s="31" t="s">
        <v>1602</v>
      </c>
      <c r="I959" s="28" t="e">
        <f>VLOOKUP(F959,표준용어사전!$B:$D,3,FALSE)</f>
        <v>#N/A</v>
      </c>
      <c r="J959" s="33" t="s">
        <v>63</v>
      </c>
      <c r="K959" s="28">
        <v>10</v>
      </c>
      <c r="L959" s="29" t="s">
        <v>571</v>
      </c>
      <c r="M959" s="29">
        <v>9999999999</v>
      </c>
      <c r="N959" s="32" t="s">
        <v>711</v>
      </c>
      <c r="O959" s="28" t="s">
        <v>641</v>
      </c>
      <c r="P959" s="31"/>
      <c r="Q959" s="28" t="s">
        <v>76</v>
      </c>
      <c r="R959" s="29"/>
      <c r="S959" s="31"/>
      <c r="T959" s="31"/>
      <c r="U959" s="28" t="s">
        <v>75</v>
      </c>
      <c r="V959" s="28" t="s">
        <v>75</v>
      </c>
      <c r="W959" s="31"/>
    </row>
    <row r="960" spans="1:23" s="12" customFormat="1" hidden="1">
      <c r="A960" s="46" t="s">
        <v>572</v>
      </c>
      <c r="B960" s="28" t="s">
        <v>1332</v>
      </c>
      <c r="C960" s="28" t="s">
        <v>740</v>
      </c>
      <c r="D960" s="31" t="s">
        <v>1151</v>
      </c>
      <c r="E960" s="31" t="s">
        <v>1183</v>
      </c>
      <c r="F960" s="31" t="s">
        <v>1599</v>
      </c>
      <c r="G960" s="31" t="s">
        <v>1599</v>
      </c>
      <c r="H960" s="31" t="s">
        <v>1602</v>
      </c>
      <c r="I960" s="28" t="str">
        <f>VLOOKUP(F960,표준용어사전!$B:$D,3,FALSE)</f>
        <v>코드V50</v>
      </c>
      <c r="J960" s="33" t="s">
        <v>570</v>
      </c>
      <c r="K960" s="28">
        <v>50</v>
      </c>
      <c r="L960" s="29" t="s">
        <v>571</v>
      </c>
      <c r="M960" s="29" t="s">
        <v>725</v>
      </c>
      <c r="N960" s="32" t="s">
        <v>711</v>
      </c>
      <c r="O960" s="28" t="s">
        <v>573</v>
      </c>
      <c r="P960" s="31"/>
      <c r="Q960" s="28" t="s">
        <v>76</v>
      </c>
      <c r="R960" s="29"/>
      <c r="S960" s="31"/>
      <c r="T960" s="31"/>
      <c r="U960" s="28" t="s">
        <v>75</v>
      </c>
      <c r="V960" s="28" t="s">
        <v>75</v>
      </c>
      <c r="W960" s="31"/>
    </row>
    <row r="961" spans="1:23" s="12" customFormat="1" hidden="1">
      <c r="A961" s="46" t="s">
        <v>572</v>
      </c>
      <c r="B961" s="28" t="s">
        <v>1332</v>
      </c>
      <c r="C961" s="28" t="s">
        <v>740</v>
      </c>
      <c r="D961" s="31" t="s">
        <v>1151</v>
      </c>
      <c r="E961" s="31" t="s">
        <v>90</v>
      </c>
      <c r="F961" s="31" t="s">
        <v>14</v>
      </c>
      <c r="G961" s="31" t="s">
        <v>14</v>
      </c>
      <c r="H961" s="31" t="s">
        <v>1602</v>
      </c>
      <c r="I961" s="28" t="str">
        <f>VLOOKUP(F961,표준용어사전!$B:$D,3,FALSE)</f>
        <v>연월일시분초TS</v>
      </c>
      <c r="J961" s="33" t="s">
        <v>16</v>
      </c>
      <c r="K961" s="28" t="s">
        <v>927</v>
      </c>
      <c r="L961" s="29" t="s">
        <v>571</v>
      </c>
      <c r="M961" s="29" t="s">
        <v>726</v>
      </c>
      <c r="N961" s="29" t="s">
        <v>711</v>
      </c>
      <c r="O961" s="31"/>
      <c r="P961" s="31"/>
      <c r="Q961" s="28" t="s">
        <v>76</v>
      </c>
      <c r="R961" s="29"/>
      <c r="S961" s="31"/>
      <c r="T961" s="28" t="s">
        <v>574</v>
      </c>
      <c r="U961" s="28" t="s">
        <v>75</v>
      </c>
      <c r="V961" s="28" t="s">
        <v>75</v>
      </c>
      <c r="W961" s="31"/>
    </row>
    <row r="962" spans="1:23" s="12" customFormat="1" hidden="1">
      <c r="A962" s="46" t="s">
        <v>572</v>
      </c>
      <c r="B962" s="28" t="s">
        <v>1332</v>
      </c>
      <c r="C962" s="28" t="s">
        <v>740</v>
      </c>
      <c r="D962" s="31" t="s">
        <v>1151</v>
      </c>
      <c r="E962" s="31" t="s">
        <v>91</v>
      </c>
      <c r="F962" s="31" t="s">
        <v>369</v>
      </c>
      <c r="G962" s="31" t="s">
        <v>369</v>
      </c>
      <c r="H962" s="31" t="s">
        <v>1602</v>
      </c>
      <c r="I962" s="28" t="str">
        <f>VLOOKUP(F962,표준용어사전!$B:$D,3,FALSE)</f>
        <v>명V20</v>
      </c>
      <c r="J962" s="33" t="s">
        <v>78</v>
      </c>
      <c r="K962" s="28">
        <v>20</v>
      </c>
      <c r="L962" s="29" t="s">
        <v>571</v>
      </c>
      <c r="M962" s="29" t="s">
        <v>727</v>
      </c>
      <c r="N962" s="32" t="s">
        <v>572</v>
      </c>
      <c r="O962" s="31"/>
      <c r="P962" s="31"/>
      <c r="Q962" s="28" t="s">
        <v>76</v>
      </c>
      <c r="R962" s="29"/>
      <c r="S962" s="31"/>
      <c r="T962" s="31"/>
      <c r="U962" s="28" t="s">
        <v>75</v>
      </c>
      <c r="V962" s="28" t="s">
        <v>75</v>
      </c>
      <c r="W962" s="31"/>
    </row>
    <row r="963" spans="1:23" s="12" customFormat="1" hidden="1">
      <c r="A963" s="46" t="s">
        <v>572</v>
      </c>
      <c r="B963" s="28" t="s">
        <v>1332</v>
      </c>
      <c r="C963" s="28" t="s">
        <v>740</v>
      </c>
      <c r="D963" s="31" t="s">
        <v>1151</v>
      </c>
      <c r="E963" s="31" t="s">
        <v>92</v>
      </c>
      <c r="F963" s="31" t="s">
        <v>15</v>
      </c>
      <c r="G963" s="31" t="s">
        <v>15</v>
      </c>
      <c r="H963" s="31" t="s">
        <v>1602</v>
      </c>
      <c r="I963" s="28" t="str">
        <f>VLOOKUP(F963,표준용어사전!$B:$D,3,FALSE)</f>
        <v>연월일시분초TS</v>
      </c>
      <c r="J963" s="33" t="s">
        <v>16</v>
      </c>
      <c r="K963" s="28" t="s">
        <v>927</v>
      </c>
      <c r="L963" s="29" t="s">
        <v>571</v>
      </c>
      <c r="M963" s="29" t="s">
        <v>726</v>
      </c>
      <c r="N963" s="32" t="s">
        <v>572</v>
      </c>
      <c r="O963" s="31"/>
      <c r="P963" s="31"/>
      <c r="Q963" s="28" t="s">
        <v>76</v>
      </c>
      <c r="R963" s="29"/>
      <c r="S963" s="31"/>
      <c r="T963" s="28" t="s">
        <v>574</v>
      </c>
      <c r="U963" s="28" t="s">
        <v>75</v>
      </c>
      <c r="V963" s="28" t="s">
        <v>75</v>
      </c>
      <c r="W963" s="31"/>
    </row>
    <row r="964" spans="1:23" s="12" customFormat="1" hidden="1">
      <c r="A964" s="46" t="s">
        <v>572</v>
      </c>
      <c r="B964" s="28" t="s">
        <v>1332</v>
      </c>
      <c r="C964" s="28" t="s">
        <v>740</v>
      </c>
      <c r="D964" s="31" t="s">
        <v>1151</v>
      </c>
      <c r="E964" s="31" t="s">
        <v>93</v>
      </c>
      <c r="F964" s="31" t="s">
        <v>370</v>
      </c>
      <c r="G964" s="31" t="s">
        <v>370</v>
      </c>
      <c r="H964" s="31" t="s">
        <v>1602</v>
      </c>
      <c r="I964" s="28" t="str">
        <f>VLOOKUP(F964,표준용어사전!$B:$D,3,FALSE)</f>
        <v>명V20</v>
      </c>
      <c r="J964" s="33" t="s">
        <v>78</v>
      </c>
      <c r="K964" s="34">
        <v>20</v>
      </c>
      <c r="L964" s="29" t="s">
        <v>571</v>
      </c>
      <c r="M964" s="29" t="s">
        <v>727</v>
      </c>
      <c r="N964" s="32" t="s">
        <v>572</v>
      </c>
      <c r="O964" s="31"/>
      <c r="P964" s="31"/>
      <c r="Q964" s="28" t="s">
        <v>76</v>
      </c>
      <c r="R964" s="29"/>
      <c r="S964" s="31"/>
      <c r="T964" s="31"/>
      <c r="U964" s="28" t="s">
        <v>75</v>
      </c>
      <c r="V964" s="28" t="s">
        <v>75</v>
      </c>
      <c r="W964" s="31"/>
    </row>
    <row r="965" spans="1:23" s="12" customFormat="1" hidden="1">
      <c r="A965" s="46" t="s">
        <v>572</v>
      </c>
      <c r="B965" s="28" t="s">
        <v>1332</v>
      </c>
      <c r="C965" s="28" t="s">
        <v>740</v>
      </c>
      <c r="D965" s="31" t="s">
        <v>1152</v>
      </c>
      <c r="E965" s="31" t="s">
        <v>1187</v>
      </c>
      <c r="F965" s="31" t="s">
        <v>969</v>
      </c>
      <c r="G965" s="31" t="s">
        <v>969</v>
      </c>
      <c r="H965" s="31" t="s">
        <v>970</v>
      </c>
      <c r="I965" s="28" t="str">
        <f>VLOOKUP(F965,표준용어사전!$B:$D,3,FALSE)</f>
        <v>코드V50</v>
      </c>
      <c r="J965" s="33" t="s">
        <v>570</v>
      </c>
      <c r="K965" s="34">
        <v>50</v>
      </c>
      <c r="L965" s="29" t="s">
        <v>571</v>
      </c>
      <c r="M965" s="29" t="s">
        <v>725</v>
      </c>
      <c r="N965" s="32" t="s">
        <v>711</v>
      </c>
      <c r="O965" s="28" t="s">
        <v>641</v>
      </c>
      <c r="P965" s="31"/>
      <c r="Q965" s="28" t="s">
        <v>76</v>
      </c>
      <c r="R965" s="29"/>
      <c r="S965" s="31"/>
      <c r="T965" s="31"/>
      <c r="U965" s="28" t="s">
        <v>75</v>
      </c>
      <c r="V965" s="28" t="s">
        <v>75</v>
      </c>
      <c r="W965" s="31"/>
    </row>
    <row r="966" spans="1:23" s="12" customFormat="1" hidden="1">
      <c r="A966" s="46" t="s">
        <v>572</v>
      </c>
      <c r="B966" s="28" t="s">
        <v>1332</v>
      </c>
      <c r="C966" s="28" t="s">
        <v>740</v>
      </c>
      <c r="D966" s="31" t="s">
        <v>1152</v>
      </c>
      <c r="E966" s="31" t="s">
        <v>1188</v>
      </c>
      <c r="F966" s="31" t="s">
        <v>971</v>
      </c>
      <c r="G966" s="31" t="s">
        <v>971</v>
      </c>
      <c r="H966" s="31" t="s">
        <v>970</v>
      </c>
      <c r="I966" s="28" t="str">
        <f>VLOOKUP(F966,표준용어사전!$B:$D,3,FALSE)</f>
        <v>코드V50</v>
      </c>
      <c r="J966" s="33" t="s">
        <v>570</v>
      </c>
      <c r="K966" s="34">
        <v>50</v>
      </c>
      <c r="L966" s="29" t="s">
        <v>571</v>
      </c>
      <c r="M966" s="29" t="s">
        <v>725</v>
      </c>
      <c r="N966" s="32" t="s">
        <v>572</v>
      </c>
      <c r="O966" s="31"/>
      <c r="P966" s="31"/>
      <c r="Q966" s="28" t="s">
        <v>76</v>
      </c>
      <c r="R966" s="29"/>
      <c r="S966" s="31"/>
      <c r="T966" s="31"/>
      <c r="U966" s="28" t="s">
        <v>75</v>
      </c>
      <c r="V966" s="28" t="s">
        <v>75</v>
      </c>
      <c r="W966" s="31"/>
    </row>
    <row r="967" spans="1:23" s="12" customFormat="1" hidden="1">
      <c r="A967" s="46" t="s">
        <v>572</v>
      </c>
      <c r="B967" s="28" t="s">
        <v>1332</v>
      </c>
      <c r="C967" s="28" t="s">
        <v>740</v>
      </c>
      <c r="D967" s="31" t="s">
        <v>1152</v>
      </c>
      <c r="E967" s="31" t="s">
        <v>822</v>
      </c>
      <c r="F967" s="31" t="s">
        <v>1426</v>
      </c>
      <c r="G967" s="31" t="s">
        <v>371</v>
      </c>
      <c r="H967" s="31" t="s">
        <v>970</v>
      </c>
      <c r="I967" s="28" t="e">
        <f>VLOOKUP(F967,표준용어사전!$B:$D,3,FALSE)</f>
        <v>#N/A</v>
      </c>
      <c r="J967" s="33" t="s">
        <v>78</v>
      </c>
      <c r="K967" s="34">
        <v>2000</v>
      </c>
      <c r="L967" s="29" t="s">
        <v>571</v>
      </c>
      <c r="M967" s="29" t="s">
        <v>728</v>
      </c>
      <c r="N967" s="32" t="s">
        <v>572</v>
      </c>
      <c r="O967" s="31"/>
      <c r="P967" s="31"/>
      <c r="Q967" s="28" t="s">
        <v>76</v>
      </c>
      <c r="R967" s="29"/>
      <c r="S967" s="31"/>
      <c r="T967" s="31"/>
      <c r="U967" s="28" t="s">
        <v>75</v>
      </c>
      <c r="V967" s="28" t="s">
        <v>75</v>
      </c>
      <c r="W967" s="31"/>
    </row>
    <row r="968" spans="1:23" s="12" customFormat="1" hidden="1">
      <c r="A968" s="46" t="s">
        <v>572</v>
      </c>
      <c r="B968" s="28" t="s">
        <v>1332</v>
      </c>
      <c r="C968" s="28" t="s">
        <v>740</v>
      </c>
      <c r="D968" s="31" t="s">
        <v>1152</v>
      </c>
      <c r="E968" s="31" t="s">
        <v>823</v>
      </c>
      <c r="F968" s="31" t="s">
        <v>1427</v>
      </c>
      <c r="G968" s="31" t="s">
        <v>372</v>
      </c>
      <c r="H968" s="31" t="s">
        <v>970</v>
      </c>
      <c r="I968" s="28" t="e">
        <f>VLOOKUP(F968,표준용어사전!$B:$D,3,FALSE)</f>
        <v>#N/A</v>
      </c>
      <c r="J968" s="33" t="s">
        <v>78</v>
      </c>
      <c r="K968" s="34">
        <v>2000</v>
      </c>
      <c r="L968" s="29" t="s">
        <v>571</v>
      </c>
      <c r="M968" s="29" t="s">
        <v>728</v>
      </c>
      <c r="N968" s="32" t="s">
        <v>572</v>
      </c>
      <c r="O968" s="31"/>
      <c r="P968" s="31"/>
      <c r="Q968" s="28" t="s">
        <v>76</v>
      </c>
      <c r="R968" s="29"/>
      <c r="S968" s="31"/>
      <c r="T968" s="31"/>
      <c r="U968" s="28" t="s">
        <v>75</v>
      </c>
      <c r="V968" s="28" t="s">
        <v>75</v>
      </c>
      <c r="W968" s="31"/>
    </row>
    <row r="969" spans="1:23" s="12" customFormat="1" hidden="1">
      <c r="A969" s="46" t="s">
        <v>572</v>
      </c>
      <c r="B969" s="28" t="s">
        <v>1332</v>
      </c>
      <c r="C969" s="28" t="s">
        <v>740</v>
      </c>
      <c r="D969" s="31" t="s">
        <v>1152</v>
      </c>
      <c r="E969" s="31" t="s">
        <v>90</v>
      </c>
      <c r="F969" s="31" t="s">
        <v>14</v>
      </c>
      <c r="G969" s="31" t="s">
        <v>14</v>
      </c>
      <c r="H969" s="31" t="s">
        <v>970</v>
      </c>
      <c r="I969" s="28" t="str">
        <f>VLOOKUP(F969,표준용어사전!$B:$D,3,FALSE)</f>
        <v>연월일시분초TS</v>
      </c>
      <c r="J969" s="33" t="s">
        <v>16</v>
      </c>
      <c r="K969" s="34" t="s">
        <v>927</v>
      </c>
      <c r="L969" s="29" t="s">
        <v>571</v>
      </c>
      <c r="M969" s="29" t="s">
        <v>726</v>
      </c>
      <c r="N969" s="29" t="s">
        <v>711</v>
      </c>
      <c r="O969" s="31"/>
      <c r="P969" s="31"/>
      <c r="Q969" s="28" t="s">
        <v>76</v>
      </c>
      <c r="R969" s="29"/>
      <c r="S969" s="31"/>
      <c r="T969" s="28" t="s">
        <v>574</v>
      </c>
      <c r="U969" s="28" t="s">
        <v>75</v>
      </c>
      <c r="V969" s="28" t="s">
        <v>75</v>
      </c>
      <c r="W969" s="31"/>
    </row>
    <row r="970" spans="1:23" s="12" customFormat="1" hidden="1">
      <c r="A970" s="46" t="s">
        <v>572</v>
      </c>
      <c r="B970" s="28" t="s">
        <v>1332</v>
      </c>
      <c r="C970" s="28" t="s">
        <v>740</v>
      </c>
      <c r="D970" s="31" t="s">
        <v>1152</v>
      </c>
      <c r="E970" s="31" t="s">
        <v>91</v>
      </c>
      <c r="F970" s="28" t="s">
        <v>369</v>
      </c>
      <c r="G970" s="28" t="s">
        <v>369</v>
      </c>
      <c r="H970" s="28" t="s">
        <v>970</v>
      </c>
      <c r="I970" s="28" t="str">
        <f>VLOOKUP(F970,표준용어사전!$B:$D,3,FALSE)</f>
        <v>명V20</v>
      </c>
      <c r="J970" s="33" t="s">
        <v>78</v>
      </c>
      <c r="K970" s="34">
        <v>20</v>
      </c>
      <c r="L970" s="29" t="s">
        <v>571</v>
      </c>
      <c r="M970" s="29" t="s">
        <v>727</v>
      </c>
      <c r="N970" s="32" t="s">
        <v>572</v>
      </c>
      <c r="O970" s="31"/>
      <c r="P970" s="31"/>
      <c r="Q970" s="28" t="s">
        <v>76</v>
      </c>
      <c r="R970" s="29"/>
      <c r="S970" s="31"/>
      <c r="T970" s="31"/>
      <c r="U970" s="28" t="s">
        <v>75</v>
      </c>
      <c r="V970" s="28" t="s">
        <v>75</v>
      </c>
      <c r="W970" s="31"/>
    </row>
    <row r="971" spans="1:23" s="12" customFormat="1" hidden="1">
      <c r="A971" s="46" t="s">
        <v>572</v>
      </c>
      <c r="B971" s="28" t="s">
        <v>1332</v>
      </c>
      <c r="C971" s="28" t="s">
        <v>740</v>
      </c>
      <c r="D971" s="31" t="s">
        <v>1152</v>
      </c>
      <c r="E971" s="31" t="s">
        <v>92</v>
      </c>
      <c r="F971" s="28" t="s">
        <v>15</v>
      </c>
      <c r="G971" s="28" t="s">
        <v>15</v>
      </c>
      <c r="H971" s="28" t="s">
        <v>970</v>
      </c>
      <c r="I971" s="28" t="str">
        <f>VLOOKUP(F971,표준용어사전!$B:$D,3,FALSE)</f>
        <v>연월일시분초TS</v>
      </c>
      <c r="J971" s="33" t="s">
        <v>16</v>
      </c>
      <c r="K971" s="34" t="s">
        <v>927</v>
      </c>
      <c r="L971" s="29" t="s">
        <v>571</v>
      </c>
      <c r="M971" s="29" t="s">
        <v>726</v>
      </c>
      <c r="N971" s="32" t="s">
        <v>572</v>
      </c>
      <c r="O971" s="31"/>
      <c r="P971" s="31"/>
      <c r="Q971" s="28" t="s">
        <v>76</v>
      </c>
      <c r="R971" s="29"/>
      <c r="S971" s="31"/>
      <c r="T971" s="28" t="s">
        <v>574</v>
      </c>
      <c r="U971" s="28" t="s">
        <v>75</v>
      </c>
      <c r="V971" s="28" t="s">
        <v>75</v>
      </c>
      <c r="W971" s="31"/>
    </row>
    <row r="972" spans="1:23" s="12" customFormat="1" hidden="1">
      <c r="A972" s="46" t="s">
        <v>572</v>
      </c>
      <c r="B972" s="28" t="s">
        <v>1332</v>
      </c>
      <c r="C972" s="28" t="s">
        <v>740</v>
      </c>
      <c r="D972" s="31" t="s">
        <v>1152</v>
      </c>
      <c r="E972" s="31" t="s">
        <v>93</v>
      </c>
      <c r="F972" s="28" t="s">
        <v>370</v>
      </c>
      <c r="G972" s="28" t="s">
        <v>370</v>
      </c>
      <c r="H972" s="28" t="s">
        <v>970</v>
      </c>
      <c r="I972" s="28" t="str">
        <f>VLOOKUP(F972,표준용어사전!$B:$D,3,FALSE)</f>
        <v>명V20</v>
      </c>
      <c r="J972" s="33" t="s">
        <v>78</v>
      </c>
      <c r="K972" s="34">
        <v>20</v>
      </c>
      <c r="L972" s="29" t="s">
        <v>571</v>
      </c>
      <c r="M972" s="29" t="s">
        <v>727</v>
      </c>
      <c r="N972" s="32" t="s">
        <v>572</v>
      </c>
      <c r="O972" s="31"/>
      <c r="P972" s="31"/>
      <c r="Q972" s="28" t="s">
        <v>76</v>
      </c>
      <c r="R972" s="29"/>
      <c r="S972" s="31"/>
      <c r="T972" s="31"/>
      <c r="U972" s="28" t="s">
        <v>75</v>
      </c>
      <c r="V972" s="28" t="s">
        <v>75</v>
      </c>
      <c r="W972" s="31"/>
    </row>
    <row r="973" spans="1:23" s="12" customFormat="1" hidden="1">
      <c r="A973" s="46" t="s">
        <v>572</v>
      </c>
      <c r="B973" s="28" t="s">
        <v>1332</v>
      </c>
      <c r="C973" s="28" t="s">
        <v>740</v>
      </c>
      <c r="D973" s="31" t="s">
        <v>1153</v>
      </c>
      <c r="E973" s="31" t="s">
        <v>163</v>
      </c>
      <c r="F973" s="28" t="s">
        <v>422</v>
      </c>
      <c r="G973" s="28" t="s">
        <v>422</v>
      </c>
      <c r="H973" s="28" t="s">
        <v>972</v>
      </c>
      <c r="I973" s="28" t="e">
        <f>VLOOKUP(F973,표준용어사전!$B:$D,3,FALSE)</f>
        <v>#N/A</v>
      </c>
      <c r="J973" s="33" t="s">
        <v>63</v>
      </c>
      <c r="K973" s="34">
        <v>10</v>
      </c>
      <c r="L973" s="29" t="s">
        <v>571</v>
      </c>
      <c r="M973" s="29">
        <v>9999999999</v>
      </c>
      <c r="N973" s="32" t="s">
        <v>973</v>
      </c>
      <c r="O973" s="28" t="s">
        <v>641</v>
      </c>
      <c r="P973" s="31"/>
      <c r="Q973" s="28" t="s">
        <v>76</v>
      </c>
      <c r="R973" s="29"/>
      <c r="S973" s="31"/>
      <c r="T973" s="31"/>
      <c r="U973" s="28" t="s">
        <v>75</v>
      </c>
      <c r="V973" s="28" t="s">
        <v>75</v>
      </c>
      <c r="W973" s="31"/>
    </row>
    <row r="974" spans="1:23" s="12" customFormat="1" hidden="1">
      <c r="A974" s="46" t="s">
        <v>572</v>
      </c>
      <c r="B974" s="28" t="s">
        <v>1332</v>
      </c>
      <c r="C974" s="28" t="s">
        <v>740</v>
      </c>
      <c r="D974" s="31" t="s">
        <v>1153</v>
      </c>
      <c r="E974" s="31" t="s">
        <v>1187</v>
      </c>
      <c r="F974" s="28" t="s">
        <v>969</v>
      </c>
      <c r="G974" s="28" t="s">
        <v>969</v>
      </c>
      <c r="H974" s="28" t="s">
        <v>972</v>
      </c>
      <c r="I974" s="28" t="str">
        <f>VLOOKUP(F974,표준용어사전!$B:$D,3,FALSE)</f>
        <v>코드V50</v>
      </c>
      <c r="J974" s="33" t="s">
        <v>570</v>
      </c>
      <c r="K974" s="34">
        <v>50</v>
      </c>
      <c r="L974" s="29" t="s">
        <v>571</v>
      </c>
      <c r="M974" s="29" t="s">
        <v>725</v>
      </c>
      <c r="N974" s="32" t="s">
        <v>973</v>
      </c>
      <c r="O974" s="28" t="s">
        <v>573</v>
      </c>
      <c r="P974" s="31"/>
      <c r="Q974" s="28" t="s">
        <v>76</v>
      </c>
      <c r="R974" s="29"/>
      <c r="S974" s="31"/>
      <c r="T974" s="31"/>
      <c r="U974" s="28" t="s">
        <v>75</v>
      </c>
      <c r="V974" s="28" t="s">
        <v>75</v>
      </c>
      <c r="W974" s="31"/>
    </row>
    <row r="975" spans="1:23" s="12" customFormat="1" hidden="1">
      <c r="A975" s="46" t="s">
        <v>572</v>
      </c>
      <c r="B975" s="28" t="s">
        <v>1332</v>
      </c>
      <c r="C975" s="28" t="s">
        <v>740</v>
      </c>
      <c r="D975" s="31" t="s">
        <v>1153</v>
      </c>
      <c r="E975" s="31" t="s">
        <v>90</v>
      </c>
      <c r="F975" s="28" t="s">
        <v>14</v>
      </c>
      <c r="G975" s="28" t="s">
        <v>14</v>
      </c>
      <c r="H975" s="28" t="s">
        <v>972</v>
      </c>
      <c r="I975" s="28" t="str">
        <f>VLOOKUP(F975,표준용어사전!$B:$D,3,FALSE)</f>
        <v>연월일시분초TS</v>
      </c>
      <c r="J975" s="33" t="s">
        <v>16</v>
      </c>
      <c r="K975" s="34" t="s">
        <v>927</v>
      </c>
      <c r="L975" s="29" t="s">
        <v>571</v>
      </c>
      <c r="M975" s="29" t="s">
        <v>726</v>
      </c>
      <c r="N975" s="29" t="s">
        <v>711</v>
      </c>
      <c r="O975" s="31"/>
      <c r="P975" s="31"/>
      <c r="Q975" s="28" t="s">
        <v>76</v>
      </c>
      <c r="R975" s="29"/>
      <c r="S975" s="31"/>
      <c r="T975" s="28" t="s">
        <v>574</v>
      </c>
      <c r="U975" s="28" t="s">
        <v>75</v>
      </c>
      <c r="V975" s="28" t="s">
        <v>75</v>
      </c>
      <c r="W975" s="31"/>
    </row>
    <row r="976" spans="1:23" s="12" customFormat="1" hidden="1">
      <c r="A976" s="46" t="s">
        <v>572</v>
      </c>
      <c r="B976" s="28" t="s">
        <v>1332</v>
      </c>
      <c r="C976" s="28" t="s">
        <v>740</v>
      </c>
      <c r="D976" s="31" t="s">
        <v>1153</v>
      </c>
      <c r="E976" s="31" t="s">
        <v>91</v>
      </c>
      <c r="F976" s="28" t="s">
        <v>369</v>
      </c>
      <c r="G976" s="28" t="s">
        <v>369</v>
      </c>
      <c r="H976" s="28" t="s">
        <v>972</v>
      </c>
      <c r="I976" s="28" t="str">
        <f>VLOOKUP(F976,표준용어사전!$B:$D,3,FALSE)</f>
        <v>명V20</v>
      </c>
      <c r="J976" s="33" t="s">
        <v>78</v>
      </c>
      <c r="K976" s="34">
        <v>20</v>
      </c>
      <c r="L976" s="29" t="s">
        <v>571</v>
      </c>
      <c r="M976" s="29" t="s">
        <v>727</v>
      </c>
      <c r="N976" s="32" t="s">
        <v>75</v>
      </c>
      <c r="O976" s="31"/>
      <c r="P976" s="31"/>
      <c r="Q976" s="28" t="s">
        <v>76</v>
      </c>
      <c r="R976" s="29"/>
      <c r="S976" s="31"/>
      <c r="T976" s="31"/>
      <c r="U976" s="28" t="s">
        <v>75</v>
      </c>
      <c r="V976" s="28" t="s">
        <v>75</v>
      </c>
      <c r="W976" s="31"/>
    </row>
    <row r="977" spans="1:23" s="12" customFormat="1" hidden="1">
      <c r="A977" s="46" t="s">
        <v>572</v>
      </c>
      <c r="B977" s="28" t="s">
        <v>1332</v>
      </c>
      <c r="C977" s="28" t="s">
        <v>740</v>
      </c>
      <c r="D977" s="31" t="s">
        <v>1153</v>
      </c>
      <c r="E977" s="31" t="s">
        <v>92</v>
      </c>
      <c r="F977" s="28" t="s">
        <v>15</v>
      </c>
      <c r="G977" s="28" t="s">
        <v>15</v>
      </c>
      <c r="H977" s="28" t="s">
        <v>972</v>
      </c>
      <c r="I977" s="28" t="str">
        <f>VLOOKUP(F977,표준용어사전!$B:$D,3,FALSE)</f>
        <v>연월일시분초TS</v>
      </c>
      <c r="J977" s="33" t="s">
        <v>16</v>
      </c>
      <c r="K977" s="34" t="s">
        <v>927</v>
      </c>
      <c r="L977" s="29" t="s">
        <v>571</v>
      </c>
      <c r="M977" s="29" t="s">
        <v>726</v>
      </c>
      <c r="N977" s="32" t="s">
        <v>75</v>
      </c>
      <c r="O977" s="31"/>
      <c r="P977" s="31"/>
      <c r="Q977" s="28" t="s">
        <v>76</v>
      </c>
      <c r="R977" s="29"/>
      <c r="S977" s="31"/>
      <c r="T977" s="28" t="s">
        <v>574</v>
      </c>
      <c r="U977" s="28" t="s">
        <v>75</v>
      </c>
      <c r="V977" s="28" t="s">
        <v>75</v>
      </c>
      <c r="W977" s="31"/>
    </row>
    <row r="978" spans="1:23" s="12" customFormat="1" hidden="1">
      <c r="A978" s="46" t="s">
        <v>572</v>
      </c>
      <c r="B978" s="28" t="s">
        <v>1332</v>
      </c>
      <c r="C978" s="28" t="s">
        <v>740</v>
      </c>
      <c r="D978" s="31" t="s">
        <v>1153</v>
      </c>
      <c r="E978" s="31" t="s">
        <v>93</v>
      </c>
      <c r="F978" s="28" t="s">
        <v>370</v>
      </c>
      <c r="G978" s="28" t="s">
        <v>370</v>
      </c>
      <c r="H978" s="28" t="s">
        <v>972</v>
      </c>
      <c r="I978" s="28" t="str">
        <f>VLOOKUP(F978,표준용어사전!$B:$D,3,FALSE)</f>
        <v>명V20</v>
      </c>
      <c r="J978" s="33" t="s">
        <v>78</v>
      </c>
      <c r="K978" s="34">
        <v>20</v>
      </c>
      <c r="L978" s="29" t="s">
        <v>571</v>
      </c>
      <c r="M978" s="29" t="s">
        <v>727</v>
      </c>
      <c r="N978" s="32" t="s">
        <v>75</v>
      </c>
      <c r="O978" s="31"/>
      <c r="P978" s="31"/>
      <c r="Q978" s="28" t="s">
        <v>76</v>
      </c>
      <c r="R978" s="29"/>
      <c r="S978" s="31"/>
      <c r="T978" s="31"/>
      <c r="U978" s="28" t="s">
        <v>75</v>
      </c>
      <c r="V978" s="28" t="s">
        <v>75</v>
      </c>
      <c r="W978" s="31"/>
    </row>
    <row r="979" spans="1:23" s="12" customFormat="1" hidden="1">
      <c r="A979" s="46" t="s">
        <v>572</v>
      </c>
      <c r="B979" s="28" t="s">
        <v>1332</v>
      </c>
      <c r="C979" s="28" t="s">
        <v>740</v>
      </c>
      <c r="D979" s="31" t="s">
        <v>1154</v>
      </c>
      <c r="E979" s="31" t="s">
        <v>1189</v>
      </c>
      <c r="F979" s="28" t="s">
        <v>974</v>
      </c>
      <c r="G979" s="28" t="s">
        <v>974</v>
      </c>
      <c r="H979" s="28" t="s">
        <v>975</v>
      </c>
      <c r="I979" s="28" t="str">
        <f>VLOOKUP(F979,표준용어사전!$B:$D,3,FALSE)</f>
        <v>코드V50</v>
      </c>
      <c r="J979" s="33" t="s">
        <v>570</v>
      </c>
      <c r="K979" s="34">
        <v>50</v>
      </c>
      <c r="L979" s="29" t="s">
        <v>571</v>
      </c>
      <c r="M979" s="29" t="s">
        <v>725</v>
      </c>
      <c r="N979" s="32" t="s">
        <v>973</v>
      </c>
      <c r="O979" s="28" t="s">
        <v>641</v>
      </c>
      <c r="P979" s="31"/>
      <c r="Q979" s="28" t="s">
        <v>76</v>
      </c>
      <c r="R979" s="29"/>
      <c r="S979" s="31"/>
      <c r="T979" s="31"/>
      <c r="U979" s="28" t="s">
        <v>75</v>
      </c>
      <c r="V979" s="28" t="s">
        <v>75</v>
      </c>
      <c r="W979" s="31"/>
    </row>
    <row r="980" spans="1:23" s="12" customFormat="1" hidden="1">
      <c r="A980" s="46" t="s">
        <v>572</v>
      </c>
      <c r="B980" s="28" t="s">
        <v>1332</v>
      </c>
      <c r="C980" s="28" t="s">
        <v>740</v>
      </c>
      <c r="D980" s="31" t="s">
        <v>1154</v>
      </c>
      <c r="E980" s="31" t="s">
        <v>1190</v>
      </c>
      <c r="F980" s="28" t="s">
        <v>976</v>
      </c>
      <c r="G980" s="28" t="s">
        <v>976</v>
      </c>
      <c r="H980" s="28" t="s">
        <v>975</v>
      </c>
      <c r="I980" s="28" t="str">
        <f>VLOOKUP(F980,표준용어사전!$B:$D,3,FALSE)</f>
        <v>코드V50</v>
      </c>
      <c r="J980" s="33" t="s">
        <v>570</v>
      </c>
      <c r="K980" s="34">
        <v>50</v>
      </c>
      <c r="L980" s="29" t="s">
        <v>571</v>
      </c>
      <c r="M980" s="29" t="s">
        <v>725</v>
      </c>
      <c r="N980" s="32" t="s">
        <v>75</v>
      </c>
      <c r="O980" s="31"/>
      <c r="P980" s="31"/>
      <c r="Q980" s="28" t="s">
        <v>76</v>
      </c>
      <c r="R980" s="29"/>
      <c r="S980" s="31"/>
      <c r="T980" s="31"/>
      <c r="U980" s="28" t="s">
        <v>75</v>
      </c>
      <c r="V980" s="28" t="s">
        <v>75</v>
      </c>
      <c r="W980" s="31"/>
    </row>
    <row r="981" spans="1:23" s="12" customFormat="1" hidden="1">
      <c r="A981" s="46" t="s">
        <v>572</v>
      </c>
      <c r="B981" s="28" t="s">
        <v>1332</v>
      </c>
      <c r="C981" s="28" t="s">
        <v>740</v>
      </c>
      <c r="D981" s="31" t="s">
        <v>1154</v>
      </c>
      <c r="E981" s="31" t="s">
        <v>822</v>
      </c>
      <c r="F981" s="28" t="s">
        <v>1426</v>
      </c>
      <c r="G981" s="28" t="s">
        <v>371</v>
      </c>
      <c r="H981" s="28" t="s">
        <v>975</v>
      </c>
      <c r="I981" s="28" t="e">
        <f>VLOOKUP(F981,표준용어사전!$B:$D,3,FALSE)</f>
        <v>#N/A</v>
      </c>
      <c r="J981" s="33" t="s">
        <v>78</v>
      </c>
      <c r="K981" s="34">
        <v>2000</v>
      </c>
      <c r="L981" s="29" t="s">
        <v>571</v>
      </c>
      <c r="M981" s="29" t="s">
        <v>728</v>
      </c>
      <c r="N981" s="32" t="s">
        <v>75</v>
      </c>
      <c r="O981" s="31"/>
      <c r="P981" s="31"/>
      <c r="Q981" s="28" t="s">
        <v>76</v>
      </c>
      <c r="R981" s="29"/>
      <c r="S981" s="31"/>
      <c r="T981" s="31"/>
      <c r="U981" s="28" t="s">
        <v>75</v>
      </c>
      <c r="V981" s="28" t="s">
        <v>75</v>
      </c>
      <c r="W981" s="31"/>
    </row>
    <row r="982" spans="1:23" s="12" customFormat="1" hidden="1">
      <c r="A982" s="46" t="s">
        <v>572</v>
      </c>
      <c r="B982" s="28" t="s">
        <v>1332</v>
      </c>
      <c r="C982" s="28" t="s">
        <v>740</v>
      </c>
      <c r="D982" s="31" t="s">
        <v>1154</v>
      </c>
      <c r="E982" s="31" t="s">
        <v>823</v>
      </c>
      <c r="F982" s="28" t="s">
        <v>1427</v>
      </c>
      <c r="G982" s="28" t="s">
        <v>372</v>
      </c>
      <c r="H982" s="28" t="s">
        <v>975</v>
      </c>
      <c r="I982" s="28" t="e">
        <f>VLOOKUP(F982,표준용어사전!$B:$D,3,FALSE)</f>
        <v>#N/A</v>
      </c>
      <c r="J982" s="33" t="s">
        <v>78</v>
      </c>
      <c r="K982" s="34">
        <v>2000</v>
      </c>
      <c r="L982" s="29" t="s">
        <v>571</v>
      </c>
      <c r="M982" s="29" t="s">
        <v>728</v>
      </c>
      <c r="N982" s="32" t="s">
        <v>75</v>
      </c>
      <c r="O982" s="31"/>
      <c r="P982" s="31"/>
      <c r="Q982" s="28" t="s">
        <v>76</v>
      </c>
      <c r="R982" s="29"/>
      <c r="S982" s="31"/>
      <c r="T982" s="31"/>
      <c r="U982" s="28" t="s">
        <v>75</v>
      </c>
      <c r="V982" s="28" t="s">
        <v>75</v>
      </c>
      <c r="W982" s="31"/>
    </row>
    <row r="983" spans="1:23" s="12" customFormat="1" hidden="1">
      <c r="A983" s="46" t="s">
        <v>572</v>
      </c>
      <c r="B983" s="28" t="s">
        <v>1332</v>
      </c>
      <c r="C983" s="28" t="s">
        <v>740</v>
      </c>
      <c r="D983" s="31" t="s">
        <v>1154</v>
      </c>
      <c r="E983" s="31" t="s">
        <v>90</v>
      </c>
      <c r="F983" s="28" t="s">
        <v>14</v>
      </c>
      <c r="G983" s="28" t="s">
        <v>14</v>
      </c>
      <c r="H983" s="28" t="s">
        <v>975</v>
      </c>
      <c r="I983" s="28" t="str">
        <f>VLOOKUP(F983,표준용어사전!$B:$D,3,FALSE)</f>
        <v>연월일시분초TS</v>
      </c>
      <c r="J983" s="33" t="s">
        <v>16</v>
      </c>
      <c r="K983" s="34" t="s">
        <v>927</v>
      </c>
      <c r="L983" s="29" t="s">
        <v>571</v>
      </c>
      <c r="M983" s="29" t="s">
        <v>726</v>
      </c>
      <c r="N983" s="29" t="s">
        <v>711</v>
      </c>
      <c r="O983" s="31"/>
      <c r="P983" s="31"/>
      <c r="Q983" s="28" t="s">
        <v>76</v>
      </c>
      <c r="R983" s="29"/>
      <c r="S983" s="31"/>
      <c r="T983" s="28" t="s">
        <v>574</v>
      </c>
      <c r="U983" s="28" t="s">
        <v>75</v>
      </c>
      <c r="V983" s="28" t="s">
        <v>75</v>
      </c>
      <c r="W983" s="31"/>
    </row>
    <row r="984" spans="1:23" s="12" customFormat="1" hidden="1">
      <c r="A984" s="46" t="s">
        <v>572</v>
      </c>
      <c r="B984" s="28" t="s">
        <v>1332</v>
      </c>
      <c r="C984" s="28" t="s">
        <v>740</v>
      </c>
      <c r="D984" s="31" t="s">
        <v>1154</v>
      </c>
      <c r="E984" s="31" t="s">
        <v>91</v>
      </c>
      <c r="F984" s="28" t="s">
        <v>369</v>
      </c>
      <c r="G984" s="28" t="s">
        <v>369</v>
      </c>
      <c r="H984" s="28" t="s">
        <v>975</v>
      </c>
      <c r="I984" s="28" t="str">
        <f>VLOOKUP(F984,표준용어사전!$B:$D,3,FALSE)</f>
        <v>명V20</v>
      </c>
      <c r="J984" s="33" t="s">
        <v>78</v>
      </c>
      <c r="K984" s="34">
        <v>20</v>
      </c>
      <c r="L984" s="29" t="s">
        <v>571</v>
      </c>
      <c r="M984" s="29" t="s">
        <v>727</v>
      </c>
      <c r="N984" s="32" t="s">
        <v>75</v>
      </c>
      <c r="O984" s="31"/>
      <c r="P984" s="31"/>
      <c r="Q984" s="28" t="s">
        <v>76</v>
      </c>
      <c r="R984" s="29"/>
      <c r="S984" s="31"/>
      <c r="T984" s="31"/>
      <c r="U984" s="28" t="s">
        <v>75</v>
      </c>
      <c r="V984" s="28" t="s">
        <v>75</v>
      </c>
      <c r="W984" s="31"/>
    </row>
    <row r="985" spans="1:23" s="12" customFormat="1" hidden="1">
      <c r="A985" s="46" t="s">
        <v>572</v>
      </c>
      <c r="B985" s="28" t="s">
        <v>1332</v>
      </c>
      <c r="C985" s="28" t="s">
        <v>740</v>
      </c>
      <c r="D985" s="31" t="s">
        <v>1154</v>
      </c>
      <c r="E985" s="31" t="s">
        <v>92</v>
      </c>
      <c r="F985" s="28" t="s">
        <v>15</v>
      </c>
      <c r="G985" s="28" t="s">
        <v>15</v>
      </c>
      <c r="H985" s="28" t="s">
        <v>975</v>
      </c>
      <c r="I985" s="28" t="str">
        <f>VLOOKUP(F985,표준용어사전!$B:$D,3,FALSE)</f>
        <v>연월일시분초TS</v>
      </c>
      <c r="J985" s="33" t="s">
        <v>16</v>
      </c>
      <c r="K985" s="34" t="s">
        <v>927</v>
      </c>
      <c r="L985" s="29" t="s">
        <v>571</v>
      </c>
      <c r="M985" s="29" t="s">
        <v>726</v>
      </c>
      <c r="N985" s="32" t="s">
        <v>75</v>
      </c>
      <c r="O985" s="31"/>
      <c r="P985" s="31"/>
      <c r="Q985" s="28" t="s">
        <v>76</v>
      </c>
      <c r="R985" s="29"/>
      <c r="S985" s="31"/>
      <c r="T985" s="28" t="s">
        <v>574</v>
      </c>
      <c r="U985" s="28" t="s">
        <v>75</v>
      </c>
      <c r="V985" s="28" t="s">
        <v>75</v>
      </c>
      <c r="W985" s="31"/>
    </row>
    <row r="986" spans="1:23" s="12" customFormat="1" hidden="1">
      <c r="A986" s="46" t="s">
        <v>572</v>
      </c>
      <c r="B986" s="28" t="s">
        <v>1332</v>
      </c>
      <c r="C986" s="28" t="s">
        <v>740</v>
      </c>
      <c r="D986" s="31" t="s">
        <v>1154</v>
      </c>
      <c r="E986" s="31" t="s">
        <v>93</v>
      </c>
      <c r="F986" s="28" t="s">
        <v>370</v>
      </c>
      <c r="G986" s="28" t="s">
        <v>370</v>
      </c>
      <c r="H986" s="28" t="s">
        <v>975</v>
      </c>
      <c r="I986" s="28" t="str">
        <f>VLOOKUP(F986,표준용어사전!$B:$D,3,FALSE)</f>
        <v>명V20</v>
      </c>
      <c r="J986" s="33" t="s">
        <v>78</v>
      </c>
      <c r="K986" s="34">
        <v>20</v>
      </c>
      <c r="L986" s="29" t="s">
        <v>571</v>
      </c>
      <c r="M986" s="29" t="s">
        <v>727</v>
      </c>
      <c r="N986" s="32" t="s">
        <v>75</v>
      </c>
      <c r="O986" s="31"/>
      <c r="P986" s="31"/>
      <c r="Q986" s="28" t="s">
        <v>76</v>
      </c>
      <c r="R986" s="29"/>
      <c r="S986" s="31"/>
      <c r="T986" s="31"/>
      <c r="U986" s="28" t="s">
        <v>75</v>
      </c>
      <c r="V986" s="28" t="s">
        <v>75</v>
      </c>
      <c r="W986" s="31"/>
    </row>
    <row r="987" spans="1:23" s="12" customFormat="1" hidden="1">
      <c r="A987" s="46" t="s">
        <v>572</v>
      </c>
      <c r="B987" s="28" t="s">
        <v>1332</v>
      </c>
      <c r="C987" s="28" t="s">
        <v>740</v>
      </c>
      <c r="D987" s="31" t="s">
        <v>1155</v>
      </c>
      <c r="E987" s="31" t="s">
        <v>163</v>
      </c>
      <c r="F987" s="35" t="s">
        <v>422</v>
      </c>
      <c r="G987" s="35" t="s">
        <v>422</v>
      </c>
      <c r="H987" s="35" t="s">
        <v>977</v>
      </c>
      <c r="I987" s="28" t="e">
        <f>VLOOKUP(F987,표준용어사전!$B:$D,3,FALSE)</f>
        <v>#N/A</v>
      </c>
      <c r="J987" s="33" t="s">
        <v>63</v>
      </c>
      <c r="K987" s="34">
        <v>10</v>
      </c>
      <c r="L987" s="29" t="s">
        <v>571</v>
      </c>
      <c r="M987" s="29">
        <v>9999999999</v>
      </c>
      <c r="N987" s="32" t="s">
        <v>973</v>
      </c>
      <c r="O987" s="28" t="s">
        <v>641</v>
      </c>
      <c r="P987" s="31"/>
      <c r="Q987" s="28" t="s">
        <v>76</v>
      </c>
      <c r="R987" s="29"/>
      <c r="S987" s="31"/>
      <c r="T987" s="31"/>
      <c r="U987" s="28" t="s">
        <v>75</v>
      </c>
      <c r="V987" s="28" t="s">
        <v>75</v>
      </c>
      <c r="W987" s="31"/>
    </row>
    <row r="988" spans="1:23" s="12" customFormat="1" hidden="1">
      <c r="A988" s="46" t="s">
        <v>572</v>
      </c>
      <c r="B988" s="28" t="s">
        <v>1332</v>
      </c>
      <c r="C988" s="28" t="s">
        <v>740</v>
      </c>
      <c r="D988" s="31" t="s">
        <v>1155</v>
      </c>
      <c r="E988" s="31" t="s">
        <v>1189</v>
      </c>
      <c r="F988" s="35" t="s">
        <v>974</v>
      </c>
      <c r="G988" s="35" t="s">
        <v>974</v>
      </c>
      <c r="H988" s="35" t="s">
        <v>977</v>
      </c>
      <c r="I988" s="28" t="str">
        <f>VLOOKUP(F988,표준용어사전!$B:$D,3,FALSE)</f>
        <v>코드V50</v>
      </c>
      <c r="J988" s="33" t="s">
        <v>570</v>
      </c>
      <c r="K988" s="34">
        <v>50</v>
      </c>
      <c r="L988" s="29" t="s">
        <v>571</v>
      </c>
      <c r="M988" s="29" t="s">
        <v>725</v>
      </c>
      <c r="N988" s="32" t="s">
        <v>973</v>
      </c>
      <c r="O988" s="28" t="s">
        <v>573</v>
      </c>
      <c r="P988" s="31"/>
      <c r="Q988" s="28" t="s">
        <v>76</v>
      </c>
      <c r="R988" s="29"/>
      <c r="S988" s="31"/>
      <c r="T988" s="31"/>
      <c r="U988" s="28" t="s">
        <v>75</v>
      </c>
      <c r="V988" s="28" t="s">
        <v>75</v>
      </c>
      <c r="W988" s="31"/>
    </row>
    <row r="989" spans="1:23" s="12" customFormat="1" hidden="1">
      <c r="A989" s="46" t="s">
        <v>572</v>
      </c>
      <c r="B989" s="28" t="s">
        <v>1332</v>
      </c>
      <c r="C989" s="28" t="s">
        <v>740</v>
      </c>
      <c r="D989" s="31" t="s">
        <v>1155</v>
      </c>
      <c r="E989" s="31" t="s">
        <v>90</v>
      </c>
      <c r="F989" s="35" t="s">
        <v>14</v>
      </c>
      <c r="G989" s="35" t="s">
        <v>14</v>
      </c>
      <c r="H989" s="35" t="s">
        <v>977</v>
      </c>
      <c r="I989" s="28" t="str">
        <f>VLOOKUP(F989,표준용어사전!$B:$D,3,FALSE)</f>
        <v>연월일시분초TS</v>
      </c>
      <c r="J989" s="33" t="s">
        <v>16</v>
      </c>
      <c r="K989" s="34" t="s">
        <v>927</v>
      </c>
      <c r="L989" s="29" t="s">
        <v>571</v>
      </c>
      <c r="M989" s="29" t="s">
        <v>726</v>
      </c>
      <c r="N989" s="29" t="s">
        <v>711</v>
      </c>
      <c r="O989" s="31"/>
      <c r="P989" s="31"/>
      <c r="Q989" s="28" t="s">
        <v>76</v>
      </c>
      <c r="R989" s="29"/>
      <c r="S989" s="31"/>
      <c r="T989" s="28" t="s">
        <v>574</v>
      </c>
      <c r="U989" s="28" t="s">
        <v>75</v>
      </c>
      <c r="V989" s="28" t="s">
        <v>75</v>
      </c>
      <c r="W989" s="31"/>
    </row>
    <row r="990" spans="1:23" s="12" customFormat="1" hidden="1">
      <c r="A990" s="46" t="s">
        <v>572</v>
      </c>
      <c r="B990" s="28" t="s">
        <v>1332</v>
      </c>
      <c r="C990" s="28" t="s">
        <v>740</v>
      </c>
      <c r="D990" s="31" t="s">
        <v>1155</v>
      </c>
      <c r="E990" s="31" t="s">
        <v>91</v>
      </c>
      <c r="F990" s="35" t="s">
        <v>369</v>
      </c>
      <c r="G990" s="35" t="s">
        <v>369</v>
      </c>
      <c r="H990" s="35" t="s">
        <v>977</v>
      </c>
      <c r="I990" s="28" t="str">
        <f>VLOOKUP(F990,표준용어사전!$B:$D,3,FALSE)</f>
        <v>명V20</v>
      </c>
      <c r="J990" s="33" t="s">
        <v>78</v>
      </c>
      <c r="K990" s="34">
        <v>20</v>
      </c>
      <c r="L990" s="29" t="s">
        <v>571</v>
      </c>
      <c r="M990" s="29" t="s">
        <v>727</v>
      </c>
      <c r="N990" s="32" t="s">
        <v>75</v>
      </c>
      <c r="O990" s="31"/>
      <c r="P990" s="31"/>
      <c r="Q990" s="28" t="s">
        <v>76</v>
      </c>
      <c r="R990" s="29"/>
      <c r="S990" s="31"/>
      <c r="T990" s="31"/>
      <c r="U990" s="28" t="s">
        <v>75</v>
      </c>
      <c r="V990" s="28" t="s">
        <v>75</v>
      </c>
      <c r="W990" s="31"/>
    </row>
    <row r="991" spans="1:23" s="12" customFormat="1" hidden="1">
      <c r="A991" s="46" t="s">
        <v>572</v>
      </c>
      <c r="B991" s="28" t="s">
        <v>1332</v>
      </c>
      <c r="C991" s="28" t="s">
        <v>740</v>
      </c>
      <c r="D991" s="31" t="s">
        <v>1155</v>
      </c>
      <c r="E991" s="31" t="s">
        <v>92</v>
      </c>
      <c r="F991" s="35" t="s">
        <v>15</v>
      </c>
      <c r="G991" s="35" t="s">
        <v>15</v>
      </c>
      <c r="H991" s="35" t="s">
        <v>977</v>
      </c>
      <c r="I991" s="28" t="str">
        <f>VLOOKUP(F991,표준용어사전!$B:$D,3,FALSE)</f>
        <v>연월일시분초TS</v>
      </c>
      <c r="J991" s="33" t="s">
        <v>16</v>
      </c>
      <c r="K991" s="34" t="s">
        <v>927</v>
      </c>
      <c r="L991" s="29" t="s">
        <v>571</v>
      </c>
      <c r="M991" s="29" t="s">
        <v>726</v>
      </c>
      <c r="N991" s="32" t="s">
        <v>75</v>
      </c>
      <c r="O991" s="31"/>
      <c r="P991" s="31"/>
      <c r="Q991" s="28" t="s">
        <v>76</v>
      </c>
      <c r="R991" s="29"/>
      <c r="S991" s="31"/>
      <c r="T991" s="28" t="s">
        <v>574</v>
      </c>
      <c r="U991" s="28" t="s">
        <v>75</v>
      </c>
      <c r="V991" s="28" t="s">
        <v>75</v>
      </c>
      <c r="W991" s="31"/>
    </row>
    <row r="992" spans="1:23" s="12" customFormat="1" hidden="1">
      <c r="A992" s="46" t="s">
        <v>572</v>
      </c>
      <c r="B992" s="28" t="s">
        <v>1332</v>
      </c>
      <c r="C992" s="28" t="s">
        <v>740</v>
      </c>
      <c r="D992" s="31" t="s">
        <v>1155</v>
      </c>
      <c r="E992" s="31" t="s">
        <v>93</v>
      </c>
      <c r="F992" s="35" t="s">
        <v>370</v>
      </c>
      <c r="G992" s="35" t="s">
        <v>370</v>
      </c>
      <c r="H992" s="35" t="s">
        <v>977</v>
      </c>
      <c r="I992" s="28" t="str">
        <f>VLOOKUP(F992,표준용어사전!$B:$D,3,FALSE)</f>
        <v>명V20</v>
      </c>
      <c r="J992" s="33" t="s">
        <v>78</v>
      </c>
      <c r="K992" s="34">
        <v>20</v>
      </c>
      <c r="L992" s="29" t="s">
        <v>571</v>
      </c>
      <c r="M992" s="29" t="s">
        <v>727</v>
      </c>
      <c r="N992" s="32" t="s">
        <v>75</v>
      </c>
      <c r="O992" s="31"/>
      <c r="P992" s="31"/>
      <c r="Q992" s="28" t="s">
        <v>76</v>
      </c>
      <c r="R992" s="29"/>
      <c r="S992" s="31"/>
      <c r="T992" s="31"/>
      <c r="U992" s="28" t="s">
        <v>75</v>
      </c>
      <c r="V992" s="28" t="s">
        <v>75</v>
      </c>
      <c r="W992" s="31"/>
    </row>
    <row r="993" spans="1:23" s="12" customFormat="1">
      <c r="A993" s="46" t="s">
        <v>572</v>
      </c>
      <c r="B993" s="28" t="s">
        <v>1337</v>
      </c>
      <c r="C993" s="28" t="s">
        <v>978</v>
      </c>
      <c r="D993" s="31" t="s">
        <v>1156</v>
      </c>
      <c r="E993" s="31" t="s">
        <v>1191</v>
      </c>
      <c r="F993" s="35" t="s">
        <v>1498</v>
      </c>
      <c r="G993" s="35" t="s">
        <v>1473</v>
      </c>
      <c r="H993" s="35" t="s">
        <v>979</v>
      </c>
      <c r="I993" s="28" t="e">
        <f>VLOOKUP(F993,표준용어사전!$B:$D,3,FALSE)</f>
        <v>#N/A</v>
      </c>
      <c r="J993" s="33" t="s">
        <v>709</v>
      </c>
      <c r="K993" s="34" t="s">
        <v>980</v>
      </c>
      <c r="L993" s="29" t="s">
        <v>571</v>
      </c>
      <c r="M993" s="29" t="s">
        <v>981</v>
      </c>
      <c r="N993" s="32" t="s">
        <v>973</v>
      </c>
      <c r="O993" s="28" t="s">
        <v>641</v>
      </c>
      <c r="P993" s="31"/>
      <c r="Q993" s="28" t="s">
        <v>76</v>
      </c>
      <c r="R993" s="29"/>
      <c r="S993" s="31"/>
      <c r="T993" s="31"/>
      <c r="U993" s="28" t="s">
        <v>75</v>
      </c>
      <c r="V993" s="28" t="s">
        <v>75</v>
      </c>
      <c r="W993" s="31"/>
    </row>
    <row r="994" spans="1:23" s="12" customFormat="1">
      <c r="A994" s="46" t="s">
        <v>572</v>
      </c>
      <c r="B994" s="28" t="s">
        <v>1337</v>
      </c>
      <c r="C994" s="28" t="s">
        <v>978</v>
      </c>
      <c r="D994" s="31" t="s">
        <v>1156</v>
      </c>
      <c r="E994" s="31" t="s">
        <v>1192</v>
      </c>
      <c r="F994" s="35" t="s">
        <v>1499</v>
      </c>
      <c r="G994" s="35" t="s">
        <v>1474</v>
      </c>
      <c r="H994" s="35" t="s">
        <v>979</v>
      </c>
      <c r="I994" s="28" t="e">
        <f>VLOOKUP(F994,표준용어사전!$B:$D,3,FALSE)</f>
        <v>#N/A</v>
      </c>
      <c r="J994" s="33" t="s">
        <v>78</v>
      </c>
      <c r="K994" s="34" t="s">
        <v>982</v>
      </c>
      <c r="L994" s="29" t="s">
        <v>571</v>
      </c>
      <c r="M994" s="29" t="s">
        <v>983</v>
      </c>
      <c r="N994" s="32" t="s">
        <v>75</v>
      </c>
      <c r="O994" s="31"/>
      <c r="P994" s="31"/>
      <c r="Q994" s="28" t="s">
        <v>76</v>
      </c>
      <c r="R994" s="29"/>
      <c r="S994" s="31"/>
      <c r="T994" s="31"/>
      <c r="U994" s="28" t="s">
        <v>75</v>
      </c>
      <c r="V994" s="28" t="s">
        <v>75</v>
      </c>
      <c r="W994" s="31"/>
    </row>
    <row r="995" spans="1:23" s="12" customFormat="1">
      <c r="A995" s="46" t="s">
        <v>572</v>
      </c>
      <c r="B995" s="28" t="s">
        <v>1337</v>
      </c>
      <c r="C995" s="28" t="s">
        <v>978</v>
      </c>
      <c r="D995" s="31" t="s">
        <v>1156</v>
      </c>
      <c r="E995" s="31" t="s">
        <v>1193</v>
      </c>
      <c r="F995" s="35" t="s">
        <v>1500</v>
      </c>
      <c r="G995" s="35" t="s">
        <v>1475</v>
      </c>
      <c r="H995" s="35" t="s">
        <v>979</v>
      </c>
      <c r="I995" s="28" t="e">
        <f>VLOOKUP(F995,표준용어사전!$B:$D,3,FALSE)</f>
        <v>#N/A</v>
      </c>
      <c r="J995" s="33" t="s">
        <v>78</v>
      </c>
      <c r="K995" s="34" t="s">
        <v>984</v>
      </c>
      <c r="L995" s="29" t="s">
        <v>571</v>
      </c>
      <c r="M995" s="29" t="s">
        <v>715</v>
      </c>
      <c r="N995" s="32" t="s">
        <v>75</v>
      </c>
      <c r="O995" s="31"/>
      <c r="P995" s="31"/>
      <c r="Q995" s="28" t="s">
        <v>76</v>
      </c>
      <c r="R995" s="29"/>
      <c r="S995" s="31"/>
      <c r="T995" s="31"/>
      <c r="U995" s="28" t="s">
        <v>75</v>
      </c>
      <c r="V995" s="28" t="s">
        <v>75</v>
      </c>
      <c r="W995" s="31"/>
    </row>
    <row r="996" spans="1:23" s="12" customFormat="1">
      <c r="A996" s="46" t="s">
        <v>572</v>
      </c>
      <c r="B996" s="28" t="s">
        <v>1337</v>
      </c>
      <c r="C996" s="28" t="s">
        <v>978</v>
      </c>
      <c r="D996" s="31" t="s">
        <v>1156</v>
      </c>
      <c r="E996" s="31" t="s">
        <v>1194</v>
      </c>
      <c r="F996" s="35" t="s">
        <v>1501</v>
      </c>
      <c r="G996" s="35" t="s">
        <v>1454</v>
      </c>
      <c r="H996" s="35" t="s">
        <v>979</v>
      </c>
      <c r="I996" s="28" t="str">
        <f>VLOOKUP(F996,표준용어사전!$B:$D,3,FALSE)</f>
        <v>여부C1</v>
      </c>
      <c r="J996" s="33" t="s">
        <v>570</v>
      </c>
      <c r="K996" s="34" t="s">
        <v>985</v>
      </c>
      <c r="L996" s="29" t="s">
        <v>571</v>
      </c>
      <c r="M996" s="29" t="s">
        <v>722</v>
      </c>
      <c r="N996" s="32" t="s">
        <v>75</v>
      </c>
      <c r="O996" s="31"/>
      <c r="P996" s="31"/>
      <c r="Q996" s="28" t="s">
        <v>76</v>
      </c>
      <c r="R996" s="29"/>
      <c r="S996" s="31"/>
      <c r="T996" s="28"/>
      <c r="U996" s="28" t="s">
        <v>75</v>
      </c>
      <c r="V996" s="28" t="s">
        <v>75</v>
      </c>
      <c r="W996" s="31"/>
    </row>
    <row r="997" spans="1:23" s="12" customFormat="1">
      <c r="A997" s="46" t="s">
        <v>572</v>
      </c>
      <c r="B997" s="28" t="s">
        <v>1337</v>
      </c>
      <c r="C997" s="28" t="s">
        <v>978</v>
      </c>
      <c r="D997" s="31" t="s">
        <v>1156</v>
      </c>
      <c r="E997" s="31" t="s">
        <v>946</v>
      </c>
      <c r="F997" s="35" t="s">
        <v>959</v>
      </c>
      <c r="G997" s="28" t="s">
        <v>1451</v>
      </c>
      <c r="H997" s="35" t="s">
        <v>979</v>
      </c>
      <c r="I997" s="28" t="e">
        <f>VLOOKUP(F997,표준용어사전!$B:$D,3,FALSE)</f>
        <v>#N/A</v>
      </c>
      <c r="J997" s="33" t="s">
        <v>16</v>
      </c>
      <c r="K997" s="34" t="s">
        <v>927</v>
      </c>
      <c r="L997" s="29" t="s">
        <v>571</v>
      </c>
      <c r="M997" s="29" t="s">
        <v>726</v>
      </c>
      <c r="N997" s="32" t="s">
        <v>75</v>
      </c>
      <c r="O997" s="31"/>
      <c r="P997" s="31"/>
      <c r="Q997" s="28" t="s">
        <v>76</v>
      </c>
      <c r="R997" s="29"/>
      <c r="S997" s="31"/>
      <c r="T997" s="28" t="s">
        <v>574</v>
      </c>
      <c r="U997" s="28" t="s">
        <v>75</v>
      </c>
      <c r="V997" s="28" t="s">
        <v>75</v>
      </c>
      <c r="W997" s="31"/>
    </row>
    <row r="998" spans="1:23" s="12" customFormat="1">
      <c r="A998" s="46" t="s">
        <v>572</v>
      </c>
      <c r="B998" s="28" t="s">
        <v>1337</v>
      </c>
      <c r="C998" s="28" t="s">
        <v>978</v>
      </c>
      <c r="D998" s="31" t="s">
        <v>1156</v>
      </c>
      <c r="E998" s="31" t="s">
        <v>947</v>
      </c>
      <c r="F998" s="35" t="s">
        <v>964</v>
      </c>
      <c r="G998" s="35" t="s">
        <v>964</v>
      </c>
      <c r="H998" s="35" t="s">
        <v>979</v>
      </c>
      <c r="I998" s="28" t="e">
        <f>VLOOKUP(F998,표준용어사전!$B:$D,3,FALSE)</f>
        <v>#N/A</v>
      </c>
      <c r="J998" s="33" t="s">
        <v>78</v>
      </c>
      <c r="K998" s="34" t="s">
        <v>986</v>
      </c>
      <c r="L998" s="29" t="s">
        <v>571</v>
      </c>
      <c r="M998" s="29" t="s">
        <v>727</v>
      </c>
      <c r="N998" s="32" t="s">
        <v>75</v>
      </c>
      <c r="O998" s="31"/>
      <c r="P998" s="31"/>
      <c r="Q998" s="28" t="s">
        <v>76</v>
      </c>
      <c r="R998" s="29"/>
      <c r="S998" s="31"/>
      <c r="T998" s="31"/>
      <c r="U998" s="28" t="s">
        <v>75</v>
      </c>
      <c r="V998" s="28" t="s">
        <v>75</v>
      </c>
      <c r="W998" s="31"/>
    </row>
    <row r="999" spans="1:23" s="12" customFormat="1">
      <c r="A999" s="46" t="s">
        <v>572</v>
      </c>
      <c r="B999" s="28" t="s">
        <v>1337</v>
      </c>
      <c r="C999" s="28" t="s">
        <v>978</v>
      </c>
      <c r="D999" s="31" t="s">
        <v>1156</v>
      </c>
      <c r="E999" s="31" t="s">
        <v>948</v>
      </c>
      <c r="F999" s="35" t="s">
        <v>960</v>
      </c>
      <c r="G999" s="35" t="s">
        <v>960</v>
      </c>
      <c r="H999" s="35" t="s">
        <v>979</v>
      </c>
      <c r="I999" s="28" t="e">
        <f>VLOOKUP(F999,표준용어사전!$B:$D,3,FALSE)</f>
        <v>#N/A</v>
      </c>
      <c r="J999" s="33" t="s">
        <v>16</v>
      </c>
      <c r="K999" s="34" t="s">
        <v>927</v>
      </c>
      <c r="L999" s="29" t="s">
        <v>571</v>
      </c>
      <c r="M999" s="29" t="s">
        <v>726</v>
      </c>
      <c r="N999" s="32" t="s">
        <v>75</v>
      </c>
      <c r="O999" s="31"/>
      <c r="P999" s="31"/>
      <c r="Q999" s="28" t="s">
        <v>76</v>
      </c>
      <c r="R999" s="29"/>
      <c r="S999" s="31"/>
      <c r="T999" s="31"/>
      <c r="U999" s="28" t="s">
        <v>75</v>
      </c>
      <c r="V999" s="28" t="s">
        <v>75</v>
      </c>
      <c r="W999" s="31"/>
    </row>
    <row r="1000" spans="1:23" s="12" customFormat="1">
      <c r="A1000" s="46" t="s">
        <v>572</v>
      </c>
      <c r="B1000" s="28" t="s">
        <v>1337</v>
      </c>
      <c r="C1000" s="28" t="s">
        <v>978</v>
      </c>
      <c r="D1000" s="31" t="s">
        <v>1156</v>
      </c>
      <c r="E1000" s="31" t="s">
        <v>949</v>
      </c>
      <c r="F1000" s="35" t="s">
        <v>965</v>
      </c>
      <c r="G1000" s="35" t="s">
        <v>965</v>
      </c>
      <c r="H1000" s="35" t="s">
        <v>979</v>
      </c>
      <c r="I1000" s="28" t="e">
        <f>VLOOKUP(F1000,표준용어사전!$B:$D,3,FALSE)</f>
        <v>#N/A</v>
      </c>
      <c r="J1000" s="33" t="s">
        <v>78</v>
      </c>
      <c r="K1000" s="34" t="s">
        <v>986</v>
      </c>
      <c r="L1000" s="29" t="s">
        <v>571</v>
      </c>
      <c r="M1000" s="29" t="s">
        <v>727</v>
      </c>
      <c r="N1000" s="32" t="s">
        <v>75</v>
      </c>
      <c r="O1000" s="31"/>
      <c r="P1000" s="31"/>
      <c r="Q1000" s="28" t="s">
        <v>76</v>
      </c>
      <c r="R1000" s="29"/>
      <c r="S1000" s="31"/>
      <c r="T1000" s="28" t="s">
        <v>574</v>
      </c>
      <c r="U1000" s="28" t="s">
        <v>75</v>
      </c>
      <c r="V1000" s="28" t="s">
        <v>75</v>
      </c>
      <c r="W1000" s="31"/>
    </row>
    <row r="1001" spans="1:23" s="12" customFormat="1">
      <c r="A1001" s="46" t="s">
        <v>572</v>
      </c>
      <c r="B1001" s="28" t="s">
        <v>1337</v>
      </c>
      <c r="C1001" s="28" t="s">
        <v>978</v>
      </c>
      <c r="D1001" s="31" t="s">
        <v>1157</v>
      </c>
      <c r="E1001" s="31" t="s">
        <v>1195</v>
      </c>
      <c r="F1001" s="35" t="s">
        <v>1502</v>
      </c>
      <c r="G1001" s="35" t="s">
        <v>1476</v>
      </c>
      <c r="H1001" s="35" t="s">
        <v>987</v>
      </c>
      <c r="I1001" s="28" t="e">
        <f>VLOOKUP(F1001,표준용어사전!$B:$D,3,FALSE)</f>
        <v>#N/A</v>
      </c>
      <c r="J1001" s="33" t="s">
        <v>78</v>
      </c>
      <c r="K1001" s="34" t="s">
        <v>988</v>
      </c>
      <c r="L1001" s="29" t="s">
        <v>571</v>
      </c>
      <c r="M1001" s="29" t="s">
        <v>989</v>
      </c>
      <c r="N1001" s="32" t="s">
        <v>973</v>
      </c>
      <c r="O1001" s="28" t="s">
        <v>641</v>
      </c>
      <c r="P1001" s="31" t="s">
        <v>1360</v>
      </c>
      <c r="Q1001" s="28" t="s">
        <v>76</v>
      </c>
      <c r="R1001" s="29"/>
      <c r="S1001" s="31"/>
      <c r="T1001" s="31"/>
      <c r="U1001" s="28" t="s">
        <v>75</v>
      </c>
      <c r="V1001" s="28" t="s">
        <v>75</v>
      </c>
      <c r="W1001" s="31"/>
    </row>
    <row r="1002" spans="1:23" s="12" customFormat="1">
      <c r="A1002" s="46" t="s">
        <v>572</v>
      </c>
      <c r="B1002" s="28" t="s">
        <v>1337</v>
      </c>
      <c r="C1002" s="28" t="s">
        <v>978</v>
      </c>
      <c r="D1002" s="31" t="s">
        <v>1157</v>
      </c>
      <c r="E1002" s="31" t="s">
        <v>1196</v>
      </c>
      <c r="F1002" s="35" t="s">
        <v>1540</v>
      </c>
      <c r="G1002" s="35" t="s">
        <v>1477</v>
      </c>
      <c r="H1002" s="35" t="s">
        <v>987</v>
      </c>
      <c r="I1002" s="28" t="e">
        <f>VLOOKUP(F1002,표준용어사전!$B:$D,3,FALSE)</f>
        <v>#N/A</v>
      </c>
      <c r="J1002" s="33" t="s">
        <v>78</v>
      </c>
      <c r="K1002" s="34" t="s">
        <v>982</v>
      </c>
      <c r="L1002" s="29" t="s">
        <v>571</v>
      </c>
      <c r="M1002" s="29" t="s">
        <v>983</v>
      </c>
      <c r="N1002" s="32" t="s">
        <v>75</v>
      </c>
      <c r="O1002" s="31"/>
      <c r="P1002" s="31"/>
      <c r="Q1002" s="28" t="s">
        <v>76</v>
      </c>
      <c r="R1002" s="29"/>
      <c r="S1002" s="31"/>
      <c r="T1002" s="31"/>
      <c r="U1002" s="28" t="s">
        <v>75</v>
      </c>
      <c r="V1002" s="28" t="s">
        <v>75</v>
      </c>
      <c r="W1002" s="31"/>
    </row>
    <row r="1003" spans="1:23" s="12" customFormat="1">
      <c r="A1003" s="46" t="s">
        <v>572</v>
      </c>
      <c r="B1003" s="28" t="s">
        <v>1337</v>
      </c>
      <c r="C1003" s="28" t="s">
        <v>978</v>
      </c>
      <c r="D1003" s="31" t="s">
        <v>1157</v>
      </c>
      <c r="E1003" s="31" t="s">
        <v>1197</v>
      </c>
      <c r="F1003" s="35" t="s">
        <v>1503</v>
      </c>
      <c r="G1003" s="35" t="s">
        <v>1478</v>
      </c>
      <c r="H1003" s="35" t="s">
        <v>987</v>
      </c>
      <c r="I1003" s="28" t="e">
        <f>VLOOKUP(F1003,표준용어사전!$B:$D,3,FALSE)</f>
        <v>#N/A</v>
      </c>
      <c r="J1003" s="33" t="s">
        <v>78</v>
      </c>
      <c r="K1003" s="34" t="s">
        <v>984</v>
      </c>
      <c r="L1003" s="29" t="s">
        <v>571</v>
      </c>
      <c r="M1003" s="29" t="s">
        <v>715</v>
      </c>
      <c r="N1003" s="32" t="s">
        <v>75</v>
      </c>
      <c r="O1003" s="31"/>
      <c r="P1003" s="31"/>
      <c r="Q1003" s="28" t="s">
        <v>76</v>
      </c>
      <c r="R1003" s="29"/>
      <c r="S1003" s="31"/>
      <c r="T1003" s="31"/>
      <c r="U1003" s="28" t="s">
        <v>75</v>
      </c>
      <c r="V1003" s="28" t="s">
        <v>75</v>
      </c>
      <c r="W1003" s="31"/>
    </row>
    <row r="1004" spans="1:23" s="12" customFormat="1">
      <c r="A1004" s="46" t="s">
        <v>572</v>
      </c>
      <c r="B1004" s="28" t="s">
        <v>1337</v>
      </c>
      <c r="C1004" s="28" t="s">
        <v>978</v>
      </c>
      <c r="D1004" s="31" t="s">
        <v>1157</v>
      </c>
      <c r="E1004" s="31" t="s">
        <v>1194</v>
      </c>
      <c r="F1004" s="35" t="s">
        <v>1501</v>
      </c>
      <c r="G1004" s="35" t="s">
        <v>1454</v>
      </c>
      <c r="H1004" s="35" t="s">
        <v>987</v>
      </c>
      <c r="I1004" s="28" t="str">
        <f>VLOOKUP(F1004,표준용어사전!$B:$D,3,FALSE)</f>
        <v>여부C1</v>
      </c>
      <c r="J1004" s="33" t="s">
        <v>570</v>
      </c>
      <c r="K1004" s="34" t="s">
        <v>985</v>
      </c>
      <c r="L1004" s="29" t="s">
        <v>571</v>
      </c>
      <c r="M1004" s="29" t="s">
        <v>722</v>
      </c>
      <c r="N1004" s="32" t="s">
        <v>75</v>
      </c>
      <c r="O1004" s="31"/>
      <c r="P1004" s="31"/>
      <c r="Q1004" s="28" t="s">
        <v>76</v>
      </c>
      <c r="R1004" s="29"/>
      <c r="S1004" s="31"/>
      <c r="T1004" s="28"/>
      <c r="U1004" s="28" t="s">
        <v>75</v>
      </c>
      <c r="V1004" s="28" t="s">
        <v>75</v>
      </c>
      <c r="W1004" s="31"/>
    </row>
    <row r="1005" spans="1:23" s="12" customFormat="1">
      <c r="A1005" s="46" t="s">
        <v>572</v>
      </c>
      <c r="B1005" s="28" t="s">
        <v>1337</v>
      </c>
      <c r="C1005" s="28" t="s">
        <v>978</v>
      </c>
      <c r="D1005" s="31" t="s">
        <v>1157</v>
      </c>
      <c r="E1005" s="31" t="s">
        <v>1191</v>
      </c>
      <c r="F1005" s="35" t="s">
        <v>1498</v>
      </c>
      <c r="G1005" s="35" t="s">
        <v>1473</v>
      </c>
      <c r="H1005" s="35" t="s">
        <v>987</v>
      </c>
      <c r="I1005" s="28" t="e">
        <f>VLOOKUP(F1005,표준용어사전!$B:$D,3,FALSE)</f>
        <v>#N/A</v>
      </c>
      <c r="J1005" s="33" t="s">
        <v>570</v>
      </c>
      <c r="K1005" s="34" t="s">
        <v>980</v>
      </c>
      <c r="L1005" s="29" t="s">
        <v>571</v>
      </c>
      <c r="M1005" s="29" t="s">
        <v>981</v>
      </c>
      <c r="N1005" s="32" t="s">
        <v>75</v>
      </c>
      <c r="O1005" s="31"/>
      <c r="P1005" s="31"/>
      <c r="Q1005" s="28" t="s">
        <v>76</v>
      </c>
      <c r="R1005" s="29"/>
      <c r="S1005" s="31"/>
      <c r="T1005" s="31"/>
      <c r="U1005" s="28" t="s">
        <v>75</v>
      </c>
      <c r="V1005" s="28" t="s">
        <v>75</v>
      </c>
      <c r="W1005" s="31"/>
    </row>
    <row r="1006" spans="1:23" s="12" customFormat="1">
      <c r="A1006" s="46" t="s">
        <v>572</v>
      </c>
      <c r="B1006" s="28" t="s">
        <v>1337</v>
      </c>
      <c r="C1006" s="28" t="s">
        <v>978</v>
      </c>
      <c r="D1006" s="31" t="s">
        <v>1157</v>
      </c>
      <c r="E1006" s="31" t="s">
        <v>946</v>
      </c>
      <c r="F1006" s="35" t="s">
        <v>959</v>
      </c>
      <c r="G1006" s="28" t="s">
        <v>1451</v>
      </c>
      <c r="H1006" s="35" t="s">
        <v>987</v>
      </c>
      <c r="I1006" s="28" t="e">
        <f>VLOOKUP(F1006,표준용어사전!$B:$D,3,FALSE)</f>
        <v>#N/A</v>
      </c>
      <c r="J1006" s="33" t="s">
        <v>16</v>
      </c>
      <c r="K1006" s="34" t="s">
        <v>927</v>
      </c>
      <c r="L1006" s="29" t="s">
        <v>571</v>
      </c>
      <c r="M1006" s="29" t="s">
        <v>726</v>
      </c>
      <c r="N1006" s="32" t="s">
        <v>75</v>
      </c>
      <c r="O1006" s="31"/>
      <c r="P1006" s="31"/>
      <c r="Q1006" s="28" t="s">
        <v>76</v>
      </c>
      <c r="R1006" s="29"/>
      <c r="S1006" s="31"/>
      <c r="T1006" s="28" t="s">
        <v>574</v>
      </c>
      <c r="U1006" s="28" t="s">
        <v>75</v>
      </c>
      <c r="V1006" s="28" t="s">
        <v>75</v>
      </c>
      <c r="W1006" s="31"/>
    </row>
    <row r="1007" spans="1:23" s="12" customFormat="1">
      <c r="A1007" s="46" t="s">
        <v>572</v>
      </c>
      <c r="B1007" s="28" t="s">
        <v>1337</v>
      </c>
      <c r="C1007" s="28" t="s">
        <v>978</v>
      </c>
      <c r="D1007" s="31" t="s">
        <v>1157</v>
      </c>
      <c r="E1007" s="31" t="s">
        <v>947</v>
      </c>
      <c r="F1007" s="35" t="s">
        <v>964</v>
      </c>
      <c r="G1007" s="35" t="s">
        <v>964</v>
      </c>
      <c r="H1007" s="35" t="s">
        <v>987</v>
      </c>
      <c r="I1007" s="28" t="e">
        <f>VLOOKUP(F1007,표준용어사전!$B:$D,3,FALSE)</f>
        <v>#N/A</v>
      </c>
      <c r="J1007" s="33" t="s">
        <v>78</v>
      </c>
      <c r="K1007" s="34" t="s">
        <v>986</v>
      </c>
      <c r="L1007" s="29" t="s">
        <v>571</v>
      </c>
      <c r="M1007" s="29" t="s">
        <v>727</v>
      </c>
      <c r="N1007" s="32" t="s">
        <v>75</v>
      </c>
      <c r="O1007" s="31"/>
      <c r="P1007" s="31"/>
      <c r="Q1007" s="28" t="s">
        <v>76</v>
      </c>
      <c r="R1007" s="29"/>
      <c r="S1007" s="31"/>
      <c r="T1007" s="31"/>
      <c r="U1007" s="28" t="s">
        <v>75</v>
      </c>
      <c r="V1007" s="28" t="s">
        <v>75</v>
      </c>
      <c r="W1007" s="31"/>
    </row>
    <row r="1008" spans="1:23" s="12" customFormat="1">
      <c r="A1008" s="46" t="s">
        <v>572</v>
      </c>
      <c r="B1008" s="28" t="s">
        <v>1337</v>
      </c>
      <c r="C1008" s="28" t="s">
        <v>978</v>
      </c>
      <c r="D1008" s="31" t="s">
        <v>1157</v>
      </c>
      <c r="E1008" s="31" t="s">
        <v>948</v>
      </c>
      <c r="F1008" s="35" t="s">
        <v>960</v>
      </c>
      <c r="G1008" s="35" t="s">
        <v>960</v>
      </c>
      <c r="H1008" s="35" t="s">
        <v>987</v>
      </c>
      <c r="I1008" s="28" t="e">
        <f>VLOOKUP(F1008,표준용어사전!$B:$D,3,FALSE)</f>
        <v>#N/A</v>
      </c>
      <c r="J1008" s="33" t="s">
        <v>16</v>
      </c>
      <c r="K1008" s="34" t="s">
        <v>927</v>
      </c>
      <c r="L1008" s="29" t="s">
        <v>571</v>
      </c>
      <c r="M1008" s="29" t="s">
        <v>726</v>
      </c>
      <c r="N1008" s="32" t="s">
        <v>75</v>
      </c>
      <c r="O1008" s="31"/>
      <c r="P1008" s="31"/>
      <c r="Q1008" s="28" t="s">
        <v>76</v>
      </c>
      <c r="R1008" s="29"/>
      <c r="S1008" s="31"/>
      <c r="T1008" s="28" t="s">
        <v>574</v>
      </c>
      <c r="U1008" s="28" t="s">
        <v>75</v>
      </c>
      <c r="V1008" s="28" t="s">
        <v>75</v>
      </c>
      <c r="W1008" s="31"/>
    </row>
    <row r="1009" spans="1:23" s="12" customFormat="1">
      <c r="A1009" s="46" t="s">
        <v>572</v>
      </c>
      <c r="B1009" s="28" t="s">
        <v>1337</v>
      </c>
      <c r="C1009" s="28" t="s">
        <v>978</v>
      </c>
      <c r="D1009" s="31" t="s">
        <v>1157</v>
      </c>
      <c r="E1009" s="31" t="s">
        <v>949</v>
      </c>
      <c r="F1009" s="35" t="s">
        <v>965</v>
      </c>
      <c r="G1009" s="35" t="s">
        <v>965</v>
      </c>
      <c r="H1009" s="35" t="s">
        <v>987</v>
      </c>
      <c r="I1009" s="28" t="e">
        <f>VLOOKUP(F1009,표준용어사전!$B:$D,3,FALSE)</f>
        <v>#N/A</v>
      </c>
      <c r="J1009" s="33" t="s">
        <v>78</v>
      </c>
      <c r="K1009" s="34" t="s">
        <v>986</v>
      </c>
      <c r="L1009" s="29" t="s">
        <v>571</v>
      </c>
      <c r="M1009" s="29" t="s">
        <v>727</v>
      </c>
      <c r="N1009" s="32" t="s">
        <v>75</v>
      </c>
      <c r="O1009" s="31"/>
      <c r="P1009" s="31"/>
      <c r="Q1009" s="28" t="s">
        <v>76</v>
      </c>
      <c r="R1009" s="29"/>
      <c r="S1009" s="31"/>
      <c r="T1009" s="31"/>
      <c r="U1009" s="28" t="s">
        <v>75</v>
      </c>
      <c r="V1009" s="28" t="s">
        <v>75</v>
      </c>
      <c r="W1009" s="31"/>
    </row>
    <row r="1010" spans="1:23" s="12" customFormat="1">
      <c r="A1010" s="46" t="s">
        <v>572</v>
      </c>
      <c r="B1010" s="28" t="s">
        <v>1337</v>
      </c>
      <c r="C1010" s="28" t="s">
        <v>978</v>
      </c>
      <c r="D1010" s="31" t="s">
        <v>1158</v>
      </c>
      <c r="E1010" s="31" t="s">
        <v>1195</v>
      </c>
      <c r="F1010" s="35" t="s">
        <v>1502</v>
      </c>
      <c r="G1010" s="35" t="s">
        <v>1476</v>
      </c>
      <c r="H1010" s="35" t="s">
        <v>990</v>
      </c>
      <c r="I1010" s="28" t="e">
        <f>VLOOKUP(F1010,표준용어사전!$B:$D,3,FALSE)</f>
        <v>#N/A</v>
      </c>
      <c r="J1010" s="33" t="s">
        <v>78</v>
      </c>
      <c r="K1010" s="34" t="s">
        <v>988</v>
      </c>
      <c r="L1010" s="29" t="s">
        <v>571</v>
      </c>
      <c r="M1010" s="29" t="s">
        <v>989</v>
      </c>
      <c r="N1010" s="32" t="s">
        <v>973</v>
      </c>
      <c r="O1010" s="28" t="s">
        <v>641</v>
      </c>
      <c r="P1010" s="31" t="s">
        <v>1361</v>
      </c>
      <c r="Q1010" s="28" t="s">
        <v>76</v>
      </c>
      <c r="R1010" s="29"/>
      <c r="S1010" s="31"/>
      <c r="T1010" s="31"/>
      <c r="U1010" s="28" t="s">
        <v>75</v>
      </c>
      <c r="V1010" s="28" t="s">
        <v>75</v>
      </c>
      <c r="W1010" s="31"/>
    </row>
    <row r="1011" spans="1:23" s="12" customFormat="1">
      <c r="A1011" s="46" t="s">
        <v>572</v>
      </c>
      <c r="B1011" s="28" t="s">
        <v>1337</v>
      </c>
      <c r="C1011" s="28" t="s">
        <v>978</v>
      </c>
      <c r="D1011" s="31" t="s">
        <v>1158</v>
      </c>
      <c r="E1011" s="31" t="s">
        <v>1198</v>
      </c>
      <c r="F1011" s="35" t="s">
        <v>1504</v>
      </c>
      <c r="G1011" s="35" t="s">
        <v>1479</v>
      </c>
      <c r="H1011" s="35" t="s">
        <v>990</v>
      </c>
      <c r="I1011" s="28" t="e">
        <f>VLOOKUP(F1011,표준용어사전!$B:$D,3,FALSE)</f>
        <v>#N/A</v>
      </c>
      <c r="J1011" s="33" t="s">
        <v>78</v>
      </c>
      <c r="K1011" s="34" t="s">
        <v>991</v>
      </c>
      <c r="L1011" s="29" t="s">
        <v>571</v>
      </c>
      <c r="M1011" s="29" t="s">
        <v>769</v>
      </c>
      <c r="N1011" s="32" t="s">
        <v>973</v>
      </c>
      <c r="O1011" s="28" t="s">
        <v>573</v>
      </c>
      <c r="P1011" s="31"/>
      <c r="Q1011" s="28" t="s">
        <v>76</v>
      </c>
      <c r="R1011" s="29"/>
      <c r="S1011" s="31"/>
      <c r="T1011" s="31"/>
      <c r="U1011" s="28" t="s">
        <v>75</v>
      </c>
      <c r="V1011" s="28" t="s">
        <v>75</v>
      </c>
      <c r="W1011" s="31"/>
    </row>
    <row r="1012" spans="1:23" s="12" customFormat="1">
      <c r="A1012" s="46" t="s">
        <v>572</v>
      </c>
      <c r="B1012" s="28" t="s">
        <v>1337</v>
      </c>
      <c r="C1012" s="28" t="s">
        <v>978</v>
      </c>
      <c r="D1012" s="31" t="s">
        <v>1158</v>
      </c>
      <c r="E1012" s="31" t="s">
        <v>1199</v>
      </c>
      <c r="F1012" s="35" t="s">
        <v>1505</v>
      </c>
      <c r="G1012" s="35" t="s">
        <v>1480</v>
      </c>
      <c r="H1012" s="35" t="s">
        <v>990</v>
      </c>
      <c r="I1012" s="28" t="e">
        <f>VLOOKUP(F1012,표준용어사전!$B:$D,3,FALSE)</f>
        <v>#N/A</v>
      </c>
      <c r="J1012" s="33" t="s">
        <v>78</v>
      </c>
      <c r="K1012" s="34" t="s">
        <v>982</v>
      </c>
      <c r="L1012" s="29" t="s">
        <v>571</v>
      </c>
      <c r="M1012" s="29" t="s">
        <v>983</v>
      </c>
      <c r="N1012" s="32" t="s">
        <v>75</v>
      </c>
      <c r="O1012" s="31"/>
      <c r="P1012" s="31"/>
      <c r="Q1012" s="28" t="s">
        <v>76</v>
      </c>
      <c r="R1012" s="29"/>
      <c r="S1012" s="31"/>
      <c r="T1012" s="31"/>
      <c r="U1012" s="28" t="s">
        <v>75</v>
      </c>
      <c r="V1012" s="28" t="s">
        <v>75</v>
      </c>
      <c r="W1012" s="31"/>
    </row>
    <row r="1013" spans="1:23" s="12" customFormat="1">
      <c r="A1013" s="46" t="s">
        <v>572</v>
      </c>
      <c r="B1013" s="28" t="s">
        <v>1337</v>
      </c>
      <c r="C1013" s="28" t="s">
        <v>978</v>
      </c>
      <c r="D1013" s="31" t="s">
        <v>1158</v>
      </c>
      <c r="E1013" s="31" t="s">
        <v>1200</v>
      </c>
      <c r="F1013" s="35" t="s">
        <v>1506</v>
      </c>
      <c r="G1013" s="35" t="s">
        <v>1481</v>
      </c>
      <c r="H1013" s="35" t="s">
        <v>990</v>
      </c>
      <c r="I1013" s="28" t="e">
        <f>VLOOKUP(F1013,표준용어사전!$B:$D,3,FALSE)</f>
        <v>#N/A</v>
      </c>
      <c r="J1013" s="33" t="s">
        <v>78</v>
      </c>
      <c r="K1013" s="34" t="s">
        <v>984</v>
      </c>
      <c r="L1013" s="29" t="s">
        <v>571</v>
      </c>
      <c r="M1013" s="29" t="s">
        <v>715</v>
      </c>
      <c r="N1013" s="32" t="s">
        <v>75</v>
      </c>
      <c r="O1013" s="31"/>
      <c r="P1013" s="31"/>
      <c r="Q1013" s="28" t="s">
        <v>76</v>
      </c>
      <c r="R1013" s="29"/>
      <c r="S1013" s="31"/>
      <c r="T1013" s="31"/>
      <c r="U1013" s="28" t="s">
        <v>75</v>
      </c>
      <c r="V1013" s="28" t="s">
        <v>75</v>
      </c>
      <c r="W1013" s="31"/>
    </row>
    <row r="1014" spans="1:23" s="12" customFormat="1">
      <c r="A1014" s="46" t="s">
        <v>572</v>
      </c>
      <c r="B1014" s="28" t="s">
        <v>1337</v>
      </c>
      <c r="C1014" s="28" t="s">
        <v>978</v>
      </c>
      <c r="D1014" s="31" t="s">
        <v>1158</v>
      </c>
      <c r="E1014" s="31" t="s">
        <v>1194</v>
      </c>
      <c r="F1014" s="35" t="s">
        <v>1501</v>
      </c>
      <c r="G1014" s="35" t="s">
        <v>1454</v>
      </c>
      <c r="H1014" s="35" t="s">
        <v>990</v>
      </c>
      <c r="I1014" s="28" t="str">
        <f>VLOOKUP(F1014,표준용어사전!$B:$D,3,FALSE)</f>
        <v>여부C1</v>
      </c>
      <c r="J1014" s="33" t="s">
        <v>570</v>
      </c>
      <c r="K1014" s="34" t="s">
        <v>985</v>
      </c>
      <c r="L1014" s="29" t="s">
        <v>571</v>
      </c>
      <c r="M1014" s="29" t="s">
        <v>722</v>
      </c>
      <c r="N1014" s="32" t="s">
        <v>75</v>
      </c>
      <c r="O1014" s="31"/>
      <c r="P1014" s="31"/>
      <c r="Q1014" s="28" t="s">
        <v>76</v>
      </c>
      <c r="R1014" s="29"/>
      <c r="S1014" s="31"/>
      <c r="T1014" s="28"/>
      <c r="U1014" s="28" t="s">
        <v>75</v>
      </c>
      <c r="V1014" s="28" t="s">
        <v>75</v>
      </c>
      <c r="W1014" s="31"/>
    </row>
    <row r="1015" spans="1:23" s="12" customFormat="1">
      <c r="A1015" s="46" t="s">
        <v>572</v>
      </c>
      <c r="B1015" s="28" t="s">
        <v>1337</v>
      </c>
      <c r="C1015" s="28" t="s">
        <v>978</v>
      </c>
      <c r="D1015" s="31" t="s">
        <v>1158</v>
      </c>
      <c r="E1015" s="31" t="s">
        <v>946</v>
      </c>
      <c r="F1015" s="35" t="s">
        <v>959</v>
      </c>
      <c r="G1015" s="28" t="s">
        <v>1451</v>
      </c>
      <c r="H1015" s="35" t="s">
        <v>990</v>
      </c>
      <c r="I1015" s="28" t="e">
        <f>VLOOKUP(F1015,표준용어사전!$B:$D,3,FALSE)</f>
        <v>#N/A</v>
      </c>
      <c r="J1015" s="33" t="s">
        <v>16</v>
      </c>
      <c r="K1015" s="34" t="s">
        <v>927</v>
      </c>
      <c r="L1015" s="29" t="s">
        <v>571</v>
      </c>
      <c r="M1015" s="29" t="s">
        <v>726</v>
      </c>
      <c r="N1015" s="32" t="s">
        <v>75</v>
      </c>
      <c r="O1015" s="31"/>
      <c r="P1015" s="31"/>
      <c r="Q1015" s="28" t="s">
        <v>76</v>
      </c>
      <c r="R1015" s="29"/>
      <c r="S1015" s="31"/>
      <c r="T1015" s="28" t="s">
        <v>574</v>
      </c>
      <c r="U1015" s="28" t="s">
        <v>75</v>
      </c>
      <c r="V1015" s="28" t="s">
        <v>75</v>
      </c>
      <c r="W1015" s="31"/>
    </row>
    <row r="1016" spans="1:23" s="12" customFormat="1">
      <c r="A1016" s="46" t="s">
        <v>572</v>
      </c>
      <c r="B1016" s="28" t="s">
        <v>1337</v>
      </c>
      <c r="C1016" s="28" t="s">
        <v>978</v>
      </c>
      <c r="D1016" s="31" t="s">
        <v>1158</v>
      </c>
      <c r="E1016" s="31" t="s">
        <v>947</v>
      </c>
      <c r="F1016" s="35" t="s">
        <v>964</v>
      </c>
      <c r="G1016" s="35" t="s">
        <v>964</v>
      </c>
      <c r="H1016" s="35" t="s">
        <v>990</v>
      </c>
      <c r="I1016" s="28" t="e">
        <f>VLOOKUP(F1016,표준용어사전!$B:$D,3,FALSE)</f>
        <v>#N/A</v>
      </c>
      <c r="J1016" s="33" t="s">
        <v>78</v>
      </c>
      <c r="K1016" s="34" t="s">
        <v>986</v>
      </c>
      <c r="L1016" s="29" t="s">
        <v>571</v>
      </c>
      <c r="M1016" s="29" t="s">
        <v>727</v>
      </c>
      <c r="N1016" s="32" t="s">
        <v>75</v>
      </c>
      <c r="O1016" s="31"/>
      <c r="P1016" s="31"/>
      <c r="Q1016" s="28" t="s">
        <v>76</v>
      </c>
      <c r="R1016" s="29"/>
      <c r="S1016" s="31"/>
      <c r="T1016" s="31"/>
      <c r="U1016" s="28" t="s">
        <v>75</v>
      </c>
      <c r="V1016" s="28" t="s">
        <v>75</v>
      </c>
      <c r="W1016" s="31"/>
    </row>
    <row r="1017" spans="1:23" s="12" customFormat="1">
      <c r="A1017" s="46" t="s">
        <v>572</v>
      </c>
      <c r="B1017" s="28" t="s">
        <v>1337</v>
      </c>
      <c r="C1017" s="28" t="s">
        <v>978</v>
      </c>
      <c r="D1017" s="31" t="s">
        <v>1158</v>
      </c>
      <c r="E1017" s="31" t="s">
        <v>948</v>
      </c>
      <c r="F1017" s="35" t="s">
        <v>960</v>
      </c>
      <c r="G1017" s="35" t="s">
        <v>1452</v>
      </c>
      <c r="H1017" s="35" t="s">
        <v>990</v>
      </c>
      <c r="I1017" s="28" t="e">
        <f>VLOOKUP(F1017,표준용어사전!$B:$D,3,FALSE)</f>
        <v>#N/A</v>
      </c>
      <c r="J1017" s="33" t="s">
        <v>16</v>
      </c>
      <c r="K1017" s="34" t="s">
        <v>927</v>
      </c>
      <c r="L1017" s="29" t="s">
        <v>571</v>
      </c>
      <c r="M1017" s="29" t="s">
        <v>726</v>
      </c>
      <c r="N1017" s="32" t="s">
        <v>75</v>
      </c>
      <c r="O1017" s="31"/>
      <c r="P1017" s="31"/>
      <c r="Q1017" s="28" t="s">
        <v>76</v>
      </c>
      <c r="R1017" s="29"/>
      <c r="S1017" s="31"/>
      <c r="T1017" s="28" t="s">
        <v>574</v>
      </c>
      <c r="U1017" s="28" t="s">
        <v>75</v>
      </c>
      <c r="V1017" s="28" t="s">
        <v>75</v>
      </c>
      <c r="W1017" s="31"/>
    </row>
    <row r="1018" spans="1:23" s="12" customFormat="1">
      <c r="A1018" s="46" t="s">
        <v>572</v>
      </c>
      <c r="B1018" s="28" t="s">
        <v>1337</v>
      </c>
      <c r="C1018" s="28" t="s">
        <v>978</v>
      </c>
      <c r="D1018" s="31" t="s">
        <v>1158</v>
      </c>
      <c r="E1018" s="31" t="s">
        <v>949</v>
      </c>
      <c r="F1018" s="35" t="s">
        <v>965</v>
      </c>
      <c r="G1018" s="35" t="s">
        <v>965</v>
      </c>
      <c r="H1018" s="35" t="s">
        <v>990</v>
      </c>
      <c r="I1018" s="28" t="e">
        <f>VLOOKUP(F1018,표준용어사전!$B:$D,3,FALSE)</f>
        <v>#N/A</v>
      </c>
      <c r="J1018" s="33" t="s">
        <v>78</v>
      </c>
      <c r="K1018" s="34" t="s">
        <v>986</v>
      </c>
      <c r="L1018" s="29" t="s">
        <v>571</v>
      </c>
      <c r="M1018" s="29" t="s">
        <v>727</v>
      </c>
      <c r="N1018" s="32" t="s">
        <v>75</v>
      </c>
      <c r="O1018" s="31"/>
      <c r="P1018" s="31"/>
      <c r="Q1018" s="28" t="s">
        <v>76</v>
      </c>
      <c r="R1018" s="29"/>
      <c r="S1018" s="31"/>
      <c r="T1018" s="31"/>
      <c r="U1018" s="28" t="s">
        <v>75</v>
      </c>
      <c r="V1018" s="28" t="s">
        <v>75</v>
      </c>
      <c r="W1018" s="31"/>
    </row>
    <row r="1019" spans="1:23" s="12" customFormat="1">
      <c r="A1019" s="46" t="s">
        <v>572</v>
      </c>
      <c r="B1019" s="28" t="s">
        <v>1337</v>
      </c>
      <c r="C1019" s="28" t="s">
        <v>978</v>
      </c>
      <c r="D1019" s="31" t="s">
        <v>1158</v>
      </c>
      <c r="E1019" s="31" t="s">
        <v>1201</v>
      </c>
      <c r="F1019" s="35" t="s">
        <v>1529</v>
      </c>
      <c r="G1019" s="35" t="s">
        <v>1482</v>
      </c>
      <c r="H1019" s="35" t="s">
        <v>990</v>
      </c>
      <c r="I1019" s="28" t="e">
        <f>VLOOKUP(F1019,표준용어사전!$B:$D,3,FALSE)</f>
        <v>#N/A</v>
      </c>
      <c r="J1019" s="33" t="s">
        <v>78</v>
      </c>
      <c r="K1019" s="34" t="s">
        <v>992</v>
      </c>
      <c r="L1019" s="29" t="s">
        <v>571</v>
      </c>
      <c r="M1019" s="29" t="s">
        <v>928</v>
      </c>
      <c r="N1019" s="32" t="s">
        <v>75</v>
      </c>
      <c r="O1019" s="31"/>
      <c r="P1019" s="31"/>
      <c r="Q1019" s="28" t="s">
        <v>76</v>
      </c>
      <c r="R1019" s="29"/>
      <c r="S1019" s="31"/>
      <c r="T1019" s="31"/>
      <c r="U1019" s="28" t="s">
        <v>75</v>
      </c>
      <c r="V1019" s="28" t="s">
        <v>75</v>
      </c>
      <c r="W1019" s="31"/>
    </row>
    <row r="1020" spans="1:23" s="12" customFormat="1">
      <c r="A1020" s="46" t="s">
        <v>572</v>
      </c>
      <c r="B1020" s="28" t="s">
        <v>1337</v>
      </c>
      <c r="C1020" s="28" t="s">
        <v>978</v>
      </c>
      <c r="D1020" s="31" t="s">
        <v>1159</v>
      </c>
      <c r="E1020" s="31" t="s">
        <v>1202</v>
      </c>
      <c r="F1020" s="28" t="s">
        <v>993</v>
      </c>
      <c r="G1020" s="28" t="s">
        <v>993</v>
      </c>
      <c r="H1020" s="35" t="s">
        <v>994</v>
      </c>
      <c r="I1020" s="28" t="e">
        <f>VLOOKUP(F1020,표준용어사전!$B:$D,3,FALSE)</f>
        <v>#N/A</v>
      </c>
      <c r="J1020" s="33" t="s">
        <v>78</v>
      </c>
      <c r="K1020" s="34" t="s">
        <v>986</v>
      </c>
      <c r="L1020" s="29" t="s">
        <v>571</v>
      </c>
      <c r="M1020" s="29" t="s">
        <v>727</v>
      </c>
      <c r="N1020" s="32" t="s">
        <v>973</v>
      </c>
      <c r="O1020" s="28" t="s">
        <v>641</v>
      </c>
      <c r="P1020" s="31"/>
      <c r="Q1020" s="28" t="s">
        <v>76</v>
      </c>
      <c r="R1020" s="29"/>
      <c r="S1020" s="31"/>
      <c r="T1020" s="31"/>
      <c r="U1020" s="28" t="s">
        <v>75</v>
      </c>
      <c r="V1020" s="28" t="s">
        <v>75</v>
      </c>
      <c r="W1020" s="31"/>
    </row>
    <row r="1021" spans="1:23" s="12" customFormat="1">
      <c r="A1021" s="46" t="s">
        <v>572</v>
      </c>
      <c r="B1021" s="28" t="s">
        <v>1337</v>
      </c>
      <c r="C1021" s="28" t="s">
        <v>978</v>
      </c>
      <c r="D1021" s="31" t="s">
        <v>1159</v>
      </c>
      <c r="E1021" s="31" t="s">
        <v>1203</v>
      </c>
      <c r="F1021" s="28" t="s">
        <v>995</v>
      </c>
      <c r="G1021" s="28" t="s">
        <v>995</v>
      </c>
      <c r="H1021" s="35" t="s">
        <v>994</v>
      </c>
      <c r="I1021" s="28" t="e">
        <f>VLOOKUP(F1021,표준용어사전!$B:$D,3,FALSE)</f>
        <v>#N/A</v>
      </c>
      <c r="J1021" s="33" t="s">
        <v>63</v>
      </c>
      <c r="K1021" s="34" t="s">
        <v>996</v>
      </c>
      <c r="L1021" s="29" t="s">
        <v>571</v>
      </c>
      <c r="M1021" s="29">
        <v>9999999999</v>
      </c>
      <c r="N1021" s="32" t="s">
        <v>75</v>
      </c>
      <c r="O1021" s="32"/>
      <c r="P1021" s="31"/>
      <c r="Q1021" s="28" t="s">
        <v>76</v>
      </c>
      <c r="R1021" s="29"/>
      <c r="S1021" s="31"/>
      <c r="T1021" s="31"/>
      <c r="U1021" s="28" t="s">
        <v>75</v>
      </c>
      <c r="V1021" s="28" t="s">
        <v>75</v>
      </c>
      <c r="W1021" s="31"/>
    </row>
    <row r="1022" spans="1:23" s="12" customFormat="1">
      <c r="A1022" s="46" t="s">
        <v>572</v>
      </c>
      <c r="B1022" s="28" t="s">
        <v>1337</v>
      </c>
      <c r="C1022" s="28" t="s">
        <v>978</v>
      </c>
      <c r="D1022" s="31" t="s">
        <v>1160</v>
      </c>
      <c r="E1022" s="31" t="s">
        <v>1204</v>
      </c>
      <c r="F1022" s="35" t="s">
        <v>997</v>
      </c>
      <c r="G1022" s="35" t="s">
        <v>997</v>
      </c>
      <c r="H1022" s="35" t="s">
        <v>998</v>
      </c>
      <c r="I1022" s="28" t="e">
        <f>VLOOKUP(F1022,표준용어사전!$B:$D,3,FALSE)</f>
        <v>#N/A</v>
      </c>
      <c r="J1022" s="33" t="s">
        <v>78</v>
      </c>
      <c r="K1022" s="34" t="s">
        <v>986</v>
      </c>
      <c r="L1022" s="29" t="s">
        <v>571</v>
      </c>
      <c r="M1022" s="29" t="s">
        <v>727</v>
      </c>
      <c r="N1022" s="32" t="s">
        <v>973</v>
      </c>
      <c r="O1022" s="28" t="s">
        <v>641</v>
      </c>
      <c r="P1022" s="31"/>
      <c r="Q1022" s="28" t="s">
        <v>76</v>
      </c>
      <c r="R1022" s="29"/>
      <c r="S1022" s="31"/>
      <c r="T1022" s="31"/>
      <c r="U1022" s="28" t="s">
        <v>75</v>
      </c>
      <c r="V1022" s="28" t="s">
        <v>75</v>
      </c>
      <c r="W1022" s="31"/>
    </row>
    <row r="1023" spans="1:23" s="12" customFormat="1">
      <c r="A1023" s="46" t="s">
        <v>572</v>
      </c>
      <c r="B1023" s="28" t="s">
        <v>1337</v>
      </c>
      <c r="C1023" s="28" t="s">
        <v>978</v>
      </c>
      <c r="D1023" s="31" t="s">
        <v>1160</v>
      </c>
      <c r="E1023" s="31" t="s">
        <v>1205</v>
      </c>
      <c r="F1023" s="35" t="s">
        <v>1433</v>
      </c>
      <c r="G1023" s="35" t="s">
        <v>999</v>
      </c>
      <c r="H1023" s="35" t="s">
        <v>998</v>
      </c>
      <c r="I1023" s="28" t="e">
        <f>VLOOKUP(F1023,표준용어사전!$B:$D,3,FALSE)</f>
        <v>#N/A</v>
      </c>
      <c r="J1023" s="33" t="s">
        <v>1000</v>
      </c>
      <c r="K1023" s="41" t="s">
        <v>927</v>
      </c>
      <c r="L1023" s="29" t="s">
        <v>571</v>
      </c>
      <c r="M1023" s="29"/>
      <c r="N1023" s="32" t="s">
        <v>75</v>
      </c>
      <c r="O1023" s="31"/>
      <c r="P1023" s="31"/>
      <c r="Q1023" s="28" t="s">
        <v>76</v>
      </c>
      <c r="R1023" s="29"/>
      <c r="S1023" s="31"/>
      <c r="T1023" s="31"/>
      <c r="U1023" s="28" t="s">
        <v>75</v>
      </c>
      <c r="V1023" s="28" t="s">
        <v>75</v>
      </c>
      <c r="W1023" s="31"/>
    </row>
    <row r="1024" spans="1:23" s="12" customFormat="1">
      <c r="A1024" s="46" t="s">
        <v>572</v>
      </c>
      <c r="B1024" s="28" t="s">
        <v>1337</v>
      </c>
      <c r="C1024" s="28" t="s">
        <v>978</v>
      </c>
      <c r="D1024" s="31" t="s">
        <v>1160</v>
      </c>
      <c r="E1024" s="31" t="s">
        <v>1206</v>
      </c>
      <c r="F1024" s="35" t="s">
        <v>1001</v>
      </c>
      <c r="G1024" s="35" t="s">
        <v>1001</v>
      </c>
      <c r="H1024" s="35" t="s">
        <v>998</v>
      </c>
      <c r="I1024" s="28" t="e">
        <f>VLOOKUP(F1024,표준용어사전!$B:$D,3,FALSE)</f>
        <v>#N/A</v>
      </c>
      <c r="J1024" s="33" t="s">
        <v>78</v>
      </c>
      <c r="K1024" s="34" t="s">
        <v>1002</v>
      </c>
      <c r="L1024" s="29" t="s">
        <v>571</v>
      </c>
      <c r="M1024" s="29" t="s">
        <v>720</v>
      </c>
      <c r="N1024" s="32" t="s">
        <v>973</v>
      </c>
      <c r="O1024" s="31"/>
      <c r="P1024" s="31"/>
      <c r="Q1024" s="28" t="s">
        <v>76</v>
      </c>
      <c r="R1024" s="29"/>
      <c r="S1024" s="31"/>
      <c r="T1024" s="31"/>
      <c r="U1024" s="28" t="s">
        <v>75</v>
      </c>
      <c r="V1024" s="28" t="s">
        <v>75</v>
      </c>
      <c r="W1024" s="31"/>
    </row>
    <row r="1025" spans="1:23" s="12" customFormat="1">
      <c r="A1025" s="46" t="s">
        <v>572</v>
      </c>
      <c r="B1025" s="28" t="s">
        <v>1337</v>
      </c>
      <c r="C1025" s="28" t="s">
        <v>978</v>
      </c>
      <c r="D1025" s="31" t="s">
        <v>1160</v>
      </c>
      <c r="E1025" s="31" t="s">
        <v>1207</v>
      </c>
      <c r="F1025" s="35" t="s">
        <v>1003</v>
      </c>
      <c r="G1025" s="35" t="s">
        <v>1003</v>
      </c>
      <c r="H1025" s="35" t="s">
        <v>998</v>
      </c>
      <c r="I1025" s="28" t="e">
        <f>VLOOKUP(F1025,표준용어사전!$B:$D,3,FALSE)</f>
        <v>#N/A</v>
      </c>
      <c r="J1025" s="33" t="s">
        <v>78</v>
      </c>
      <c r="K1025" s="34" t="s">
        <v>1002</v>
      </c>
      <c r="L1025" s="29" t="s">
        <v>571</v>
      </c>
      <c r="M1025" s="29" t="s">
        <v>720</v>
      </c>
      <c r="N1025" s="32" t="s">
        <v>973</v>
      </c>
      <c r="O1025" s="31"/>
      <c r="P1025" s="31"/>
      <c r="Q1025" s="28" t="s">
        <v>76</v>
      </c>
      <c r="R1025" s="29"/>
      <c r="S1025" s="31"/>
      <c r="T1025" s="31"/>
      <c r="U1025" s="28" t="s">
        <v>75</v>
      </c>
      <c r="V1025" s="28" t="s">
        <v>75</v>
      </c>
      <c r="W1025" s="31"/>
    </row>
    <row r="1026" spans="1:23" s="12" customFormat="1">
      <c r="A1026" s="46" t="s">
        <v>572</v>
      </c>
      <c r="B1026" s="28" t="s">
        <v>1337</v>
      </c>
      <c r="C1026" s="28" t="s">
        <v>978</v>
      </c>
      <c r="D1026" s="31" t="s">
        <v>1160</v>
      </c>
      <c r="E1026" s="31" t="s">
        <v>1208</v>
      </c>
      <c r="F1026" s="35" t="s">
        <v>1004</v>
      </c>
      <c r="G1026" s="35" t="s">
        <v>1004</v>
      </c>
      <c r="H1026" s="35" t="s">
        <v>998</v>
      </c>
      <c r="I1026" s="28" t="e">
        <f>VLOOKUP(F1026,표준용어사전!$B:$D,3,FALSE)</f>
        <v>#N/A</v>
      </c>
      <c r="J1026" s="33" t="s">
        <v>78</v>
      </c>
      <c r="K1026" s="34" t="s">
        <v>982</v>
      </c>
      <c r="L1026" s="29" t="s">
        <v>571</v>
      </c>
      <c r="M1026" s="29" t="s">
        <v>983</v>
      </c>
      <c r="N1026" s="32" t="s">
        <v>973</v>
      </c>
      <c r="O1026" s="31"/>
      <c r="P1026" s="31"/>
      <c r="Q1026" s="28" t="s">
        <v>76</v>
      </c>
      <c r="R1026" s="29"/>
      <c r="S1026" s="31"/>
      <c r="T1026" s="31"/>
      <c r="U1026" s="28" t="s">
        <v>75</v>
      </c>
      <c r="V1026" s="28" t="s">
        <v>75</v>
      </c>
      <c r="W1026" s="31"/>
    </row>
    <row r="1027" spans="1:23" s="12" customFormat="1">
      <c r="A1027" s="46" t="s">
        <v>572</v>
      </c>
      <c r="B1027" s="28" t="s">
        <v>1337</v>
      </c>
      <c r="C1027" s="28" t="s">
        <v>978</v>
      </c>
      <c r="D1027" s="31" t="s">
        <v>1160</v>
      </c>
      <c r="E1027" s="31" t="s">
        <v>1209</v>
      </c>
      <c r="F1027" s="35" t="s">
        <v>1507</v>
      </c>
      <c r="G1027" s="35" t="s">
        <v>1483</v>
      </c>
      <c r="H1027" s="35" t="s">
        <v>998</v>
      </c>
      <c r="I1027" s="28" t="e">
        <f>VLOOKUP(F1027,표준용어사전!$B:$D,3,FALSE)</f>
        <v>#N/A</v>
      </c>
      <c r="J1027" s="33" t="s">
        <v>570</v>
      </c>
      <c r="K1027" s="34" t="s">
        <v>985</v>
      </c>
      <c r="L1027" s="29" t="s">
        <v>571</v>
      </c>
      <c r="M1027" s="29" t="s">
        <v>722</v>
      </c>
      <c r="N1027" s="32" t="s">
        <v>75</v>
      </c>
      <c r="O1027" s="31"/>
      <c r="P1027" s="31"/>
      <c r="Q1027" s="28" t="s">
        <v>76</v>
      </c>
      <c r="R1027" s="29"/>
      <c r="S1027" s="31"/>
      <c r="T1027" s="31"/>
      <c r="U1027" s="28" t="s">
        <v>75</v>
      </c>
      <c r="V1027" s="28" t="s">
        <v>75</v>
      </c>
      <c r="W1027" s="31"/>
    </row>
    <row r="1028" spans="1:23" s="12" customFormat="1">
      <c r="A1028" s="46" t="s">
        <v>572</v>
      </c>
      <c r="B1028" s="28" t="s">
        <v>1337</v>
      </c>
      <c r="C1028" s="28" t="s">
        <v>978</v>
      </c>
      <c r="D1028" s="31" t="s">
        <v>1160</v>
      </c>
      <c r="E1028" s="31" t="s">
        <v>1210</v>
      </c>
      <c r="F1028" s="35" t="s">
        <v>1413</v>
      </c>
      <c r="G1028" s="35" t="s">
        <v>1005</v>
      </c>
      <c r="H1028" s="35" t="s">
        <v>998</v>
      </c>
      <c r="I1028" s="28" t="e">
        <f>VLOOKUP(F1028,표준용어사전!$B:$D,3,FALSE)</f>
        <v>#N/A</v>
      </c>
      <c r="J1028" s="33" t="s">
        <v>570</v>
      </c>
      <c r="K1028" s="34" t="s">
        <v>986</v>
      </c>
      <c r="L1028" s="29" t="s">
        <v>571</v>
      </c>
      <c r="M1028" s="29" t="s">
        <v>961</v>
      </c>
      <c r="N1028" s="32" t="s">
        <v>75</v>
      </c>
      <c r="O1028" s="31"/>
      <c r="P1028" s="31" t="s">
        <v>1370</v>
      </c>
      <c r="Q1028" s="28" t="s">
        <v>76</v>
      </c>
      <c r="R1028" s="29"/>
      <c r="S1028" s="31"/>
      <c r="T1028" s="31"/>
      <c r="U1028" s="28" t="s">
        <v>75</v>
      </c>
      <c r="V1028" s="28" t="s">
        <v>75</v>
      </c>
      <c r="W1028" s="31"/>
    </row>
    <row r="1029" spans="1:23" s="12" customFormat="1">
      <c r="A1029" s="46" t="s">
        <v>572</v>
      </c>
      <c r="B1029" s="28" t="s">
        <v>1337</v>
      </c>
      <c r="C1029" s="28" t="s">
        <v>978</v>
      </c>
      <c r="D1029" s="31" t="s">
        <v>1160</v>
      </c>
      <c r="E1029" s="31" t="s">
        <v>1211</v>
      </c>
      <c r="F1029" s="35" t="s">
        <v>1438</v>
      </c>
      <c r="G1029" s="35" t="s">
        <v>1006</v>
      </c>
      <c r="H1029" s="35" t="s">
        <v>998</v>
      </c>
      <c r="I1029" s="28" t="e">
        <f>VLOOKUP(F1029,표준용어사전!$B:$D,3,FALSE)</f>
        <v>#N/A</v>
      </c>
      <c r="J1029" s="33" t="s">
        <v>719</v>
      </c>
      <c r="K1029" s="34" t="s">
        <v>927</v>
      </c>
      <c r="L1029" s="29" t="s">
        <v>571</v>
      </c>
      <c r="M1029" s="29" t="s">
        <v>726</v>
      </c>
      <c r="N1029" s="32" t="s">
        <v>75</v>
      </c>
      <c r="O1029" s="31"/>
      <c r="P1029" s="31"/>
      <c r="Q1029" s="28" t="s">
        <v>76</v>
      </c>
      <c r="R1029" s="29"/>
      <c r="S1029" s="31"/>
      <c r="T1029" s="28" t="s">
        <v>574</v>
      </c>
      <c r="U1029" s="28" t="s">
        <v>75</v>
      </c>
      <c r="V1029" s="28" t="s">
        <v>75</v>
      </c>
      <c r="W1029" s="31"/>
    </row>
    <row r="1030" spans="1:23" s="12" customFormat="1">
      <c r="A1030" s="46" t="s">
        <v>572</v>
      </c>
      <c r="B1030" s="28" t="s">
        <v>1337</v>
      </c>
      <c r="C1030" s="28" t="s">
        <v>978</v>
      </c>
      <c r="D1030" s="31" t="s">
        <v>1161</v>
      </c>
      <c r="E1030" s="31" t="s">
        <v>1212</v>
      </c>
      <c r="F1030" s="28" t="s">
        <v>1434</v>
      </c>
      <c r="G1030" s="28" t="s">
        <v>1434</v>
      </c>
      <c r="H1030" s="35" t="s">
        <v>1007</v>
      </c>
      <c r="I1030" s="28" t="str">
        <f>VLOOKUP(F1030,표준용어사전!$B:$D,3,FALSE)</f>
        <v>명V50</v>
      </c>
      <c r="J1030" s="33" t="s">
        <v>78</v>
      </c>
      <c r="K1030" s="34" t="s">
        <v>986</v>
      </c>
      <c r="L1030" s="29" t="s">
        <v>571</v>
      </c>
      <c r="M1030" s="29" t="s">
        <v>727</v>
      </c>
      <c r="N1030" s="32" t="s">
        <v>973</v>
      </c>
      <c r="O1030" s="28"/>
      <c r="P1030" s="31" t="s">
        <v>1369</v>
      </c>
      <c r="Q1030" s="28" t="s">
        <v>76</v>
      </c>
      <c r="R1030" s="29"/>
      <c r="S1030" s="31"/>
      <c r="T1030" s="31"/>
      <c r="U1030" s="28" t="s">
        <v>75</v>
      </c>
      <c r="V1030" s="28" t="s">
        <v>75</v>
      </c>
      <c r="W1030" s="31"/>
    </row>
    <row r="1031" spans="1:23" s="12" customFormat="1">
      <c r="A1031" s="46" t="s">
        <v>572</v>
      </c>
      <c r="B1031" s="28" t="s">
        <v>1337</v>
      </c>
      <c r="C1031" s="28" t="s">
        <v>978</v>
      </c>
      <c r="D1031" s="31" t="s">
        <v>1161</v>
      </c>
      <c r="E1031" s="31" t="s">
        <v>1213</v>
      </c>
      <c r="F1031" s="28" t="s">
        <v>1008</v>
      </c>
      <c r="G1031" s="28" t="s">
        <v>1008</v>
      </c>
      <c r="H1031" s="35" t="s">
        <v>1007</v>
      </c>
      <c r="I1031" s="28" t="e">
        <f>VLOOKUP(F1031,표준용어사전!$B:$D,3,FALSE)</f>
        <v>#N/A</v>
      </c>
      <c r="J1031" s="33" t="s">
        <v>78</v>
      </c>
      <c r="K1031" s="34" t="s">
        <v>986</v>
      </c>
      <c r="L1031" s="29" t="s">
        <v>571</v>
      </c>
      <c r="M1031" s="29" t="s">
        <v>727</v>
      </c>
      <c r="N1031" s="32" t="s">
        <v>75</v>
      </c>
      <c r="O1031" s="31"/>
      <c r="P1031" s="31"/>
      <c r="Q1031" s="28" t="s">
        <v>76</v>
      </c>
      <c r="R1031" s="29"/>
      <c r="S1031" s="31"/>
      <c r="T1031" s="31"/>
      <c r="U1031" s="28" t="s">
        <v>75</v>
      </c>
      <c r="V1031" s="28" t="s">
        <v>75</v>
      </c>
      <c r="W1031" s="31"/>
    </row>
    <row r="1032" spans="1:23" s="12" customFormat="1">
      <c r="A1032" s="46" t="s">
        <v>572</v>
      </c>
      <c r="B1032" s="28" t="s">
        <v>1337</v>
      </c>
      <c r="C1032" s="28" t="s">
        <v>978</v>
      </c>
      <c r="D1032" s="31" t="s">
        <v>1161</v>
      </c>
      <c r="E1032" s="31" t="s">
        <v>1214</v>
      </c>
      <c r="F1032" s="28" t="s">
        <v>1508</v>
      </c>
      <c r="G1032" s="28" t="s">
        <v>1484</v>
      </c>
      <c r="H1032" s="35" t="s">
        <v>1007</v>
      </c>
      <c r="I1032" s="28" t="e">
        <f>VLOOKUP(F1032,표준용어사전!$B:$D,3,FALSE)</f>
        <v>#N/A</v>
      </c>
      <c r="J1032" s="33" t="s">
        <v>709</v>
      </c>
      <c r="K1032" s="34" t="s">
        <v>985</v>
      </c>
      <c r="L1032" s="29" t="s">
        <v>571</v>
      </c>
      <c r="M1032" s="29" t="s">
        <v>722</v>
      </c>
      <c r="N1032" s="32" t="s">
        <v>75</v>
      </c>
      <c r="O1032" s="31"/>
      <c r="P1032" s="31"/>
      <c r="Q1032" s="28" t="s">
        <v>76</v>
      </c>
      <c r="R1032" s="29"/>
      <c r="S1032" s="31"/>
      <c r="T1032" s="31"/>
      <c r="U1032" s="28" t="s">
        <v>75</v>
      </c>
      <c r="V1032" s="28" t="s">
        <v>75</v>
      </c>
      <c r="W1032" s="31"/>
    </row>
    <row r="1033" spans="1:23" s="12" customFormat="1">
      <c r="A1033" s="46" t="s">
        <v>572</v>
      </c>
      <c r="B1033" s="28" t="s">
        <v>1337</v>
      </c>
      <c r="C1033" s="28" t="s">
        <v>978</v>
      </c>
      <c r="D1033" s="31" t="s">
        <v>1161</v>
      </c>
      <c r="E1033" s="31" t="s">
        <v>1348</v>
      </c>
      <c r="F1033" s="28" t="s">
        <v>1347</v>
      </c>
      <c r="G1033" s="28" t="s">
        <v>1347</v>
      </c>
      <c r="H1033" s="35" t="s">
        <v>1007</v>
      </c>
      <c r="I1033" s="28" t="e">
        <f>VLOOKUP(F1033,표준용어사전!$B:$D,3,FALSE)</f>
        <v>#N/A</v>
      </c>
      <c r="J1033" s="33" t="s">
        <v>709</v>
      </c>
      <c r="K1033" s="34">
        <v>20</v>
      </c>
      <c r="L1033" s="29" t="s">
        <v>571</v>
      </c>
      <c r="M1033" s="29" t="s">
        <v>961</v>
      </c>
      <c r="N1033" s="32" t="s">
        <v>75</v>
      </c>
      <c r="O1033" s="31"/>
      <c r="P1033" s="31"/>
      <c r="Q1033" s="28" t="s">
        <v>76</v>
      </c>
      <c r="R1033" s="29"/>
      <c r="S1033" s="31"/>
      <c r="T1033" s="31"/>
      <c r="U1033" s="28" t="s">
        <v>75</v>
      </c>
      <c r="V1033" s="28" t="s">
        <v>75</v>
      </c>
      <c r="W1033" s="31"/>
    </row>
    <row r="1034" spans="1:23" s="12" customFormat="1">
      <c r="A1034" s="46" t="s">
        <v>572</v>
      </c>
      <c r="B1034" s="28" t="s">
        <v>1337</v>
      </c>
      <c r="C1034" s="28" t="s">
        <v>978</v>
      </c>
      <c r="D1034" s="31" t="s">
        <v>1161</v>
      </c>
      <c r="E1034" s="31" t="s">
        <v>1216</v>
      </c>
      <c r="F1034" s="28" t="s">
        <v>1010</v>
      </c>
      <c r="G1034" s="28" t="s">
        <v>1010</v>
      </c>
      <c r="H1034" s="35" t="s">
        <v>1007</v>
      </c>
      <c r="I1034" s="28" t="e">
        <f>VLOOKUP(F1034,표준용어사전!$B:$D,3,FALSE)</f>
        <v>#N/A</v>
      </c>
      <c r="J1034" s="33" t="s">
        <v>78</v>
      </c>
      <c r="K1034" s="34" t="s">
        <v>986</v>
      </c>
      <c r="L1034" s="29" t="s">
        <v>571</v>
      </c>
      <c r="M1034" s="29" t="s">
        <v>727</v>
      </c>
      <c r="N1034" s="32" t="s">
        <v>75</v>
      </c>
      <c r="O1034" s="31"/>
      <c r="P1034" s="31"/>
      <c r="Q1034" s="28" t="s">
        <v>76</v>
      </c>
      <c r="R1034" s="29"/>
      <c r="S1034" s="31"/>
      <c r="T1034" s="31"/>
      <c r="U1034" s="28" t="s">
        <v>75</v>
      </c>
      <c r="V1034" s="28" t="s">
        <v>75</v>
      </c>
      <c r="W1034" s="31"/>
    </row>
    <row r="1035" spans="1:23" s="12" customFormat="1">
      <c r="A1035" s="46" t="s">
        <v>572</v>
      </c>
      <c r="B1035" s="28" t="s">
        <v>1337</v>
      </c>
      <c r="C1035" s="28" t="s">
        <v>978</v>
      </c>
      <c r="D1035" s="31" t="s">
        <v>1161</v>
      </c>
      <c r="E1035" s="31" t="s">
        <v>1217</v>
      </c>
      <c r="F1035" s="28" t="s">
        <v>1011</v>
      </c>
      <c r="G1035" s="28" t="s">
        <v>1011</v>
      </c>
      <c r="H1035" s="35" t="s">
        <v>1007</v>
      </c>
      <c r="I1035" s="28" t="e">
        <f>VLOOKUP(F1035,표준용어사전!$B:$D,3,FALSE)</f>
        <v>#N/A</v>
      </c>
      <c r="J1035" s="33" t="s">
        <v>78</v>
      </c>
      <c r="K1035" s="34" t="s">
        <v>1002</v>
      </c>
      <c r="L1035" s="29" t="s">
        <v>571</v>
      </c>
      <c r="M1035" s="29" t="s">
        <v>720</v>
      </c>
      <c r="N1035" s="32" t="s">
        <v>75</v>
      </c>
      <c r="O1035" s="31"/>
      <c r="P1035" s="31"/>
      <c r="Q1035" s="28" t="s">
        <v>76</v>
      </c>
      <c r="R1035" s="29"/>
      <c r="S1035" s="31"/>
      <c r="T1035" s="31"/>
      <c r="U1035" s="28" t="s">
        <v>75</v>
      </c>
      <c r="V1035" s="28" t="s">
        <v>75</v>
      </c>
      <c r="W1035" s="31"/>
    </row>
    <row r="1036" spans="1:23" s="12" customFormat="1">
      <c r="A1036" s="46" t="s">
        <v>572</v>
      </c>
      <c r="B1036" s="28" t="s">
        <v>1337</v>
      </c>
      <c r="C1036" s="28" t="s">
        <v>978</v>
      </c>
      <c r="D1036" s="31" t="s">
        <v>1161</v>
      </c>
      <c r="E1036" s="31" t="s">
        <v>1218</v>
      </c>
      <c r="F1036" s="28" t="s">
        <v>1012</v>
      </c>
      <c r="G1036" s="28" t="s">
        <v>1012</v>
      </c>
      <c r="H1036" s="35" t="s">
        <v>1007</v>
      </c>
      <c r="I1036" s="28" t="str">
        <f>VLOOKUP(F1036,표준용어사전!$B:$D,3,FALSE)</f>
        <v>명V20</v>
      </c>
      <c r="J1036" s="33" t="s">
        <v>570</v>
      </c>
      <c r="K1036" s="34" t="s">
        <v>986</v>
      </c>
      <c r="L1036" s="29" t="s">
        <v>571</v>
      </c>
      <c r="M1036" s="29" t="s">
        <v>961</v>
      </c>
      <c r="N1036" s="32" t="s">
        <v>75</v>
      </c>
      <c r="O1036" s="31"/>
      <c r="P1036" s="31"/>
      <c r="Q1036" s="28" t="s">
        <v>76</v>
      </c>
      <c r="R1036" s="29"/>
      <c r="S1036" s="31"/>
      <c r="T1036" s="31"/>
      <c r="U1036" s="28" t="s">
        <v>75</v>
      </c>
      <c r="V1036" s="28" t="s">
        <v>75</v>
      </c>
      <c r="W1036" s="31"/>
    </row>
    <row r="1037" spans="1:23" s="12" customFormat="1">
      <c r="A1037" s="46" t="s">
        <v>572</v>
      </c>
      <c r="B1037" s="28" t="s">
        <v>1337</v>
      </c>
      <c r="C1037" s="28" t="s">
        <v>978</v>
      </c>
      <c r="D1037" s="31" t="s">
        <v>1161</v>
      </c>
      <c r="E1037" s="31" t="s">
        <v>1219</v>
      </c>
      <c r="F1037" s="28" t="s">
        <v>1013</v>
      </c>
      <c r="G1037" s="28" t="s">
        <v>1013</v>
      </c>
      <c r="H1037" s="35" t="s">
        <v>1007</v>
      </c>
      <c r="I1037" s="28" t="str">
        <f>VLOOKUP(F1037,표준용어사전!$B:$D,3,FALSE)</f>
        <v>명V20</v>
      </c>
      <c r="J1037" s="33" t="s">
        <v>570</v>
      </c>
      <c r="K1037" s="34" t="s">
        <v>986</v>
      </c>
      <c r="L1037" s="29" t="s">
        <v>571</v>
      </c>
      <c r="M1037" s="29" t="s">
        <v>961</v>
      </c>
      <c r="N1037" s="32" t="s">
        <v>75</v>
      </c>
      <c r="O1037" s="31"/>
      <c r="P1037" s="31"/>
      <c r="Q1037" s="28" t="s">
        <v>76</v>
      </c>
      <c r="R1037" s="29"/>
      <c r="S1037" s="31"/>
      <c r="T1037" s="31"/>
      <c r="U1037" s="28" t="s">
        <v>75</v>
      </c>
      <c r="V1037" s="28" t="s">
        <v>75</v>
      </c>
      <c r="W1037" s="31"/>
    </row>
    <row r="1038" spans="1:23" s="12" customFormat="1">
      <c r="A1038" s="46" t="s">
        <v>572</v>
      </c>
      <c r="B1038" s="28" t="s">
        <v>1337</v>
      </c>
      <c r="C1038" s="28" t="s">
        <v>978</v>
      </c>
      <c r="D1038" s="31" t="s">
        <v>1161</v>
      </c>
      <c r="E1038" s="31" t="s">
        <v>1220</v>
      </c>
      <c r="F1038" s="28" t="s">
        <v>1530</v>
      </c>
      <c r="G1038" s="28" t="s">
        <v>1485</v>
      </c>
      <c r="H1038" s="35" t="s">
        <v>1007</v>
      </c>
      <c r="I1038" s="28" t="e">
        <f>VLOOKUP(F1038,표준용어사전!$B:$D,3,FALSE)</f>
        <v>#N/A</v>
      </c>
      <c r="J1038" s="33" t="s">
        <v>570</v>
      </c>
      <c r="K1038" s="34" t="s">
        <v>985</v>
      </c>
      <c r="L1038" s="29" t="s">
        <v>571</v>
      </c>
      <c r="M1038" s="29" t="s">
        <v>722</v>
      </c>
      <c r="N1038" s="32" t="s">
        <v>75</v>
      </c>
      <c r="O1038" s="31"/>
      <c r="P1038" s="31"/>
      <c r="Q1038" s="28" t="s">
        <v>76</v>
      </c>
      <c r="R1038" s="29"/>
      <c r="S1038" s="31"/>
      <c r="T1038" s="31"/>
      <c r="U1038" s="28" t="s">
        <v>75</v>
      </c>
      <c r="V1038" s="28" t="s">
        <v>75</v>
      </c>
      <c r="W1038" s="31"/>
    </row>
    <row r="1039" spans="1:23" s="12" customFormat="1">
      <c r="A1039" s="46" t="s">
        <v>572</v>
      </c>
      <c r="B1039" s="28" t="s">
        <v>1337</v>
      </c>
      <c r="C1039" s="28" t="s">
        <v>978</v>
      </c>
      <c r="D1039" s="31" t="s">
        <v>1161</v>
      </c>
      <c r="E1039" s="31" t="s">
        <v>1221</v>
      </c>
      <c r="F1039" s="28" t="s">
        <v>1015</v>
      </c>
      <c r="G1039" s="28" t="s">
        <v>1015</v>
      </c>
      <c r="H1039" s="35" t="s">
        <v>1007</v>
      </c>
      <c r="I1039" s="28" t="e">
        <f>VLOOKUP(F1039,표준용어사전!$B:$D,3,FALSE)</f>
        <v>#N/A</v>
      </c>
      <c r="J1039" s="33" t="s">
        <v>570</v>
      </c>
      <c r="K1039" s="34" t="s">
        <v>986</v>
      </c>
      <c r="L1039" s="29" t="s">
        <v>571</v>
      </c>
      <c r="M1039" s="29" t="s">
        <v>961</v>
      </c>
      <c r="N1039" s="32" t="s">
        <v>973</v>
      </c>
      <c r="O1039" s="31" t="s">
        <v>641</v>
      </c>
      <c r="P1039" s="31"/>
      <c r="Q1039" s="28" t="s">
        <v>76</v>
      </c>
      <c r="R1039" s="29"/>
      <c r="S1039" s="31"/>
      <c r="T1039" s="31"/>
      <c r="U1039" s="28" t="s">
        <v>75</v>
      </c>
      <c r="V1039" s="28" t="s">
        <v>75</v>
      </c>
      <c r="W1039" s="31"/>
    </row>
    <row r="1040" spans="1:23" s="12" customFormat="1">
      <c r="A1040" s="46" t="s">
        <v>572</v>
      </c>
      <c r="B1040" s="28" t="s">
        <v>1337</v>
      </c>
      <c r="C1040" s="28" t="s">
        <v>978</v>
      </c>
      <c r="D1040" s="31" t="s">
        <v>1161</v>
      </c>
      <c r="E1040" s="31" t="s">
        <v>1222</v>
      </c>
      <c r="F1040" s="28" t="s">
        <v>1016</v>
      </c>
      <c r="G1040" s="28" t="s">
        <v>1016</v>
      </c>
      <c r="H1040" s="35" t="s">
        <v>1007</v>
      </c>
      <c r="I1040" s="28" t="e">
        <f>VLOOKUP(F1040,표준용어사전!$B:$D,3,FALSE)</f>
        <v>#N/A</v>
      </c>
      <c r="J1040" s="33" t="s">
        <v>570</v>
      </c>
      <c r="K1040" s="34" t="s">
        <v>986</v>
      </c>
      <c r="L1040" s="29" t="s">
        <v>571</v>
      </c>
      <c r="M1040" s="29" t="s">
        <v>961</v>
      </c>
      <c r="N1040" s="32" t="s">
        <v>973</v>
      </c>
      <c r="O1040" s="31" t="s">
        <v>573</v>
      </c>
      <c r="P1040" s="31"/>
      <c r="Q1040" s="28" t="s">
        <v>76</v>
      </c>
      <c r="R1040" s="29"/>
      <c r="S1040" s="31"/>
      <c r="T1040" s="31"/>
      <c r="U1040" s="28" t="s">
        <v>75</v>
      </c>
      <c r="V1040" s="28" t="s">
        <v>75</v>
      </c>
      <c r="W1040" s="31"/>
    </row>
    <row r="1041" spans="1:23" s="12" customFormat="1">
      <c r="A1041" s="46" t="s">
        <v>572</v>
      </c>
      <c r="B1041" s="28" t="s">
        <v>1337</v>
      </c>
      <c r="C1041" s="28" t="s">
        <v>978</v>
      </c>
      <c r="D1041" s="31" t="s">
        <v>1162</v>
      </c>
      <c r="E1041" s="31" t="s">
        <v>1450</v>
      </c>
      <c r="F1041" s="35" t="s">
        <v>1052</v>
      </c>
      <c r="G1041" s="35" t="s">
        <v>1052</v>
      </c>
      <c r="H1041" s="35" t="s">
        <v>1017</v>
      </c>
      <c r="I1041" s="28" t="e">
        <f>VLOOKUP(F1041,표준용어사전!$B:$D,3,FALSE)</f>
        <v>#N/A</v>
      </c>
      <c r="J1041" s="33" t="s">
        <v>78</v>
      </c>
      <c r="K1041" s="34" t="s">
        <v>986</v>
      </c>
      <c r="L1041" s="29" t="s">
        <v>571</v>
      </c>
      <c r="M1041" s="29" t="s">
        <v>727</v>
      </c>
      <c r="N1041" s="32" t="s">
        <v>75</v>
      </c>
      <c r="O1041" s="31"/>
      <c r="P1041" s="31"/>
      <c r="Q1041" s="28" t="s">
        <v>76</v>
      </c>
      <c r="R1041" s="29"/>
      <c r="S1041" s="31"/>
      <c r="T1041" s="31"/>
      <c r="U1041" s="28" t="s">
        <v>75</v>
      </c>
      <c r="V1041" s="28" t="s">
        <v>75</v>
      </c>
      <c r="W1041" s="31"/>
    </row>
    <row r="1042" spans="1:23" s="12" customFormat="1">
      <c r="A1042" s="46" t="s">
        <v>572</v>
      </c>
      <c r="B1042" s="28" t="s">
        <v>1337</v>
      </c>
      <c r="C1042" s="28" t="s">
        <v>978</v>
      </c>
      <c r="D1042" s="31" t="s">
        <v>1162</v>
      </c>
      <c r="E1042" s="31" t="s">
        <v>1224</v>
      </c>
      <c r="F1042" s="28" t="s">
        <v>1509</v>
      </c>
      <c r="G1042" s="28" t="s">
        <v>1486</v>
      </c>
      <c r="H1042" s="35" t="s">
        <v>1017</v>
      </c>
      <c r="I1042" s="28" t="str">
        <f>VLOOKUP(F1042,표준용어사전!$B:$D,3,FALSE)</f>
        <v>코드V30</v>
      </c>
      <c r="J1042" s="33" t="s">
        <v>78</v>
      </c>
      <c r="K1042" s="34" t="s">
        <v>996</v>
      </c>
      <c r="L1042" s="29" t="s">
        <v>571</v>
      </c>
      <c r="M1042" s="29" t="s">
        <v>1018</v>
      </c>
      <c r="N1042" s="32" t="s">
        <v>75</v>
      </c>
      <c r="O1042" s="31"/>
      <c r="P1042" s="31"/>
      <c r="Q1042" s="28" t="s">
        <v>76</v>
      </c>
      <c r="R1042" s="29"/>
      <c r="S1042" s="31"/>
      <c r="T1042" s="31"/>
      <c r="U1042" s="28" t="s">
        <v>75</v>
      </c>
      <c r="V1042" s="28" t="s">
        <v>75</v>
      </c>
      <c r="W1042" s="31"/>
    </row>
    <row r="1043" spans="1:23" s="12" customFormat="1">
      <c r="A1043" s="46" t="s">
        <v>572</v>
      </c>
      <c r="B1043" s="28" t="s">
        <v>1337</v>
      </c>
      <c r="C1043" s="28" t="s">
        <v>978</v>
      </c>
      <c r="D1043" s="31" t="s">
        <v>1162</v>
      </c>
      <c r="E1043" s="31" t="s">
        <v>1221</v>
      </c>
      <c r="F1043" s="28" t="s">
        <v>1015</v>
      </c>
      <c r="G1043" s="28" t="s">
        <v>1015</v>
      </c>
      <c r="H1043" s="35" t="s">
        <v>1017</v>
      </c>
      <c r="I1043" s="28" t="e">
        <f>VLOOKUP(F1043,표준용어사전!$B:$D,3,FALSE)</f>
        <v>#N/A</v>
      </c>
      <c r="J1043" s="33" t="s">
        <v>570</v>
      </c>
      <c r="K1043" s="34" t="s">
        <v>986</v>
      </c>
      <c r="L1043" s="29" t="s">
        <v>571</v>
      </c>
      <c r="M1043" s="29" t="s">
        <v>961</v>
      </c>
      <c r="N1043" s="32" t="s">
        <v>75</v>
      </c>
      <c r="O1043" s="31"/>
      <c r="P1043" s="31"/>
      <c r="Q1043" s="28" t="s">
        <v>76</v>
      </c>
      <c r="R1043" s="29"/>
      <c r="S1043" s="31"/>
      <c r="T1043" s="31"/>
      <c r="U1043" s="28" t="s">
        <v>75</v>
      </c>
      <c r="V1043" s="28" t="s">
        <v>75</v>
      </c>
      <c r="W1043" s="31"/>
    </row>
    <row r="1044" spans="1:23" s="12" customFormat="1">
      <c r="A1044" s="46" t="s">
        <v>572</v>
      </c>
      <c r="B1044" s="28" t="s">
        <v>1337</v>
      </c>
      <c r="C1044" s="28" t="s">
        <v>978</v>
      </c>
      <c r="D1044" s="31" t="s">
        <v>1162</v>
      </c>
      <c r="E1044" s="31" t="s">
        <v>1225</v>
      </c>
      <c r="F1044" s="35" t="s">
        <v>1019</v>
      </c>
      <c r="G1044" s="35" t="s">
        <v>1019</v>
      </c>
      <c r="H1044" s="35" t="s">
        <v>1017</v>
      </c>
      <c r="I1044" s="28" t="e">
        <f>VLOOKUP(F1044,표준용어사전!$B:$D,3,FALSE)</f>
        <v>#N/A</v>
      </c>
      <c r="J1044" s="33" t="s">
        <v>16</v>
      </c>
      <c r="K1044" s="34" t="s">
        <v>927</v>
      </c>
      <c r="L1044" s="29" t="s">
        <v>571</v>
      </c>
      <c r="M1044" s="29" t="s">
        <v>726</v>
      </c>
      <c r="N1044" s="32" t="s">
        <v>973</v>
      </c>
      <c r="O1044" s="31"/>
      <c r="P1044" s="31"/>
      <c r="Q1044" s="28" t="s">
        <v>76</v>
      </c>
      <c r="R1044" s="29"/>
      <c r="S1044" s="31"/>
      <c r="T1044" s="28" t="s">
        <v>1020</v>
      </c>
      <c r="U1044" s="28" t="s">
        <v>75</v>
      </c>
      <c r="V1044" s="28" t="s">
        <v>75</v>
      </c>
      <c r="W1044" s="31"/>
    </row>
    <row r="1045" spans="1:23" s="12" customFormat="1">
      <c r="A1045" s="46" t="s">
        <v>572</v>
      </c>
      <c r="B1045" s="28" t="s">
        <v>1337</v>
      </c>
      <c r="C1045" s="28" t="s">
        <v>978</v>
      </c>
      <c r="D1045" s="31" t="s">
        <v>1162</v>
      </c>
      <c r="E1045" s="31" t="s">
        <v>1226</v>
      </c>
      <c r="F1045" s="35" t="s">
        <v>1536</v>
      </c>
      <c r="G1045" s="35" t="s">
        <v>1021</v>
      </c>
      <c r="H1045" s="35" t="s">
        <v>1017</v>
      </c>
      <c r="I1045" s="28" t="e">
        <f>VLOOKUP(F1045,표준용어사전!$B:$D,3,FALSE)</f>
        <v>#N/A</v>
      </c>
      <c r="J1045" s="33" t="s">
        <v>570</v>
      </c>
      <c r="K1045" s="34" t="s">
        <v>985</v>
      </c>
      <c r="L1045" s="29" t="s">
        <v>571</v>
      </c>
      <c r="M1045" s="29" t="s">
        <v>722</v>
      </c>
      <c r="N1045" s="32" t="s">
        <v>75</v>
      </c>
      <c r="O1045" s="31"/>
      <c r="P1045" s="31"/>
      <c r="Q1045" s="28" t="s">
        <v>76</v>
      </c>
      <c r="R1045" s="29"/>
      <c r="S1045" s="31"/>
      <c r="T1045" s="31"/>
      <c r="U1045" s="28" t="s">
        <v>75</v>
      </c>
      <c r="V1045" s="28" t="s">
        <v>75</v>
      </c>
      <c r="W1045" s="31"/>
    </row>
    <row r="1046" spans="1:23" s="12" customFormat="1">
      <c r="A1046" s="46" t="s">
        <v>572</v>
      </c>
      <c r="B1046" s="28" t="s">
        <v>1337</v>
      </c>
      <c r="C1046" s="28" t="s">
        <v>978</v>
      </c>
      <c r="D1046" s="31" t="s">
        <v>1163</v>
      </c>
      <c r="E1046" s="31" t="s">
        <v>1218</v>
      </c>
      <c r="F1046" s="28" t="s">
        <v>1012</v>
      </c>
      <c r="G1046" s="28" t="s">
        <v>1012</v>
      </c>
      <c r="H1046" s="35" t="s">
        <v>1022</v>
      </c>
      <c r="I1046" s="28" t="str">
        <f>VLOOKUP(F1046,표준용어사전!$B:$D,3,FALSE)</f>
        <v>명V20</v>
      </c>
      <c r="J1046" s="33" t="s">
        <v>570</v>
      </c>
      <c r="K1046" s="34" t="s">
        <v>986</v>
      </c>
      <c r="L1046" s="29" t="s">
        <v>571</v>
      </c>
      <c r="M1046" s="29" t="s">
        <v>961</v>
      </c>
      <c r="N1046" s="32" t="s">
        <v>973</v>
      </c>
      <c r="O1046" s="31" t="s">
        <v>641</v>
      </c>
      <c r="P1046" s="31"/>
      <c r="Q1046" s="28" t="s">
        <v>76</v>
      </c>
      <c r="R1046" s="29"/>
      <c r="S1046" s="31"/>
      <c r="T1046" s="31"/>
      <c r="U1046" s="28" t="s">
        <v>75</v>
      </c>
      <c r="V1046" s="28" t="s">
        <v>75</v>
      </c>
      <c r="W1046" s="28"/>
    </row>
    <row r="1047" spans="1:23" s="12" customFormat="1">
      <c r="A1047" s="46" t="s">
        <v>572</v>
      </c>
      <c r="B1047" s="28" t="s">
        <v>1337</v>
      </c>
      <c r="C1047" s="28" t="s">
        <v>978</v>
      </c>
      <c r="D1047" s="31" t="s">
        <v>1163</v>
      </c>
      <c r="E1047" s="31" t="s">
        <v>1227</v>
      </c>
      <c r="F1047" s="28" t="s">
        <v>1023</v>
      </c>
      <c r="G1047" s="28" t="s">
        <v>1023</v>
      </c>
      <c r="H1047" s="35" t="s">
        <v>1022</v>
      </c>
      <c r="I1047" s="28" t="e">
        <f>VLOOKUP(F1047,표준용어사전!$B:$D,3,FALSE)</f>
        <v>#N/A</v>
      </c>
      <c r="J1047" s="33" t="s">
        <v>78</v>
      </c>
      <c r="K1047" s="34" t="s">
        <v>982</v>
      </c>
      <c r="L1047" s="29" t="s">
        <v>571</v>
      </c>
      <c r="M1047" s="29" t="s">
        <v>983</v>
      </c>
      <c r="N1047" s="32" t="s">
        <v>973</v>
      </c>
      <c r="O1047" s="31"/>
      <c r="P1047" s="31"/>
      <c r="Q1047" s="28" t="s">
        <v>76</v>
      </c>
      <c r="R1047" s="29"/>
      <c r="S1047" s="31"/>
      <c r="T1047" s="31"/>
      <c r="U1047" s="28" t="s">
        <v>75</v>
      </c>
      <c r="V1047" s="28" t="s">
        <v>75</v>
      </c>
      <c r="W1047" s="28"/>
    </row>
    <row r="1048" spans="1:23" s="12" customFormat="1">
      <c r="A1048" s="46" t="s">
        <v>572</v>
      </c>
      <c r="B1048" s="28" t="s">
        <v>1337</v>
      </c>
      <c r="C1048" s="28" t="s">
        <v>978</v>
      </c>
      <c r="D1048" s="31" t="s">
        <v>1163</v>
      </c>
      <c r="E1048" s="31" t="s">
        <v>1228</v>
      </c>
      <c r="F1048" s="28" t="s">
        <v>1443</v>
      </c>
      <c r="G1048" s="28" t="s">
        <v>1024</v>
      </c>
      <c r="H1048" s="35" t="s">
        <v>1022</v>
      </c>
      <c r="I1048" s="28" t="e">
        <f>VLOOKUP(F1048,표준용어사전!$B:$D,3,FALSE)</f>
        <v>#N/A</v>
      </c>
      <c r="J1048" s="33" t="s">
        <v>16</v>
      </c>
      <c r="K1048" s="34" t="s">
        <v>927</v>
      </c>
      <c r="L1048" s="29" t="s">
        <v>571</v>
      </c>
      <c r="M1048" s="29" t="s">
        <v>726</v>
      </c>
      <c r="N1048" s="32" t="s">
        <v>973</v>
      </c>
      <c r="O1048" s="31"/>
      <c r="P1048" s="31"/>
      <c r="Q1048" s="28" t="s">
        <v>76</v>
      </c>
      <c r="R1048" s="29"/>
      <c r="S1048" s="31"/>
      <c r="T1048" s="28" t="s">
        <v>574</v>
      </c>
      <c r="U1048" s="28" t="s">
        <v>75</v>
      </c>
      <c r="V1048" s="28" t="s">
        <v>75</v>
      </c>
      <c r="W1048" s="28"/>
    </row>
    <row r="1049" spans="1:23" s="12" customFormat="1">
      <c r="A1049" s="46" t="s">
        <v>572</v>
      </c>
      <c r="B1049" s="28" t="s">
        <v>1337</v>
      </c>
      <c r="C1049" s="28" t="s">
        <v>978</v>
      </c>
      <c r="D1049" s="31" t="s">
        <v>1163</v>
      </c>
      <c r="E1049" s="31" t="s">
        <v>1229</v>
      </c>
      <c r="F1049" s="28" t="s">
        <v>1025</v>
      </c>
      <c r="G1049" s="28" t="s">
        <v>1025</v>
      </c>
      <c r="H1049" s="35" t="s">
        <v>1022</v>
      </c>
      <c r="I1049" s="28" t="e">
        <f>VLOOKUP(F1049,표준용어사전!$B:$D,3,FALSE)</f>
        <v>#N/A</v>
      </c>
      <c r="J1049" s="33" t="s">
        <v>78</v>
      </c>
      <c r="K1049" s="34" t="s">
        <v>1026</v>
      </c>
      <c r="L1049" s="29" t="s">
        <v>571</v>
      </c>
      <c r="M1049" s="29" t="s">
        <v>729</v>
      </c>
      <c r="N1049" s="32" t="s">
        <v>75</v>
      </c>
      <c r="O1049" s="31"/>
      <c r="P1049" s="31"/>
      <c r="Q1049" s="28" t="s">
        <v>76</v>
      </c>
      <c r="R1049" s="29"/>
      <c r="S1049" s="31"/>
      <c r="T1049" s="31"/>
      <c r="U1049" s="28" t="s">
        <v>75</v>
      </c>
      <c r="V1049" s="28" t="s">
        <v>75</v>
      </c>
      <c r="W1049" s="28"/>
    </row>
    <row r="1050" spans="1:23" s="12" customFormat="1">
      <c r="A1050" s="46" t="s">
        <v>572</v>
      </c>
      <c r="B1050" s="28" t="s">
        <v>1337</v>
      </c>
      <c r="C1050" s="28" t="s">
        <v>978</v>
      </c>
      <c r="D1050" s="31" t="s">
        <v>1164</v>
      </c>
      <c r="E1050" s="31" t="s">
        <v>1224</v>
      </c>
      <c r="F1050" s="28" t="s">
        <v>1509</v>
      </c>
      <c r="G1050" s="28" t="s">
        <v>1486</v>
      </c>
      <c r="H1050" s="35" t="s">
        <v>1027</v>
      </c>
      <c r="I1050" s="28" t="str">
        <f>VLOOKUP(F1050,표준용어사전!$B:$D,3,FALSE)</f>
        <v>코드V30</v>
      </c>
      <c r="J1050" s="33" t="s">
        <v>78</v>
      </c>
      <c r="K1050" s="34" t="s">
        <v>996</v>
      </c>
      <c r="L1050" s="29" t="s">
        <v>571</v>
      </c>
      <c r="M1050" s="29" t="s">
        <v>1018</v>
      </c>
      <c r="N1050" s="32" t="s">
        <v>973</v>
      </c>
      <c r="O1050" s="31" t="s">
        <v>641</v>
      </c>
      <c r="P1050" s="31"/>
      <c r="Q1050" s="28" t="s">
        <v>76</v>
      </c>
      <c r="R1050" s="29"/>
      <c r="S1050" s="31"/>
      <c r="T1050" s="31"/>
      <c r="U1050" s="28" t="s">
        <v>75</v>
      </c>
      <c r="V1050" s="28" t="s">
        <v>75</v>
      </c>
      <c r="W1050" s="31"/>
    </row>
    <row r="1051" spans="1:23" s="12" customFormat="1">
      <c r="A1051" s="46" t="s">
        <v>572</v>
      </c>
      <c r="B1051" s="28" t="s">
        <v>1337</v>
      </c>
      <c r="C1051" s="28" t="s">
        <v>978</v>
      </c>
      <c r="D1051" s="31" t="s">
        <v>1164</v>
      </c>
      <c r="E1051" s="31" t="s">
        <v>1230</v>
      </c>
      <c r="F1051" s="28" t="s">
        <v>1028</v>
      </c>
      <c r="G1051" s="28" t="s">
        <v>1028</v>
      </c>
      <c r="H1051" s="35" t="s">
        <v>1027</v>
      </c>
      <c r="I1051" s="28" t="str">
        <f>VLOOKUP(F1051,표준용어사전!$B:$D,3,FALSE)</f>
        <v>명V20</v>
      </c>
      <c r="J1051" s="33" t="s">
        <v>78</v>
      </c>
      <c r="K1051" s="34" t="s">
        <v>982</v>
      </c>
      <c r="L1051" s="29" t="s">
        <v>571</v>
      </c>
      <c r="M1051" s="29" t="s">
        <v>983</v>
      </c>
      <c r="N1051" s="32" t="s">
        <v>973</v>
      </c>
      <c r="O1051" s="31"/>
      <c r="P1051" s="31"/>
      <c r="Q1051" s="28" t="s">
        <v>76</v>
      </c>
      <c r="R1051" s="29"/>
      <c r="S1051" s="31"/>
      <c r="T1051" s="31"/>
      <c r="U1051" s="28" t="s">
        <v>75</v>
      </c>
      <c r="V1051" s="28" t="s">
        <v>75</v>
      </c>
      <c r="W1051" s="31"/>
    </row>
    <row r="1052" spans="1:23" s="12" customFormat="1">
      <c r="A1052" s="46" t="s">
        <v>572</v>
      </c>
      <c r="B1052" s="28" t="s">
        <v>1337</v>
      </c>
      <c r="C1052" s="28" t="s">
        <v>978</v>
      </c>
      <c r="D1052" s="31" t="s">
        <v>1164</v>
      </c>
      <c r="E1052" s="31" t="s">
        <v>1231</v>
      </c>
      <c r="F1052" s="28" t="s">
        <v>1029</v>
      </c>
      <c r="G1052" s="28" t="s">
        <v>1029</v>
      </c>
      <c r="H1052" s="35" t="s">
        <v>1027</v>
      </c>
      <c r="I1052" s="28" t="str">
        <f>VLOOKUP(F1052,표준용어사전!$B:$D,3,FALSE)</f>
        <v>내용V2000</v>
      </c>
      <c r="J1052" s="33" t="s">
        <v>78</v>
      </c>
      <c r="K1052" s="34" t="s">
        <v>984</v>
      </c>
      <c r="L1052" s="29" t="s">
        <v>571</v>
      </c>
      <c r="M1052" s="29" t="s">
        <v>715</v>
      </c>
      <c r="N1052" s="32" t="s">
        <v>75</v>
      </c>
      <c r="O1052" s="31"/>
      <c r="P1052" s="31"/>
      <c r="Q1052" s="28" t="s">
        <v>76</v>
      </c>
      <c r="R1052" s="29"/>
      <c r="S1052" s="31"/>
      <c r="T1052" s="31"/>
      <c r="U1052" s="28" t="s">
        <v>75</v>
      </c>
      <c r="V1052" s="28" t="s">
        <v>75</v>
      </c>
      <c r="W1052" s="31"/>
    </row>
    <row r="1053" spans="1:23" s="12" customFormat="1">
      <c r="A1053" s="46" t="s">
        <v>572</v>
      </c>
      <c r="B1053" s="28" t="s">
        <v>1337</v>
      </c>
      <c r="C1053" s="28" t="s">
        <v>978</v>
      </c>
      <c r="D1053" s="31" t="s">
        <v>1164</v>
      </c>
      <c r="E1053" s="31" t="s">
        <v>1232</v>
      </c>
      <c r="F1053" s="28" t="s">
        <v>1444</v>
      </c>
      <c r="G1053" s="28" t="s">
        <v>1030</v>
      </c>
      <c r="H1053" s="35" t="s">
        <v>1027</v>
      </c>
      <c r="I1053" s="28" t="e">
        <f>VLOOKUP(F1053,표준용어사전!$B:$D,3,FALSE)</f>
        <v>#N/A</v>
      </c>
      <c r="J1053" s="33" t="s">
        <v>16</v>
      </c>
      <c r="K1053" s="41" t="s">
        <v>927</v>
      </c>
      <c r="L1053" s="29" t="s">
        <v>571</v>
      </c>
      <c r="M1053" s="29" t="s">
        <v>726</v>
      </c>
      <c r="N1053" s="32" t="s">
        <v>973</v>
      </c>
      <c r="O1053" s="31"/>
      <c r="P1053" s="31"/>
      <c r="Q1053" s="28" t="s">
        <v>76</v>
      </c>
      <c r="R1053" s="29"/>
      <c r="S1053" s="31"/>
      <c r="T1053" s="28" t="s">
        <v>574</v>
      </c>
      <c r="U1053" s="28" t="s">
        <v>75</v>
      </c>
      <c r="V1053" s="28" t="s">
        <v>75</v>
      </c>
      <c r="W1053" s="31"/>
    </row>
    <row r="1054" spans="1:23" s="12" customFormat="1">
      <c r="A1054" s="46" t="s">
        <v>572</v>
      </c>
      <c r="B1054" s="28" t="s">
        <v>1337</v>
      </c>
      <c r="C1054" s="28" t="s">
        <v>978</v>
      </c>
      <c r="D1054" s="31" t="s">
        <v>1165</v>
      </c>
      <c r="E1054" s="31" t="s">
        <v>1224</v>
      </c>
      <c r="F1054" s="28" t="s">
        <v>1509</v>
      </c>
      <c r="G1054" s="28" t="s">
        <v>1486</v>
      </c>
      <c r="H1054" s="35" t="s">
        <v>1031</v>
      </c>
      <c r="I1054" s="28" t="str">
        <f>VLOOKUP(F1054,표준용어사전!$B:$D,3,FALSE)</f>
        <v>코드V30</v>
      </c>
      <c r="J1054" s="33" t="s">
        <v>78</v>
      </c>
      <c r="K1054" s="34" t="s">
        <v>996</v>
      </c>
      <c r="L1054" s="29" t="s">
        <v>571</v>
      </c>
      <c r="M1054" s="29" t="s">
        <v>1018</v>
      </c>
      <c r="N1054" s="32" t="s">
        <v>973</v>
      </c>
      <c r="O1054" s="31" t="s">
        <v>641</v>
      </c>
      <c r="P1054" s="31" t="s">
        <v>1363</v>
      </c>
      <c r="Q1054" s="28" t="s">
        <v>76</v>
      </c>
      <c r="R1054" s="29"/>
      <c r="S1054" s="31"/>
      <c r="T1054" s="31"/>
      <c r="U1054" s="28" t="s">
        <v>75</v>
      </c>
      <c r="V1054" s="28" t="s">
        <v>75</v>
      </c>
      <c r="W1054" s="31"/>
    </row>
    <row r="1055" spans="1:23" s="12" customFormat="1">
      <c r="A1055" s="46" t="s">
        <v>572</v>
      </c>
      <c r="B1055" s="28" t="s">
        <v>1337</v>
      </c>
      <c r="C1055" s="28" t="s">
        <v>978</v>
      </c>
      <c r="D1055" s="31" t="s">
        <v>1165</v>
      </c>
      <c r="E1055" s="31" t="s">
        <v>1233</v>
      </c>
      <c r="F1055" s="31" t="s">
        <v>1510</v>
      </c>
      <c r="G1055" s="31" t="s">
        <v>1487</v>
      </c>
      <c r="H1055" s="33" t="s">
        <v>1031</v>
      </c>
      <c r="I1055" s="28" t="e">
        <f>VLOOKUP(F1055,표준용어사전!$B:$D,3,FALSE)</f>
        <v>#N/A</v>
      </c>
      <c r="J1055" s="33" t="s">
        <v>78</v>
      </c>
      <c r="K1055" s="34" t="s">
        <v>1002</v>
      </c>
      <c r="L1055" s="29" t="s">
        <v>571</v>
      </c>
      <c r="M1055" s="29" t="s">
        <v>720</v>
      </c>
      <c r="N1055" s="32" t="s">
        <v>973</v>
      </c>
      <c r="O1055" s="31" t="s">
        <v>573</v>
      </c>
      <c r="P1055" s="31" t="s">
        <v>1364</v>
      </c>
      <c r="Q1055" s="28" t="s">
        <v>76</v>
      </c>
      <c r="R1055" s="29"/>
      <c r="S1055" s="31"/>
      <c r="T1055" s="31"/>
      <c r="U1055" s="28" t="s">
        <v>75</v>
      </c>
      <c r="V1055" s="28" t="s">
        <v>75</v>
      </c>
      <c r="W1055" s="31"/>
    </row>
    <row r="1056" spans="1:23" s="12" customFormat="1">
      <c r="A1056" s="46" t="s">
        <v>572</v>
      </c>
      <c r="B1056" s="28" t="s">
        <v>1337</v>
      </c>
      <c r="C1056" s="28" t="s">
        <v>978</v>
      </c>
      <c r="D1056" s="31" t="s">
        <v>1165</v>
      </c>
      <c r="E1056" s="31" t="s">
        <v>1234</v>
      </c>
      <c r="F1056" s="31" t="s">
        <v>1032</v>
      </c>
      <c r="G1056" s="31" t="s">
        <v>1032</v>
      </c>
      <c r="H1056" s="33" t="s">
        <v>1031</v>
      </c>
      <c r="I1056" s="28" t="e">
        <f>VLOOKUP(F1056,표준용어사전!$B:$D,3,FALSE)</f>
        <v>#N/A</v>
      </c>
      <c r="J1056" s="33" t="s">
        <v>16</v>
      </c>
      <c r="K1056" s="34" t="s">
        <v>927</v>
      </c>
      <c r="L1056" s="29" t="s">
        <v>571</v>
      </c>
      <c r="M1056" s="29" t="s">
        <v>726</v>
      </c>
      <c r="N1056" s="32" t="s">
        <v>75</v>
      </c>
      <c r="O1056" s="31"/>
      <c r="P1056" s="31"/>
      <c r="Q1056" s="28" t="s">
        <v>76</v>
      </c>
      <c r="R1056" s="29"/>
      <c r="S1056" s="31"/>
      <c r="T1056" s="28" t="s">
        <v>574</v>
      </c>
      <c r="U1056" s="28" t="s">
        <v>75</v>
      </c>
      <c r="V1056" s="28" t="s">
        <v>75</v>
      </c>
      <c r="W1056" s="31"/>
    </row>
    <row r="1057" spans="1:23" s="12" customFormat="1">
      <c r="A1057" s="46" t="s">
        <v>572</v>
      </c>
      <c r="B1057" s="28" t="s">
        <v>1337</v>
      </c>
      <c r="C1057" s="28" t="s">
        <v>978</v>
      </c>
      <c r="D1057" s="31" t="s">
        <v>1166</v>
      </c>
      <c r="E1057" s="31" t="s">
        <v>1212</v>
      </c>
      <c r="F1057" s="31" t="s">
        <v>1434</v>
      </c>
      <c r="G1057" s="31" t="s">
        <v>1434</v>
      </c>
      <c r="H1057" s="33" t="s">
        <v>1033</v>
      </c>
      <c r="I1057" s="28" t="str">
        <f>VLOOKUP(F1057,표준용어사전!$B:$D,3,FALSE)</f>
        <v>명V50</v>
      </c>
      <c r="J1057" s="33" t="s">
        <v>78</v>
      </c>
      <c r="K1057" s="34" t="s">
        <v>986</v>
      </c>
      <c r="L1057" s="29" t="s">
        <v>571</v>
      </c>
      <c r="M1057" s="29" t="s">
        <v>727</v>
      </c>
      <c r="N1057" s="32" t="s">
        <v>973</v>
      </c>
      <c r="O1057" s="31" t="s">
        <v>641</v>
      </c>
      <c r="P1057" s="31"/>
      <c r="Q1057" s="28" t="s">
        <v>76</v>
      </c>
      <c r="R1057" s="29"/>
      <c r="S1057" s="31"/>
      <c r="T1057" s="31"/>
      <c r="U1057" s="28" t="s">
        <v>75</v>
      </c>
      <c r="V1057" s="28" t="s">
        <v>75</v>
      </c>
      <c r="W1057" s="31"/>
    </row>
    <row r="1058" spans="1:23" s="12" customFormat="1">
      <c r="A1058" s="46" t="s">
        <v>572</v>
      </c>
      <c r="B1058" s="28" t="s">
        <v>1337</v>
      </c>
      <c r="C1058" s="28" t="s">
        <v>978</v>
      </c>
      <c r="D1058" s="31" t="s">
        <v>1166</v>
      </c>
      <c r="E1058" s="31" t="s">
        <v>1219</v>
      </c>
      <c r="F1058" s="31" t="s">
        <v>1013</v>
      </c>
      <c r="G1058" s="31" t="s">
        <v>1013</v>
      </c>
      <c r="H1058" s="33" t="s">
        <v>1033</v>
      </c>
      <c r="I1058" s="28" t="str">
        <f>VLOOKUP(F1058,표준용어사전!$B:$D,3,FALSE)</f>
        <v>명V20</v>
      </c>
      <c r="J1058" s="33" t="s">
        <v>570</v>
      </c>
      <c r="K1058" s="34" t="s">
        <v>986</v>
      </c>
      <c r="L1058" s="29" t="s">
        <v>571</v>
      </c>
      <c r="M1058" s="29" t="s">
        <v>961</v>
      </c>
      <c r="N1058" s="32" t="s">
        <v>75</v>
      </c>
      <c r="O1058" s="31"/>
      <c r="P1058" s="31" t="s">
        <v>1367</v>
      </c>
      <c r="Q1058" s="28" t="s">
        <v>76</v>
      </c>
      <c r="R1058" s="29"/>
      <c r="S1058" s="31"/>
      <c r="T1058" s="31"/>
      <c r="U1058" s="28" t="s">
        <v>75</v>
      </c>
      <c r="V1058" s="28" t="s">
        <v>75</v>
      </c>
      <c r="W1058" s="31"/>
    </row>
    <row r="1059" spans="1:23" s="12" customFormat="1">
      <c r="A1059" s="46" t="s">
        <v>572</v>
      </c>
      <c r="B1059" s="28" t="s">
        <v>1337</v>
      </c>
      <c r="C1059" s="28" t="s">
        <v>978</v>
      </c>
      <c r="D1059" s="31" t="s">
        <v>1166</v>
      </c>
      <c r="E1059" s="31" t="s">
        <v>1235</v>
      </c>
      <c r="F1059" s="31" t="s">
        <v>1034</v>
      </c>
      <c r="G1059" s="31" t="s">
        <v>1034</v>
      </c>
      <c r="H1059" s="33" t="s">
        <v>1033</v>
      </c>
      <c r="I1059" s="28" t="str">
        <f>VLOOKUP(F1059,표준용어사전!$B:$D,3,FALSE)</f>
        <v>명V40</v>
      </c>
      <c r="J1059" s="33" t="s">
        <v>78</v>
      </c>
      <c r="K1059" s="34" t="s">
        <v>982</v>
      </c>
      <c r="L1059" s="29" t="s">
        <v>571</v>
      </c>
      <c r="M1059" s="29" t="s">
        <v>983</v>
      </c>
      <c r="N1059" s="32" t="s">
        <v>973</v>
      </c>
      <c r="O1059" s="31"/>
      <c r="P1059" s="31"/>
      <c r="Q1059" s="28" t="s">
        <v>76</v>
      </c>
      <c r="R1059" s="29"/>
      <c r="S1059" s="31"/>
      <c r="T1059" s="31"/>
      <c r="U1059" s="28" t="s">
        <v>75</v>
      </c>
      <c r="V1059" s="28" t="s">
        <v>75</v>
      </c>
      <c r="W1059" s="31"/>
    </row>
    <row r="1060" spans="1:23" s="12" customFormat="1">
      <c r="A1060" s="46" t="s">
        <v>572</v>
      </c>
      <c r="B1060" s="28" t="s">
        <v>1337</v>
      </c>
      <c r="C1060" s="28" t="s">
        <v>978</v>
      </c>
      <c r="D1060" s="31" t="s">
        <v>1166</v>
      </c>
      <c r="E1060" s="31" t="s">
        <v>1236</v>
      </c>
      <c r="F1060" s="31" t="s">
        <v>1035</v>
      </c>
      <c r="G1060" s="31" t="s">
        <v>1035</v>
      </c>
      <c r="H1060" s="33" t="s">
        <v>1033</v>
      </c>
      <c r="I1060" s="28" t="e">
        <f>VLOOKUP(F1060,표준용어사전!$B:$D,3,FALSE)</f>
        <v>#N/A</v>
      </c>
      <c r="J1060" s="33" t="s">
        <v>78</v>
      </c>
      <c r="K1060" s="34" t="s">
        <v>984</v>
      </c>
      <c r="L1060" s="29" t="s">
        <v>571</v>
      </c>
      <c r="M1060" s="29" t="s">
        <v>715</v>
      </c>
      <c r="N1060" s="32" t="s">
        <v>973</v>
      </c>
      <c r="O1060" s="31"/>
      <c r="P1060" s="31"/>
      <c r="Q1060" s="28" t="s">
        <v>76</v>
      </c>
      <c r="R1060" s="29"/>
      <c r="S1060" s="31"/>
      <c r="T1060" s="31"/>
      <c r="U1060" s="28" t="s">
        <v>75</v>
      </c>
      <c r="V1060" s="28" t="s">
        <v>75</v>
      </c>
      <c r="W1060" s="31"/>
    </row>
    <row r="1061" spans="1:23" s="12" customFormat="1">
      <c r="A1061" s="46" t="s">
        <v>572</v>
      </c>
      <c r="B1061" s="28" t="s">
        <v>1337</v>
      </c>
      <c r="C1061" s="28" t="s">
        <v>978</v>
      </c>
      <c r="D1061" s="31" t="s">
        <v>1166</v>
      </c>
      <c r="E1061" s="31" t="s">
        <v>1213</v>
      </c>
      <c r="F1061" s="31" t="s">
        <v>1008</v>
      </c>
      <c r="G1061" s="31" t="s">
        <v>1008</v>
      </c>
      <c r="H1061" s="33" t="s">
        <v>1033</v>
      </c>
      <c r="I1061" s="28" t="e">
        <f>VLOOKUP(F1061,표준용어사전!$B:$D,3,FALSE)</f>
        <v>#N/A</v>
      </c>
      <c r="J1061" s="33" t="s">
        <v>78</v>
      </c>
      <c r="K1061" s="34" t="s">
        <v>986</v>
      </c>
      <c r="L1061" s="29" t="s">
        <v>571</v>
      </c>
      <c r="M1061" s="29" t="s">
        <v>727</v>
      </c>
      <c r="N1061" s="32" t="s">
        <v>75</v>
      </c>
      <c r="O1061" s="31"/>
      <c r="P1061" s="31"/>
      <c r="Q1061" s="28" t="s">
        <v>76</v>
      </c>
      <c r="R1061" s="29"/>
      <c r="S1061" s="31"/>
      <c r="T1061" s="31"/>
      <c r="U1061" s="28" t="s">
        <v>75</v>
      </c>
      <c r="V1061" s="28" t="s">
        <v>75</v>
      </c>
      <c r="W1061" s="31"/>
    </row>
    <row r="1062" spans="1:23" s="12" customFormat="1">
      <c r="A1062" s="46" t="s">
        <v>572</v>
      </c>
      <c r="B1062" s="28" t="s">
        <v>1337</v>
      </c>
      <c r="C1062" s="28" t="s">
        <v>978</v>
      </c>
      <c r="D1062" s="31" t="s">
        <v>1166</v>
      </c>
      <c r="E1062" s="31" t="s">
        <v>1237</v>
      </c>
      <c r="F1062" s="31" t="s">
        <v>1036</v>
      </c>
      <c r="G1062" s="31" t="s">
        <v>1036</v>
      </c>
      <c r="H1062" s="33" t="s">
        <v>1033</v>
      </c>
      <c r="I1062" s="28" t="e">
        <f>VLOOKUP(F1062,표준용어사전!$B:$D,3,FALSE)</f>
        <v>#N/A</v>
      </c>
      <c r="J1062" s="33" t="s">
        <v>78</v>
      </c>
      <c r="K1062" s="34" t="s">
        <v>984</v>
      </c>
      <c r="L1062" s="29" t="s">
        <v>571</v>
      </c>
      <c r="M1062" s="29" t="s">
        <v>715</v>
      </c>
      <c r="N1062" s="32" t="s">
        <v>75</v>
      </c>
      <c r="O1062" s="31"/>
      <c r="P1062" s="31"/>
      <c r="Q1062" s="28" t="s">
        <v>76</v>
      </c>
      <c r="R1062" s="29"/>
      <c r="S1062" s="31"/>
      <c r="T1062" s="31"/>
      <c r="U1062" s="28" t="s">
        <v>75</v>
      </c>
      <c r="V1062" s="28" t="s">
        <v>75</v>
      </c>
      <c r="W1062" s="31"/>
    </row>
    <row r="1063" spans="1:23" s="12" customFormat="1">
      <c r="A1063" s="46" t="s">
        <v>572</v>
      </c>
      <c r="B1063" s="28" t="s">
        <v>1337</v>
      </c>
      <c r="C1063" s="28" t="s">
        <v>978</v>
      </c>
      <c r="D1063" s="31" t="s">
        <v>1166</v>
      </c>
      <c r="E1063" s="31" t="s">
        <v>1214</v>
      </c>
      <c r="F1063" s="31" t="s">
        <v>1508</v>
      </c>
      <c r="G1063" s="31" t="s">
        <v>1484</v>
      </c>
      <c r="H1063" s="33" t="s">
        <v>1033</v>
      </c>
      <c r="I1063" s="28" t="e">
        <f>VLOOKUP(F1063,표준용어사전!$B:$D,3,FALSE)</f>
        <v>#N/A</v>
      </c>
      <c r="J1063" s="33" t="s">
        <v>570</v>
      </c>
      <c r="K1063" s="34" t="s">
        <v>985</v>
      </c>
      <c r="L1063" s="29" t="s">
        <v>571</v>
      </c>
      <c r="M1063" s="29" t="s">
        <v>722</v>
      </c>
      <c r="N1063" s="32" t="s">
        <v>75</v>
      </c>
      <c r="O1063" s="31"/>
      <c r="P1063" s="31"/>
      <c r="Q1063" s="28" t="s">
        <v>76</v>
      </c>
      <c r="R1063" s="29"/>
      <c r="S1063" s="31"/>
      <c r="T1063" s="31"/>
      <c r="U1063" s="28" t="s">
        <v>75</v>
      </c>
      <c r="V1063" s="28" t="s">
        <v>75</v>
      </c>
      <c r="W1063" s="31"/>
    </row>
    <row r="1064" spans="1:23" s="12" customFormat="1">
      <c r="A1064" s="46" t="s">
        <v>572</v>
      </c>
      <c r="B1064" s="28" t="s">
        <v>1337</v>
      </c>
      <c r="C1064" s="28" t="s">
        <v>978</v>
      </c>
      <c r="D1064" s="31" t="s">
        <v>1166</v>
      </c>
      <c r="E1064" s="31" t="s">
        <v>1215</v>
      </c>
      <c r="F1064" s="31" t="s">
        <v>1009</v>
      </c>
      <c r="G1064" s="31" t="s">
        <v>1009</v>
      </c>
      <c r="H1064" s="33" t="s">
        <v>1033</v>
      </c>
      <c r="I1064" s="28" t="e">
        <f>VLOOKUP(F1064,표준용어사전!$B:$D,3,FALSE)</f>
        <v>#N/A</v>
      </c>
      <c r="J1064" s="33" t="s">
        <v>570</v>
      </c>
      <c r="K1064" s="34" t="s">
        <v>986</v>
      </c>
      <c r="L1064" s="29" t="s">
        <v>571</v>
      </c>
      <c r="M1064" s="29" t="s">
        <v>961</v>
      </c>
      <c r="N1064" s="32" t="s">
        <v>75</v>
      </c>
      <c r="O1064" s="31"/>
      <c r="P1064" s="31"/>
      <c r="Q1064" s="28" t="s">
        <v>76</v>
      </c>
      <c r="R1064" s="29"/>
      <c r="S1064" s="31"/>
      <c r="T1064" s="31"/>
      <c r="U1064" s="28" t="s">
        <v>75</v>
      </c>
      <c r="V1064" s="28" t="s">
        <v>75</v>
      </c>
      <c r="W1064" s="31"/>
    </row>
    <row r="1065" spans="1:23" s="12" customFormat="1">
      <c r="A1065" s="46" t="s">
        <v>572</v>
      </c>
      <c r="B1065" s="28" t="s">
        <v>1337</v>
      </c>
      <c r="C1065" s="28" t="s">
        <v>978</v>
      </c>
      <c r="D1065" s="31" t="s">
        <v>1166</v>
      </c>
      <c r="E1065" s="31" t="s">
        <v>1238</v>
      </c>
      <c r="F1065" s="31" t="s">
        <v>1037</v>
      </c>
      <c r="G1065" s="31" t="s">
        <v>1037</v>
      </c>
      <c r="H1065" s="33" t="s">
        <v>1033</v>
      </c>
      <c r="I1065" s="28" t="e">
        <f>VLOOKUP(F1065,표준용어사전!$B:$D,3,FALSE)</f>
        <v>#N/A</v>
      </c>
      <c r="J1065" s="33" t="s">
        <v>78</v>
      </c>
      <c r="K1065" s="34" t="s">
        <v>1026</v>
      </c>
      <c r="L1065" s="29" t="s">
        <v>571</v>
      </c>
      <c r="M1065" s="29" t="s">
        <v>729</v>
      </c>
      <c r="N1065" s="32" t="s">
        <v>75</v>
      </c>
      <c r="O1065" s="31"/>
      <c r="P1065" s="31"/>
      <c r="Q1065" s="28" t="s">
        <v>76</v>
      </c>
      <c r="R1065" s="29"/>
      <c r="S1065" s="31"/>
      <c r="T1065" s="31"/>
      <c r="U1065" s="28" t="s">
        <v>75</v>
      </c>
      <c r="V1065" s="28" t="s">
        <v>75</v>
      </c>
      <c r="W1065" s="31"/>
    </row>
    <row r="1066" spans="1:23" s="12" customFormat="1">
      <c r="A1066" s="46" t="s">
        <v>572</v>
      </c>
      <c r="B1066" s="28" t="s">
        <v>1337</v>
      </c>
      <c r="C1066" s="28" t="s">
        <v>978</v>
      </c>
      <c r="D1066" s="31" t="s">
        <v>1166</v>
      </c>
      <c r="E1066" s="31" t="s">
        <v>1239</v>
      </c>
      <c r="F1066" s="31" t="s">
        <v>1038</v>
      </c>
      <c r="G1066" s="31" t="s">
        <v>1038</v>
      </c>
      <c r="H1066" s="33" t="s">
        <v>1033</v>
      </c>
      <c r="I1066" s="28" t="e">
        <f>VLOOKUP(F1066,표준용어사전!$B:$D,3,FALSE)</f>
        <v>#N/A</v>
      </c>
      <c r="J1066" s="33" t="s">
        <v>78</v>
      </c>
      <c r="K1066" s="34" t="s">
        <v>1026</v>
      </c>
      <c r="L1066" s="29" t="s">
        <v>571</v>
      </c>
      <c r="M1066" s="29" t="s">
        <v>729</v>
      </c>
      <c r="N1066" s="32" t="s">
        <v>75</v>
      </c>
      <c r="O1066" s="31"/>
      <c r="P1066" s="31"/>
      <c r="Q1066" s="28" t="s">
        <v>76</v>
      </c>
      <c r="R1066" s="29"/>
      <c r="S1066" s="31"/>
      <c r="T1066" s="31"/>
      <c r="U1066" s="28" t="s">
        <v>75</v>
      </c>
      <c r="V1066" s="28" t="s">
        <v>75</v>
      </c>
      <c r="W1066" s="31"/>
    </row>
    <row r="1067" spans="1:23" s="12" customFormat="1">
      <c r="A1067" s="46" t="s">
        <v>572</v>
      </c>
      <c r="B1067" s="28" t="s">
        <v>1337</v>
      </c>
      <c r="C1067" s="28" t="s">
        <v>978</v>
      </c>
      <c r="D1067" s="31" t="s">
        <v>1166</v>
      </c>
      <c r="E1067" s="31" t="s">
        <v>1216</v>
      </c>
      <c r="F1067" s="31" t="s">
        <v>1010</v>
      </c>
      <c r="G1067" s="31" t="s">
        <v>1010</v>
      </c>
      <c r="H1067" s="33" t="s">
        <v>1033</v>
      </c>
      <c r="I1067" s="28" t="e">
        <f>VLOOKUP(F1067,표준용어사전!$B:$D,3,FALSE)</f>
        <v>#N/A</v>
      </c>
      <c r="J1067" s="33" t="s">
        <v>78</v>
      </c>
      <c r="K1067" s="34" t="s">
        <v>986</v>
      </c>
      <c r="L1067" s="29" t="s">
        <v>571</v>
      </c>
      <c r="M1067" s="29" t="s">
        <v>727</v>
      </c>
      <c r="N1067" s="32" t="s">
        <v>75</v>
      </c>
      <c r="O1067" s="31"/>
      <c r="P1067" s="31"/>
      <c r="Q1067" s="28" t="s">
        <v>76</v>
      </c>
      <c r="R1067" s="29"/>
      <c r="S1067" s="31"/>
      <c r="T1067" s="31"/>
      <c r="U1067" s="28" t="s">
        <v>75</v>
      </c>
      <c r="V1067" s="28" t="s">
        <v>75</v>
      </c>
      <c r="W1067" s="31"/>
    </row>
    <row r="1068" spans="1:23" s="12" customFormat="1">
      <c r="A1068" s="46" t="s">
        <v>572</v>
      </c>
      <c r="B1068" s="28" t="s">
        <v>1337</v>
      </c>
      <c r="C1068" s="28" t="s">
        <v>978</v>
      </c>
      <c r="D1068" s="31" t="s">
        <v>1166</v>
      </c>
      <c r="E1068" s="31" t="s">
        <v>1217</v>
      </c>
      <c r="F1068" s="31" t="s">
        <v>1011</v>
      </c>
      <c r="G1068" s="31" t="s">
        <v>1011</v>
      </c>
      <c r="H1068" s="33" t="s">
        <v>1033</v>
      </c>
      <c r="I1068" s="28" t="e">
        <f>VLOOKUP(F1068,표준용어사전!$B:$D,3,FALSE)</f>
        <v>#N/A</v>
      </c>
      <c r="J1068" s="33" t="s">
        <v>78</v>
      </c>
      <c r="K1068" s="34" t="s">
        <v>1002</v>
      </c>
      <c r="L1068" s="29" t="s">
        <v>571</v>
      </c>
      <c r="M1068" s="29" t="s">
        <v>720</v>
      </c>
      <c r="N1068" s="32" t="s">
        <v>973</v>
      </c>
      <c r="O1068" s="31"/>
      <c r="P1068" s="31"/>
      <c r="Q1068" s="28" t="s">
        <v>76</v>
      </c>
      <c r="R1068" s="29"/>
      <c r="S1068" s="31"/>
      <c r="T1068" s="31"/>
      <c r="U1068" s="28" t="s">
        <v>75</v>
      </c>
      <c r="V1068" s="28" t="s">
        <v>75</v>
      </c>
      <c r="W1068" s="31"/>
    </row>
    <row r="1069" spans="1:23" s="12" customFormat="1">
      <c r="A1069" s="46" t="s">
        <v>572</v>
      </c>
      <c r="B1069" s="28" t="s">
        <v>1337</v>
      </c>
      <c r="C1069" s="28" t="s">
        <v>978</v>
      </c>
      <c r="D1069" s="31" t="s">
        <v>1166</v>
      </c>
      <c r="E1069" s="31" t="s">
        <v>1218</v>
      </c>
      <c r="F1069" s="31" t="s">
        <v>1039</v>
      </c>
      <c r="G1069" s="31" t="s">
        <v>1039</v>
      </c>
      <c r="H1069" s="33" t="s">
        <v>1033</v>
      </c>
      <c r="I1069" s="28" t="str">
        <f>VLOOKUP(F1069,표준용어사전!$B:$D,3,FALSE)</f>
        <v>명V20</v>
      </c>
      <c r="J1069" s="33" t="s">
        <v>570</v>
      </c>
      <c r="K1069" s="34" t="s">
        <v>986</v>
      </c>
      <c r="L1069" s="29" t="s">
        <v>571</v>
      </c>
      <c r="M1069" s="29" t="s">
        <v>961</v>
      </c>
      <c r="N1069" s="32" t="s">
        <v>973</v>
      </c>
      <c r="O1069" s="31"/>
      <c r="P1069" s="31" t="s">
        <v>1368</v>
      </c>
      <c r="Q1069" s="28" t="s">
        <v>76</v>
      </c>
      <c r="R1069" s="29"/>
      <c r="S1069" s="31"/>
      <c r="T1069" s="31"/>
      <c r="U1069" s="28" t="s">
        <v>75</v>
      </c>
      <c r="V1069" s="28" t="s">
        <v>75</v>
      </c>
      <c r="W1069" s="31"/>
    </row>
    <row r="1070" spans="1:23" s="12" customFormat="1">
      <c r="A1070" s="46" t="s">
        <v>572</v>
      </c>
      <c r="B1070" s="28" t="s">
        <v>1337</v>
      </c>
      <c r="C1070" s="28" t="s">
        <v>978</v>
      </c>
      <c r="D1070" s="31" t="s">
        <v>1166</v>
      </c>
      <c r="E1070" s="31" t="s">
        <v>1220</v>
      </c>
      <c r="F1070" s="31" t="s">
        <v>1530</v>
      </c>
      <c r="G1070" s="31" t="s">
        <v>1485</v>
      </c>
      <c r="H1070" s="33" t="s">
        <v>1033</v>
      </c>
      <c r="I1070" s="28" t="e">
        <f>VLOOKUP(F1070,표준용어사전!$B:$D,3,FALSE)</f>
        <v>#N/A</v>
      </c>
      <c r="J1070" s="33" t="s">
        <v>570</v>
      </c>
      <c r="K1070" s="34" t="s">
        <v>985</v>
      </c>
      <c r="L1070" s="29" t="s">
        <v>571</v>
      </c>
      <c r="M1070" s="29" t="s">
        <v>722</v>
      </c>
      <c r="N1070" s="32" t="s">
        <v>973</v>
      </c>
      <c r="O1070" s="31"/>
      <c r="P1070" s="31"/>
      <c r="Q1070" s="28" t="s">
        <v>76</v>
      </c>
      <c r="R1070" s="29"/>
      <c r="S1070" s="31"/>
      <c r="T1070" s="31"/>
      <c r="U1070" s="28" t="s">
        <v>75</v>
      </c>
      <c r="V1070" s="28" t="s">
        <v>75</v>
      </c>
      <c r="W1070" s="31"/>
    </row>
    <row r="1071" spans="1:23" s="12" customFormat="1">
      <c r="A1071" s="46" t="s">
        <v>572</v>
      </c>
      <c r="B1071" s="28" t="s">
        <v>1337</v>
      </c>
      <c r="C1071" s="28" t="s">
        <v>978</v>
      </c>
      <c r="D1071" s="31" t="s">
        <v>1166</v>
      </c>
      <c r="E1071" s="31" t="s">
        <v>1221</v>
      </c>
      <c r="F1071" s="31" t="s">
        <v>1040</v>
      </c>
      <c r="G1071" s="31" t="s">
        <v>1040</v>
      </c>
      <c r="H1071" s="33" t="s">
        <v>1033</v>
      </c>
      <c r="I1071" s="28" t="e">
        <f>VLOOKUP(F1071,표준용어사전!$B:$D,3,FALSE)</f>
        <v>#N/A</v>
      </c>
      <c r="J1071" s="33" t="s">
        <v>570</v>
      </c>
      <c r="K1071" s="34" t="s">
        <v>986</v>
      </c>
      <c r="L1071" s="29" t="s">
        <v>571</v>
      </c>
      <c r="M1071" s="29" t="s">
        <v>961</v>
      </c>
      <c r="N1071" s="32" t="s">
        <v>973</v>
      </c>
      <c r="O1071" s="31"/>
      <c r="P1071" s="31"/>
      <c r="Q1071" s="28" t="s">
        <v>76</v>
      </c>
      <c r="R1071" s="29"/>
      <c r="S1071" s="31"/>
      <c r="T1071" s="31"/>
      <c r="U1071" s="28" t="s">
        <v>75</v>
      </c>
      <c r="V1071" s="28" t="s">
        <v>75</v>
      </c>
      <c r="W1071" s="31"/>
    </row>
    <row r="1072" spans="1:23" s="12" customFormat="1">
      <c r="A1072" s="46" t="s">
        <v>572</v>
      </c>
      <c r="B1072" s="28" t="s">
        <v>1337</v>
      </c>
      <c r="C1072" s="28" t="s">
        <v>978</v>
      </c>
      <c r="D1072" s="31" t="s">
        <v>1166</v>
      </c>
      <c r="E1072" s="31" t="s">
        <v>1240</v>
      </c>
      <c r="F1072" s="31" t="s">
        <v>1041</v>
      </c>
      <c r="G1072" s="31" t="s">
        <v>1041</v>
      </c>
      <c r="H1072" s="33" t="s">
        <v>1033</v>
      </c>
      <c r="I1072" s="28" t="e">
        <f>VLOOKUP(F1072,표준용어사전!$B:$D,3,FALSE)</f>
        <v>#N/A</v>
      </c>
      <c r="J1072" s="33" t="s">
        <v>78</v>
      </c>
      <c r="K1072" s="34" t="s">
        <v>1026</v>
      </c>
      <c r="L1072" s="29" t="s">
        <v>571</v>
      </c>
      <c r="M1072" s="29" t="s">
        <v>729</v>
      </c>
      <c r="N1072" s="32" t="s">
        <v>75</v>
      </c>
      <c r="O1072" s="31"/>
      <c r="P1072" s="31"/>
      <c r="Q1072" s="28" t="s">
        <v>76</v>
      </c>
      <c r="R1072" s="29"/>
      <c r="S1072" s="31"/>
      <c r="T1072" s="31"/>
      <c r="U1072" s="28" t="s">
        <v>75</v>
      </c>
      <c r="V1072" s="28" t="s">
        <v>75</v>
      </c>
      <c r="W1072" s="31"/>
    </row>
    <row r="1073" spans="1:23" s="12" customFormat="1">
      <c r="A1073" s="46" t="s">
        <v>572</v>
      </c>
      <c r="B1073" s="28" t="s">
        <v>1337</v>
      </c>
      <c r="C1073" s="28" t="s">
        <v>978</v>
      </c>
      <c r="D1073" s="31" t="s">
        <v>1166</v>
      </c>
      <c r="E1073" s="31" t="s">
        <v>1241</v>
      </c>
      <c r="F1073" s="31" t="s">
        <v>1511</v>
      </c>
      <c r="G1073" s="31" t="s">
        <v>1455</v>
      </c>
      <c r="H1073" s="33" t="s">
        <v>1033</v>
      </c>
      <c r="I1073" s="28" t="e">
        <f>VLOOKUP(F1073,표준용어사전!$B:$D,3,FALSE)</f>
        <v>#N/A</v>
      </c>
      <c r="J1073" s="33" t="s">
        <v>570</v>
      </c>
      <c r="K1073" s="34" t="s">
        <v>985</v>
      </c>
      <c r="L1073" s="29" t="s">
        <v>571</v>
      </c>
      <c r="M1073" s="29" t="s">
        <v>722</v>
      </c>
      <c r="N1073" s="32" t="s">
        <v>75</v>
      </c>
      <c r="O1073" s="31"/>
      <c r="P1073" s="31"/>
      <c r="Q1073" s="28" t="s">
        <v>76</v>
      </c>
      <c r="R1073" s="29"/>
      <c r="S1073" s="31"/>
      <c r="T1073" s="31"/>
      <c r="U1073" s="28" t="s">
        <v>75</v>
      </c>
      <c r="V1073" s="28" t="s">
        <v>75</v>
      </c>
      <c r="W1073" s="31"/>
    </row>
    <row r="1074" spans="1:23" s="12" customFormat="1">
      <c r="A1074" s="46" t="s">
        <v>572</v>
      </c>
      <c r="B1074" s="28" t="s">
        <v>1337</v>
      </c>
      <c r="C1074" s="28" t="s">
        <v>978</v>
      </c>
      <c r="D1074" s="31" t="s">
        <v>1166</v>
      </c>
      <c r="E1074" s="31" t="s">
        <v>1242</v>
      </c>
      <c r="F1074" s="31" t="s">
        <v>1042</v>
      </c>
      <c r="G1074" s="31" t="s">
        <v>1042</v>
      </c>
      <c r="H1074" s="33" t="s">
        <v>1033</v>
      </c>
      <c r="I1074" s="28" t="e">
        <f>VLOOKUP(F1074,표준용어사전!$B:$D,3,FALSE)</f>
        <v>#N/A</v>
      </c>
      <c r="J1074" s="33" t="s">
        <v>63</v>
      </c>
      <c r="K1074" s="34" t="s">
        <v>980</v>
      </c>
      <c r="L1074" s="29" t="s">
        <v>571</v>
      </c>
      <c r="M1074" s="29">
        <v>9999999999</v>
      </c>
      <c r="N1074" s="32" t="s">
        <v>75</v>
      </c>
      <c r="O1074" s="31"/>
      <c r="P1074" s="31"/>
      <c r="Q1074" s="28" t="s">
        <v>76</v>
      </c>
      <c r="R1074" s="29"/>
      <c r="S1074" s="31"/>
      <c r="T1074" s="31"/>
      <c r="U1074" s="28" t="s">
        <v>75</v>
      </c>
      <c r="V1074" s="28" t="s">
        <v>75</v>
      </c>
      <c r="W1074" s="31"/>
    </row>
    <row r="1075" spans="1:23" s="12" customFormat="1">
      <c r="A1075" s="46" t="s">
        <v>572</v>
      </c>
      <c r="B1075" s="28" t="s">
        <v>1337</v>
      </c>
      <c r="C1075" s="28" t="s">
        <v>978</v>
      </c>
      <c r="D1075" s="31" t="s">
        <v>1166</v>
      </c>
      <c r="E1075" s="31" t="s">
        <v>1243</v>
      </c>
      <c r="F1075" s="31" t="s">
        <v>1449</v>
      </c>
      <c r="G1075" s="31" t="s">
        <v>1043</v>
      </c>
      <c r="H1075" s="33" t="s">
        <v>1033</v>
      </c>
      <c r="I1075" s="28" t="e">
        <f>VLOOKUP(F1075,표준용어사전!$B:$D,3,FALSE)</f>
        <v>#N/A</v>
      </c>
      <c r="J1075" s="33" t="s">
        <v>16</v>
      </c>
      <c r="K1075" s="34" t="s">
        <v>927</v>
      </c>
      <c r="L1075" s="29" t="s">
        <v>571</v>
      </c>
      <c r="M1075" s="29" t="s">
        <v>726</v>
      </c>
      <c r="N1075" s="32" t="s">
        <v>75</v>
      </c>
      <c r="O1075" s="31"/>
      <c r="P1075" s="31"/>
      <c r="Q1075" s="28" t="s">
        <v>76</v>
      </c>
      <c r="R1075" s="29"/>
      <c r="S1075" s="31"/>
      <c r="T1075" s="28" t="s">
        <v>574</v>
      </c>
      <c r="U1075" s="28" t="s">
        <v>75</v>
      </c>
      <c r="V1075" s="28" t="s">
        <v>75</v>
      </c>
      <c r="W1075" s="31"/>
    </row>
    <row r="1076" spans="1:23" s="12" customFormat="1">
      <c r="A1076" s="46" t="s">
        <v>572</v>
      </c>
      <c r="B1076" s="28" t="s">
        <v>1337</v>
      </c>
      <c r="C1076" s="28" t="s">
        <v>978</v>
      </c>
      <c r="D1076" s="31" t="s">
        <v>1166</v>
      </c>
      <c r="E1076" s="31" t="s">
        <v>1244</v>
      </c>
      <c r="F1076" s="28" t="s">
        <v>1445</v>
      </c>
      <c r="G1076" s="28" t="s">
        <v>1044</v>
      </c>
      <c r="H1076" s="35" t="s">
        <v>1033</v>
      </c>
      <c r="I1076" s="28" t="e">
        <f>VLOOKUP(F1076,표준용어사전!$B:$D,3,FALSE)</f>
        <v>#N/A</v>
      </c>
      <c r="J1076" s="33" t="s">
        <v>16</v>
      </c>
      <c r="K1076" s="34" t="s">
        <v>927</v>
      </c>
      <c r="L1076" s="29" t="s">
        <v>571</v>
      </c>
      <c r="M1076" s="29" t="s">
        <v>726</v>
      </c>
      <c r="N1076" s="32" t="s">
        <v>973</v>
      </c>
      <c r="O1076" s="31"/>
      <c r="P1076" s="31"/>
      <c r="Q1076" s="28" t="s">
        <v>76</v>
      </c>
      <c r="R1076" s="29"/>
      <c r="S1076" s="31"/>
      <c r="T1076" s="28" t="s">
        <v>574</v>
      </c>
      <c r="U1076" s="28" t="s">
        <v>75</v>
      </c>
      <c r="V1076" s="28" t="s">
        <v>75</v>
      </c>
      <c r="W1076" s="31"/>
    </row>
    <row r="1077" spans="1:23" s="12" customFormat="1">
      <c r="A1077" s="46" t="s">
        <v>572</v>
      </c>
      <c r="B1077" s="28" t="s">
        <v>1337</v>
      </c>
      <c r="C1077" s="28" t="s">
        <v>978</v>
      </c>
      <c r="D1077" s="31" t="s">
        <v>1166</v>
      </c>
      <c r="E1077" s="31" t="s">
        <v>1245</v>
      </c>
      <c r="F1077" s="28" t="s">
        <v>1446</v>
      </c>
      <c r="G1077" s="28" t="s">
        <v>1045</v>
      </c>
      <c r="H1077" s="35" t="s">
        <v>1033</v>
      </c>
      <c r="I1077" s="28" t="e">
        <f>VLOOKUP(F1077,표준용어사전!$B:$D,3,FALSE)</f>
        <v>#N/A</v>
      </c>
      <c r="J1077" s="33" t="s">
        <v>1046</v>
      </c>
      <c r="K1077" s="27"/>
      <c r="L1077" s="29" t="s">
        <v>571</v>
      </c>
      <c r="M1077" s="29" t="s">
        <v>1353</v>
      </c>
      <c r="N1077" s="32" t="s">
        <v>75</v>
      </c>
      <c r="O1077" s="31"/>
      <c r="P1077" s="31"/>
      <c r="Q1077" s="28" t="s">
        <v>76</v>
      </c>
      <c r="R1077" s="29"/>
      <c r="S1077" s="31"/>
      <c r="T1077" s="31"/>
      <c r="U1077" s="28" t="s">
        <v>75</v>
      </c>
      <c r="V1077" s="28" t="s">
        <v>75</v>
      </c>
      <c r="W1077" s="31"/>
    </row>
    <row r="1078" spans="1:23" s="12" customFormat="1">
      <c r="A1078" s="46" t="s">
        <v>572</v>
      </c>
      <c r="B1078" s="28" t="s">
        <v>1337</v>
      </c>
      <c r="C1078" s="28" t="s">
        <v>978</v>
      </c>
      <c r="D1078" s="31" t="s">
        <v>1166</v>
      </c>
      <c r="E1078" s="31" t="s">
        <v>1246</v>
      </c>
      <c r="F1078" s="28" t="s">
        <v>1535</v>
      </c>
      <c r="G1078" s="28" t="s">
        <v>1456</v>
      </c>
      <c r="H1078" s="35" t="s">
        <v>1033</v>
      </c>
      <c r="I1078" s="28" t="str">
        <f>VLOOKUP(F1078,표준용어사전!$B:$D,3,FALSE)</f>
        <v>여부C1</v>
      </c>
      <c r="J1078" s="33" t="s">
        <v>78</v>
      </c>
      <c r="K1078" s="34" t="s">
        <v>985</v>
      </c>
      <c r="L1078" s="29" t="s">
        <v>571</v>
      </c>
      <c r="M1078" s="29" t="s">
        <v>1047</v>
      </c>
      <c r="N1078" s="32" t="s">
        <v>75</v>
      </c>
      <c r="O1078" s="31"/>
      <c r="P1078" s="31"/>
      <c r="Q1078" s="28" t="s">
        <v>76</v>
      </c>
      <c r="R1078" s="29"/>
      <c r="S1078" s="31"/>
      <c r="T1078" s="31"/>
      <c r="U1078" s="28" t="s">
        <v>75</v>
      </c>
      <c r="V1078" s="28" t="s">
        <v>75</v>
      </c>
      <c r="W1078" s="31"/>
    </row>
    <row r="1079" spans="1:23" s="12" customFormat="1">
      <c r="A1079" s="46" t="s">
        <v>572</v>
      </c>
      <c r="B1079" s="28" t="s">
        <v>1337</v>
      </c>
      <c r="C1079" s="28" t="s">
        <v>978</v>
      </c>
      <c r="D1079" s="31" t="s">
        <v>1166</v>
      </c>
      <c r="E1079" s="31" t="s">
        <v>1247</v>
      </c>
      <c r="F1079" s="28" t="s">
        <v>1447</v>
      </c>
      <c r="G1079" s="28" t="s">
        <v>1048</v>
      </c>
      <c r="H1079" s="35" t="s">
        <v>1033</v>
      </c>
      <c r="I1079" s="28" t="e">
        <f>VLOOKUP(F1079,표준용어사전!$B:$D,3,FALSE)</f>
        <v>#N/A</v>
      </c>
      <c r="J1079" s="33" t="s">
        <v>16</v>
      </c>
      <c r="K1079" s="34" t="s">
        <v>927</v>
      </c>
      <c r="L1079" s="29" t="s">
        <v>571</v>
      </c>
      <c r="M1079" s="29" t="s">
        <v>726</v>
      </c>
      <c r="N1079" s="32" t="s">
        <v>973</v>
      </c>
      <c r="O1079" s="36"/>
      <c r="P1079" s="31"/>
      <c r="Q1079" s="28" t="s">
        <v>76</v>
      </c>
      <c r="R1079" s="29"/>
      <c r="S1079" s="31"/>
      <c r="T1079" s="31"/>
      <c r="U1079" s="28" t="s">
        <v>75</v>
      </c>
      <c r="V1079" s="28" t="s">
        <v>75</v>
      </c>
      <c r="W1079" s="31"/>
    </row>
    <row r="1080" spans="1:23" s="12" customFormat="1">
      <c r="A1080" s="46" t="s">
        <v>572</v>
      </c>
      <c r="B1080" s="28" t="s">
        <v>1337</v>
      </c>
      <c r="C1080" s="28" t="s">
        <v>978</v>
      </c>
      <c r="D1080" s="31" t="s">
        <v>1166</v>
      </c>
      <c r="E1080" s="31" t="s">
        <v>1248</v>
      </c>
      <c r="F1080" s="28" t="s">
        <v>1049</v>
      </c>
      <c r="G1080" s="28" t="s">
        <v>1049</v>
      </c>
      <c r="H1080" s="35" t="s">
        <v>1033</v>
      </c>
      <c r="I1080" s="28" t="e">
        <f>VLOOKUP(F1080,표준용어사전!$B:$D,3,FALSE)</f>
        <v>#N/A</v>
      </c>
      <c r="J1080" s="33" t="s">
        <v>78</v>
      </c>
      <c r="K1080" s="34" t="s">
        <v>1050</v>
      </c>
      <c r="L1080" s="29" t="s">
        <v>571</v>
      </c>
      <c r="M1080" s="29" t="s">
        <v>1051</v>
      </c>
      <c r="N1080" s="32" t="s">
        <v>75</v>
      </c>
      <c r="O1080" s="31"/>
      <c r="P1080" s="31"/>
      <c r="Q1080" s="28" t="s">
        <v>76</v>
      </c>
      <c r="R1080" s="29"/>
      <c r="S1080" s="31"/>
      <c r="T1080" s="31"/>
      <c r="U1080" s="28" t="s">
        <v>75</v>
      </c>
      <c r="V1080" s="28" t="s">
        <v>75</v>
      </c>
      <c r="W1080" s="31"/>
    </row>
    <row r="1081" spans="1:23" s="12" customFormat="1">
      <c r="A1081" s="46" t="s">
        <v>572</v>
      </c>
      <c r="B1081" s="28" t="s">
        <v>1337</v>
      </c>
      <c r="C1081" s="28" t="s">
        <v>978</v>
      </c>
      <c r="D1081" s="31" t="s">
        <v>1167</v>
      </c>
      <c r="E1081" s="31" t="s">
        <v>1223</v>
      </c>
      <c r="F1081" s="28" t="s">
        <v>1052</v>
      </c>
      <c r="G1081" s="28" t="s">
        <v>1052</v>
      </c>
      <c r="H1081" s="35" t="s">
        <v>1053</v>
      </c>
      <c r="I1081" s="28" t="e">
        <f>VLOOKUP(F1081,표준용어사전!$B:$D,3,FALSE)</f>
        <v>#N/A</v>
      </c>
      <c r="J1081" s="33" t="s">
        <v>78</v>
      </c>
      <c r="K1081" s="34" t="s">
        <v>986</v>
      </c>
      <c r="L1081" s="29" t="s">
        <v>571</v>
      </c>
      <c r="M1081" s="29" t="s">
        <v>727</v>
      </c>
      <c r="N1081" s="32" t="s">
        <v>973</v>
      </c>
      <c r="O1081" s="31"/>
      <c r="P1081" s="31"/>
      <c r="Q1081" s="28" t="s">
        <v>76</v>
      </c>
      <c r="R1081" s="29"/>
      <c r="S1081" s="31"/>
      <c r="T1081" s="31"/>
      <c r="U1081" s="28" t="s">
        <v>75</v>
      </c>
      <c r="V1081" s="28" t="s">
        <v>75</v>
      </c>
      <c r="W1081" s="31"/>
    </row>
    <row r="1082" spans="1:23" s="12" customFormat="1">
      <c r="A1082" s="46" t="s">
        <v>572</v>
      </c>
      <c r="B1082" s="28" t="s">
        <v>1337</v>
      </c>
      <c r="C1082" s="28" t="s">
        <v>978</v>
      </c>
      <c r="D1082" s="31" t="s">
        <v>1167</v>
      </c>
      <c r="E1082" s="31" t="s">
        <v>1249</v>
      </c>
      <c r="F1082" s="28" t="s">
        <v>1512</v>
      </c>
      <c r="G1082" s="28" t="s">
        <v>1488</v>
      </c>
      <c r="H1082" s="35" t="s">
        <v>1053</v>
      </c>
      <c r="I1082" s="28" t="e">
        <f>VLOOKUP(F1082,표준용어사전!$B:$D,3,FALSE)</f>
        <v>#N/A</v>
      </c>
      <c r="J1082" s="33" t="s">
        <v>570</v>
      </c>
      <c r="K1082" s="34" t="s">
        <v>1054</v>
      </c>
      <c r="L1082" s="29" t="s">
        <v>571</v>
      </c>
      <c r="M1082" s="29" t="s">
        <v>1055</v>
      </c>
      <c r="N1082" s="32" t="s">
        <v>75</v>
      </c>
      <c r="O1082" s="31"/>
      <c r="P1082" s="31"/>
      <c r="Q1082" s="28" t="s">
        <v>76</v>
      </c>
      <c r="R1082" s="29"/>
      <c r="S1082" s="31"/>
      <c r="T1082" s="31"/>
      <c r="U1082" s="28" t="s">
        <v>75</v>
      </c>
      <c r="V1082" s="28" t="s">
        <v>75</v>
      </c>
      <c r="W1082" s="31"/>
    </row>
    <row r="1083" spans="1:23" s="12" customFormat="1">
      <c r="A1083" s="46" t="s">
        <v>572</v>
      </c>
      <c r="B1083" s="28" t="s">
        <v>1337</v>
      </c>
      <c r="C1083" s="28" t="s">
        <v>978</v>
      </c>
      <c r="D1083" s="31" t="s">
        <v>1167</v>
      </c>
      <c r="E1083" s="31" t="s">
        <v>1224</v>
      </c>
      <c r="F1083" s="28" t="s">
        <v>1509</v>
      </c>
      <c r="G1083" s="28" t="s">
        <v>1486</v>
      </c>
      <c r="H1083" s="35" t="s">
        <v>1053</v>
      </c>
      <c r="I1083" s="28" t="str">
        <f>VLOOKUP(F1083,표준용어사전!$B:$D,3,FALSE)</f>
        <v>코드V30</v>
      </c>
      <c r="J1083" s="33" t="s">
        <v>78</v>
      </c>
      <c r="K1083" s="34" t="s">
        <v>996</v>
      </c>
      <c r="L1083" s="29" t="s">
        <v>571</v>
      </c>
      <c r="M1083" s="29" t="s">
        <v>1018</v>
      </c>
      <c r="N1083" s="32" t="s">
        <v>973</v>
      </c>
      <c r="O1083" s="31"/>
      <c r="P1083" s="31"/>
      <c r="Q1083" s="28" t="s">
        <v>76</v>
      </c>
      <c r="R1083" s="29"/>
      <c r="S1083" s="31"/>
      <c r="T1083" s="31"/>
      <c r="U1083" s="28" t="s">
        <v>75</v>
      </c>
      <c r="V1083" s="28" t="s">
        <v>75</v>
      </c>
      <c r="W1083" s="31"/>
    </row>
    <row r="1084" spans="1:23" s="12" customFormat="1">
      <c r="A1084" s="46" t="s">
        <v>572</v>
      </c>
      <c r="B1084" s="28" t="s">
        <v>1337</v>
      </c>
      <c r="C1084" s="28" t="s">
        <v>978</v>
      </c>
      <c r="D1084" s="31" t="s">
        <v>1168</v>
      </c>
      <c r="E1084" s="31" t="s">
        <v>1210</v>
      </c>
      <c r="F1084" s="28" t="s">
        <v>1413</v>
      </c>
      <c r="G1084" s="28" t="s">
        <v>1005</v>
      </c>
      <c r="H1084" s="35" t="s">
        <v>1056</v>
      </c>
      <c r="I1084" s="28" t="e">
        <f>VLOOKUP(F1084,표준용어사전!$B:$D,3,FALSE)</f>
        <v>#N/A</v>
      </c>
      <c r="J1084" s="33" t="s">
        <v>570</v>
      </c>
      <c r="K1084" s="34" t="s">
        <v>986</v>
      </c>
      <c r="L1084" s="29" t="s">
        <v>571</v>
      </c>
      <c r="M1084" s="29" t="s">
        <v>961</v>
      </c>
      <c r="N1084" s="32" t="s">
        <v>973</v>
      </c>
      <c r="O1084" s="31" t="s">
        <v>641</v>
      </c>
      <c r="P1084" s="31"/>
      <c r="Q1084" s="28" t="s">
        <v>76</v>
      </c>
      <c r="R1084" s="29"/>
      <c r="S1084" s="31"/>
      <c r="T1084" s="31"/>
      <c r="U1084" s="28" t="s">
        <v>75</v>
      </c>
      <c r="V1084" s="28" t="s">
        <v>75</v>
      </c>
      <c r="W1084" s="31"/>
    </row>
    <row r="1085" spans="1:23" s="12" customFormat="1">
      <c r="A1085" s="46" t="s">
        <v>572</v>
      </c>
      <c r="B1085" s="28" t="s">
        <v>1337</v>
      </c>
      <c r="C1085" s="28" t="s">
        <v>978</v>
      </c>
      <c r="D1085" s="31" t="s">
        <v>1168</v>
      </c>
      <c r="E1085" s="31" t="s">
        <v>1234</v>
      </c>
      <c r="F1085" s="28" t="s">
        <v>1032</v>
      </c>
      <c r="G1085" s="28" t="s">
        <v>1032</v>
      </c>
      <c r="H1085" s="35" t="s">
        <v>1056</v>
      </c>
      <c r="I1085" s="28" t="e">
        <f>VLOOKUP(F1085,표준용어사전!$B:$D,3,FALSE)</f>
        <v>#N/A</v>
      </c>
      <c r="J1085" s="33" t="s">
        <v>16</v>
      </c>
      <c r="K1085" s="34" t="s">
        <v>927</v>
      </c>
      <c r="L1085" s="29" t="s">
        <v>571</v>
      </c>
      <c r="M1085" s="29" t="s">
        <v>726</v>
      </c>
      <c r="N1085" s="32" t="s">
        <v>973</v>
      </c>
      <c r="O1085" s="31"/>
      <c r="P1085" s="31"/>
      <c r="Q1085" s="28" t="s">
        <v>76</v>
      </c>
      <c r="R1085" s="29"/>
      <c r="S1085" s="31"/>
      <c r="T1085" s="28" t="s">
        <v>574</v>
      </c>
      <c r="U1085" s="28" t="s">
        <v>75</v>
      </c>
      <c r="V1085" s="28" t="s">
        <v>75</v>
      </c>
      <c r="W1085" s="31"/>
    </row>
    <row r="1086" spans="1:23" s="12" customFormat="1">
      <c r="A1086" s="46" t="s">
        <v>572</v>
      </c>
      <c r="B1086" s="28" t="s">
        <v>1337</v>
      </c>
      <c r="C1086" s="28" t="s">
        <v>978</v>
      </c>
      <c r="D1086" s="31" t="s">
        <v>1168</v>
      </c>
      <c r="E1086" s="31" t="s">
        <v>1194</v>
      </c>
      <c r="F1086" s="28" t="s">
        <v>1501</v>
      </c>
      <c r="G1086" s="28" t="s">
        <v>1454</v>
      </c>
      <c r="H1086" s="35" t="s">
        <v>1056</v>
      </c>
      <c r="I1086" s="28" t="str">
        <f>VLOOKUP(F1086,표준용어사전!$B:$D,3,FALSE)</f>
        <v>여부C1</v>
      </c>
      <c r="J1086" s="33" t="s">
        <v>570</v>
      </c>
      <c r="K1086" s="34" t="s">
        <v>985</v>
      </c>
      <c r="L1086" s="29" t="s">
        <v>571</v>
      </c>
      <c r="M1086" s="29" t="s">
        <v>722</v>
      </c>
      <c r="N1086" s="32" t="s">
        <v>75</v>
      </c>
      <c r="O1086" s="31"/>
      <c r="P1086" s="31"/>
      <c r="Q1086" s="28" t="s">
        <v>76</v>
      </c>
      <c r="R1086" s="29"/>
      <c r="S1086" s="31"/>
      <c r="T1086" s="31"/>
      <c r="U1086" s="28" t="s">
        <v>75</v>
      </c>
      <c r="V1086" s="28" t="s">
        <v>75</v>
      </c>
      <c r="W1086" s="31"/>
    </row>
    <row r="1087" spans="1:23" s="12" customFormat="1">
      <c r="A1087" s="46" t="s">
        <v>572</v>
      </c>
      <c r="B1087" s="28" t="s">
        <v>1337</v>
      </c>
      <c r="C1087" s="28" t="s">
        <v>978</v>
      </c>
      <c r="D1087" s="31" t="s">
        <v>1168</v>
      </c>
      <c r="E1087" s="31" t="s">
        <v>1250</v>
      </c>
      <c r="F1087" s="28" t="s">
        <v>1057</v>
      </c>
      <c r="G1087" s="28" t="s">
        <v>1057</v>
      </c>
      <c r="H1087" s="35" t="s">
        <v>1056</v>
      </c>
      <c r="I1087" s="28" t="e">
        <f>VLOOKUP(F1087,표준용어사전!$B:$D,3,FALSE)</f>
        <v>#N/A</v>
      </c>
      <c r="J1087" s="33" t="s">
        <v>570</v>
      </c>
      <c r="K1087" s="34" t="s">
        <v>985</v>
      </c>
      <c r="L1087" s="29" t="s">
        <v>571</v>
      </c>
      <c r="M1087" s="29" t="s">
        <v>722</v>
      </c>
      <c r="N1087" s="32" t="s">
        <v>75</v>
      </c>
      <c r="O1087" s="31"/>
      <c r="P1087" s="31"/>
      <c r="Q1087" s="28" t="s">
        <v>76</v>
      </c>
      <c r="R1087" s="29"/>
      <c r="S1087" s="31"/>
      <c r="T1087" s="31"/>
      <c r="U1087" s="28" t="s">
        <v>75</v>
      </c>
      <c r="V1087" s="28" t="s">
        <v>75</v>
      </c>
      <c r="W1087" s="31"/>
    </row>
    <row r="1088" spans="1:23" s="12" customFormat="1">
      <c r="A1088" s="46" t="s">
        <v>572</v>
      </c>
      <c r="B1088" s="28" t="s">
        <v>1337</v>
      </c>
      <c r="C1088" s="28" t="s">
        <v>978</v>
      </c>
      <c r="D1088" s="31" t="s">
        <v>1169</v>
      </c>
      <c r="E1088" s="31" t="s">
        <v>1210</v>
      </c>
      <c r="F1088" s="28" t="s">
        <v>1413</v>
      </c>
      <c r="G1088" s="28" t="s">
        <v>1058</v>
      </c>
      <c r="H1088" s="35" t="s">
        <v>1059</v>
      </c>
      <c r="I1088" s="28" t="e">
        <f>VLOOKUP(F1088,표준용어사전!$B:$D,3,FALSE)</f>
        <v>#N/A</v>
      </c>
      <c r="J1088" s="33" t="s">
        <v>570</v>
      </c>
      <c r="K1088" s="34" t="s">
        <v>986</v>
      </c>
      <c r="L1088" s="29" t="s">
        <v>571</v>
      </c>
      <c r="M1088" s="29" t="s">
        <v>961</v>
      </c>
      <c r="N1088" s="32" t="s">
        <v>973</v>
      </c>
      <c r="O1088" s="31" t="s">
        <v>641</v>
      </c>
      <c r="P1088" s="31" t="s">
        <v>1370</v>
      </c>
      <c r="Q1088" s="28" t="s">
        <v>76</v>
      </c>
      <c r="R1088" s="29"/>
      <c r="S1088" s="31"/>
      <c r="T1088" s="31"/>
      <c r="U1088" s="28" t="s">
        <v>75</v>
      </c>
      <c r="V1088" s="28" t="s">
        <v>75</v>
      </c>
      <c r="W1088" s="31"/>
    </row>
    <row r="1089" spans="1:23" s="12" customFormat="1">
      <c r="A1089" s="46" t="s">
        <v>572</v>
      </c>
      <c r="B1089" s="28" t="s">
        <v>1337</v>
      </c>
      <c r="C1089" s="28" t="s">
        <v>978</v>
      </c>
      <c r="D1089" s="31" t="s">
        <v>1169</v>
      </c>
      <c r="E1089" s="31" t="s">
        <v>1251</v>
      </c>
      <c r="F1089" s="28" t="s">
        <v>1060</v>
      </c>
      <c r="G1089" s="28" t="s">
        <v>1060</v>
      </c>
      <c r="H1089" s="35" t="s">
        <v>1059</v>
      </c>
      <c r="I1089" s="28" t="e">
        <f>VLOOKUP(F1089,표준용어사전!$B:$D,3,FALSE)</f>
        <v>#N/A</v>
      </c>
      <c r="J1089" s="33" t="s">
        <v>63</v>
      </c>
      <c r="K1089" s="34" t="s">
        <v>1061</v>
      </c>
      <c r="L1089" s="29" t="s">
        <v>571</v>
      </c>
      <c r="M1089" s="29">
        <v>9999999999</v>
      </c>
      <c r="N1089" s="32" t="s">
        <v>973</v>
      </c>
      <c r="O1089" s="31" t="s">
        <v>573</v>
      </c>
      <c r="P1089" s="31"/>
      <c r="Q1089" s="28" t="s">
        <v>76</v>
      </c>
      <c r="R1089" s="29"/>
      <c r="S1089" s="31"/>
      <c r="T1089" s="31"/>
      <c r="U1089" s="28" t="s">
        <v>75</v>
      </c>
      <c r="V1089" s="28" t="s">
        <v>75</v>
      </c>
      <c r="W1089" s="31"/>
    </row>
    <row r="1090" spans="1:23" s="12" customFormat="1">
      <c r="A1090" s="46" t="s">
        <v>572</v>
      </c>
      <c r="B1090" s="28" t="s">
        <v>1337</v>
      </c>
      <c r="C1090" s="28" t="s">
        <v>978</v>
      </c>
      <c r="D1090" s="31" t="s">
        <v>1169</v>
      </c>
      <c r="E1090" s="31" t="s">
        <v>1252</v>
      </c>
      <c r="F1090" s="28" t="s">
        <v>956</v>
      </c>
      <c r="G1090" s="28" t="s">
        <v>956</v>
      </c>
      <c r="H1090" s="35" t="s">
        <v>1059</v>
      </c>
      <c r="I1090" s="28" t="e">
        <f>VLOOKUP(F1090,표준용어사전!$B:$D,3,FALSE)</f>
        <v>#N/A</v>
      </c>
      <c r="J1090" s="33" t="s">
        <v>78</v>
      </c>
      <c r="K1090" s="34" t="s">
        <v>1062</v>
      </c>
      <c r="L1090" s="29" t="s">
        <v>571</v>
      </c>
      <c r="M1090" s="29" t="s">
        <v>728</v>
      </c>
      <c r="N1090" s="32" t="s">
        <v>973</v>
      </c>
      <c r="O1090" s="31"/>
      <c r="P1090" s="31"/>
      <c r="Q1090" s="28" t="s">
        <v>76</v>
      </c>
      <c r="R1090" s="29"/>
      <c r="S1090" s="31"/>
      <c r="T1090" s="31"/>
      <c r="U1090" s="28" t="s">
        <v>75</v>
      </c>
      <c r="V1090" s="28" t="s">
        <v>75</v>
      </c>
      <c r="W1090" s="31"/>
    </row>
    <row r="1091" spans="1:23" s="12" customFormat="1">
      <c r="A1091" s="46" t="s">
        <v>572</v>
      </c>
      <c r="B1091" s="28" t="s">
        <v>1337</v>
      </c>
      <c r="C1091" s="28" t="s">
        <v>978</v>
      </c>
      <c r="D1091" s="31" t="s">
        <v>1169</v>
      </c>
      <c r="E1091" s="31" t="s">
        <v>1253</v>
      </c>
      <c r="F1091" s="28" t="s">
        <v>1063</v>
      </c>
      <c r="G1091" s="28" t="s">
        <v>1063</v>
      </c>
      <c r="H1091" s="35" t="s">
        <v>1059</v>
      </c>
      <c r="I1091" s="28" t="str">
        <f>VLOOKUP(F1091,표준용어사전!$B:$D,3,FALSE)</f>
        <v>명V256</v>
      </c>
      <c r="J1091" s="33" t="s">
        <v>78</v>
      </c>
      <c r="K1091" s="34" t="s">
        <v>1064</v>
      </c>
      <c r="L1091" s="29" t="s">
        <v>571</v>
      </c>
      <c r="M1091" s="29" t="s">
        <v>732</v>
      </c>
      <c r="N1091" s="32" t="s">
        <v>973</v>
      </c>
      <c r="O1091" s="31"/>
      <c r="P1091" s="31"/>
      <c r="Q1091" s="28" t="s">
        <v>76</v>
      </c>
      <c r="R1091" s="29"/>
      <c r="S1091" s="31"/>
      <c r="T1091" s="31"/>
      <c r="U1091" s="28" t="s">
        <v>75</v>
      </c>
      <c r="V1091" s="28" t="s">
        <v>75</v>
      </c>
      <c r="W1091" s="31"/>
    </row>
    <row r="1092" spans="1:23" s="12" customFormat="1">
      <c r="A1092" s="46" t="s">
        <v>572</v>
      </c>
      <c r="B1092" s="28" t="s">
        <v>1337</v>
      </c>
      <c r="C1092" s="28" t="s">
        <v>978</v>
      </c>
      <c r="D1092" s="31" t="s">
        <v>1169</v>
      </c>
      <c r="E1092" s="31" t="s">
        <v>1254</v>
      </c>
      <c r="F1092" s="28" t="s">
        <v>1065</v>
      </c>
      <c r="G1092" s="28" t="s">
        <v>1065</v>
      </c>
      <c r="H1092" s="35" t="s">
        <v>1059</v>
      </c>
      <c r="I1092" s="28" t="e">
        <f>VLOOKUP(F1092,표준용어사전!$B:$D,3,FALSE)</f>
        <v>#N/A</v>
      </c>
      <c r="J1092" s="33" t="s">
        <v>78</v>
      </c>
      <c r="K1092" s="34" t="s">
        <v>1064</v>
      </c>
      <c r="L1092" s="29" t="s">
        <v>571</v>
      </c>
      <c r="M1092" s="29" t="s">
        <v>732</v>
      </c>
      <c r="N1092" s="32" t="s">
        <v>75</v>
      </c>
      <c r="O1092" s="31"/>
      <c r="P1092" s="31"/>
      <c r="Q1092" s="28" t="s">
        <v>76</v>
      </c>
      <c r="R1092" s="29"/>
      <c r="S1092" s="31"/>
      <c r="T1092" s="31"/>
      <c r="U1092" s="28" t="s">
        <v>75</v>
      </c>
      <c r="V1092" s="28" t="s">
        <v>75</v>
      </c>
      <c r="W1092" s="31"/>
    </row>
    <row r="1093" spans="1:23" s="12" customFormat="1">
      <c r="A1093" s="46" t="s">
        <v>572</v>
      </c>
      <c r="B1093" s="28" t="s">
        <v>1337</v>
      </c>
      <c r="C1093" s="28" t="s">
        <v>978</v>
      </c>
      <c r="D1093" s="31" t="s">
        <v>1169</v>
      </c>
      <c r="E1093" s="31" t="s">
        <v>1255</v>
      </c>
      <c r="F1093" s="28" t="s">
        <v>1066</v>
      </c>
      <c r="G1093" s="28" t="s">
        <v>1066</v>
      </c>
      <c r="H1093" s="35" t="s">
        <v>1059</v>
      </c>
      <c r="I1093" s="28" t="e">
        <f>VLOOKUP(F1093,표준용어사전!$B:$D,3,FALSE)</f>
        <v>#N/A</v>
      </c>
      <c r="J1093" s="33" t="s">
        <v>78</v>
      </c>
      <c r="K1093" s="34" t="s">
        <v>986</v>
      </c>
      <c r="L1093" s="29" t="s">
        <v>571</v>
      </c>
      <c r="M1093" s="29" t="s">
        <v>727</v>
      </c>
      <c r="N1093" s="32" t="s">
        <v>973</v>
      </c>
      <c r="O1093" s="31"/>
      <c r="P1093" s="31"/>
      <c r="Q1093" s="28" t="s">
        <v>76</v>
      </c>
      <c r="R1093" s="29"/>
      <c r="S1093" s="31"/>
      <c r="T1093" s="31"/>
      <c r="U1093" s="28" t="s">
        <v>75</v>
      </c>
      <c r="V1093" s="28" t="s">
        <v>75</v>
      </c>
      <c r="W1093" s="31"/>
    </row>
    <row r="1094" spans="1:23" s="12" customFormat="1">
      <c r="A1094" s="46" t="s">
        <v>572</v>
      </c>
      <c r="B1094" s="28" t="s">
        <v>1337</v>
      </c>
      <c r="C1094" s="28" t="s">
        <v>978</v>
      </c>
      <c r="D1094" s="31" t="s">
        <v>1169</v>
      </c>
      <c r="E1094" s="31" t="s">
        <v>1256</v>
      </c>
      <c r="F1094" s="28" t="s">
        <v>1067</v>
      </c>
      <c r="G1094" s="28" t="s">
        <v>1067</v>
      </c>
      <c r="H1094" s="35" t="s">
        <v>1059</v>
      </c>
      <c r="I1094" s="28" t="e">
        <f>VLOOKUP(F1094,표준용어사전!$B:$D,3,FALSE)</f>
        <v>#N/A</v>
      </c>
      <c r="J1094" s="33" t="s">
        <v>1000</v>
      </c>
      <c r="K1094" s="41" t="s">
        <v>927</v>
      </c>
      <c r="L1094" s="29" t="s">
        <v>571</v>
      </c>
      <c r="M1094" s="29"/>
      <c r="N1094" s="32" t="s">
        <v>75</v>
      </c>
      <c r="O1094" s="31"/>
      <c r="P1094" s="31"/>
      <c r="Q1094" s="28" t="s">
        <v>76</v>
      </c>
      <c r="R1094" s="29"/>
      <c r="S1094" s="31"/>
      <c r="T1094" s="31"/>
      <c r="U1094" s="28" t="s">
        <v>75</v>
      </c>
      <c r="V1094" s="28" t="s">
        <v>75</v>
      </c>
      <c r="W1094" s="31"/>
    </row>
    <row r="1095" spans="1:23" s="12" customFormat="1">
      <c r="A1095" s="46" t="s">
        <v>572</v>
      </c>
      <c r="B1095" s="28" t="s">
        <v>1337</v>
      </c>
      <c r="C1095" s="28" t="s">
        <v>978</v>
      </c>
      <c r="D1095" s="31" t="s">
        <v>1169</v>
      </c>
      <c r="E1095" s="31" t="s">
        <v>1257</v>
      </c>
      <c r="F1095" s="28" t="s">
        <v>1068</v>
      </c>
      <c r="G1095" s="28" t="s">
        <v>1068</v>
      </c>
      <c r="H1095" s="35" t="s">
        <v>1059</v>
      </c>
      <c r="I1095" s="28" t="e">
        <f>VLOOKUP(F1095,표준용어사전!$B:$D,3,FALSE)</f>
        <v>#N/A</v>
      </c>
      <c r="J1095" s="33" t="s">
        <v>63</v>
      </c>
      <c r="K1095" s="34" t="s">
        <v>1061</v>
      </c>
      <c r="L1095" s="29" t="s">
        <v>571</v>
      </c>
      <c r="M1095" s="29">
        <v>9999999999</v>
      </c>
      <c r="N1095" s="32" t="s">
        <v>75</v>
      </c>
      <c r="O1095" s="31"/>
      <c r="P1095" s="31"/>
      <c r="Q1095" s="28" t="s">
        <v>76</v>
      </c>
      <c r="R1095" s="29"/>
      <c r="S1095" s="31"/>
      <c r="T1095" s="31"/>
      <c r="U1095" s="28" t="s">
        <v>75</v>
      </c>
      <c r="V1095" s="28" t="s">
        <v>75</v>
      </c>
      <c r="W1095" s="31"/>
    </row>
    <row r="1096" spans="1:23" s="12" customFormat="1">
      <c r="A1096" s="46" t="s">
        <v>572</v>
      </c>
      <c r="B1096" s="28" t="s">
        <v>1337</v>
      </c>
      <c r="C1096" s="28" t="s">
        <v>978</v>
      </c>
      <c r="D1096" s="31" t="s">
        <v>1169</v>
      </c>
      <c r="E1096" s="31" t="s">
        <v>1258</v>
      </c>
      <c r="F1096" s="28" t="s">
        <v>1453</v>
      </c>
      <c r="G1096" s="28" t="s">
        <v>1453</v>
      </c>
      <c r="H1096" s="35" t="s">
        <v>1059</v>
      </c>
      <c r="I1096" s="28" t="e">
        <f>VLOOKUP(F1096,표준용어사전!$B:$D,3,FALSE)</f>
        <v>#N/A</v>
      </c>
      <c r="J1096" s="33" t="s">
        <v>78</v>
      </c>
      <c r="K1096" s="34" t="s">
        <v>1061</v>
      </c>
      <c r="L1096" s="29" t="s">
        <v>571</v>
      </c>
      <c r="M1096" s="29" t="s">
        <v>1119</v>
      </c>
      <c r="N1096" s="32" t="s">
        <v>75</v>
      </c>
      <c r="O1096" s="31"/>
      <c r="P1096" s="31"/>
      <c r="Q1096" s="28" t="s">
        <v>76</v>
      </c>
      <c r="R1096" s="29"/>
      <c r="S1096" s="31"/>
      <c r="T1096" s="31"/>
      <c r="U1096" s="28" t="s">
        <v>75</v>
      </c>
      <c r="V1096" s="28" t="s">
        <v>75</v>
      </c>
      <c r="W1096" s="31"/>
    </row>
    <row r="1097" spans="1:23" s="12" customFormat="1">
      <c r="A1097" s="46" t="s">
        <v>572</v>
      </c>
      <c r="B1097" s="28" t="s">
        <v>1337</v>
      </c>
      <c r="C1097" s="28" t="s">
        <v>978</v>
      </c>
      <c r="D1097" s="31" t="s">
        <v>1169</v>
      </c>
      <c r="E1097" s="31" t="s">
        <v>1259</v>
      </c>
      <c r="F1097" s="28" t="s">
        <v>1069</v>
      </c>
      <c r="G1097" s="28" t="s">
        <v>1069</v>
      </c>
      <c r="H1097" s="35" t="s">
        <v>1059</v>
      </c>
      <c r="I1097" s="28" t="e">
        <f>VLOOKUP(F1097,표준용어사전!$B:$D,3,FALSE)</f>
        <v>#N/A</v>
      </c>
      <c r="J1097" s="33" t="s">
        <v>78</v>
      </c>
      <c r="K1097" s="34" t="s">
        <v>1061</v>
      </c>
      <c r="L1097" s="29" t="s">
        <v>571</v>
      </c>
      <c r="M1097" s="29" t="s">
        <v>1119</v>
      </c>
      <c r="N1097" s="32" t="s">
        <v>75</v>
      </c>
      <c r="O1097" s="31"/>
      <c r="P1097" s="31"/>
      <c r="Q1097" s="28" t="s">
        <v>76</v>
      </c>
      <c r="R1097" s="29"/>
      <c r="S1097" s="31"/>
      <c r="T1097" s="31"/>
      <c r="U1097" s="28" t="s">
        <v>75</v>
      </c>
      <c r="V1097" s="28" t="s">
        <v>75</v>
      </c>
      <c r="W1097" s="31"/>
    </row>
    <row r="1098" spans="1:23" s="12" customFormat="1">
      <c r="A1098" s="46" t="s">
        <v>572</v>
      </c>
      <c r="B1098" s="28" t="s">
        <v>1337</v>
      </c>
      <c r="C1098" s="28" t="s">
        <v>978</v>
      </c>
      <c r="D1098" s="31" t="s">
        <v>1170</v>
      </c>
      <c r="E1098" s="31" t="s">
        <v>1260</v>
      </c>
      <c r="F1098" s="28" t="s">
        <v>1070</v>
      </c>
      <c r="G1098" s="28" t="s">
        <v>1070</v>
      </c>
      <c r="H1098" s="35" t="s">
        <v>1071</v>
      </c>
      <c r="I1098" s="28" t="e">
        <f>VLOOKUP(F1098,표준용어사전!$B:$D,3,FALSE)</f>
        <v>#N/A</v>
      </c>
      <c r="J1098" s="33" t="s">
        <v>570</v>
      </c>
      <c r="K1098" s="34" t="s">
        <v>986</v>
      </c>
      <c r="L1098" s="29" t="s">
        <v>571</v>
      </c>
      <c r="M1098" s="29" t="s">
        <v>961</v>
      </c>
      <c r="N1098" s="32" t="s">
        <v>973</v>
      </c>
      <c r="O1098" s="31" t="s">
        <v>641</v>
      </c>
      <c r="P1098" s="31"/>
      <c r="Q1098" s="28" t="s">
        <v>76</v>
      </c>
      <c r="R1098" s="29"/>
      <c r="S1098" s="31"/>
      <c r="T1098" s="31"/>
      <c r="U1098" s="28" t="s">
        <v>75</v>
      </c>
      <c r="V1098" s="28" t="s">
        <v>75</v>
      </c>
      <c r="W1098" s="31"/>
    </row>
    <row r="1099" spans="1:23" s="12" customFormat="1">
      <c r="A1099" s="46" t="s">
        <v>572</v>
      </c>
      <c r="B1099" s="28" t="s">
        <v>1337</v>
      </c>
      <c r="C1099" s="28" t="s">
        <v>978</v>
      </c>
      <c r="D1099" s="31" t="s">
        <v>1170</v>
      </c>
      <c r="E1099" s="31" t="s">
        <v>1261</v>
      </c>
      <c r="F1099" s="28" t="s">
        <v>1072</v>
      </c>
      <c r="G1099" s="28" t="s">
        <v>1072</v>
      </c>
      <c r="H1099" s="35" t="s">
        <v>1071</v>
      </c>
      <c r="I1099" s="28" t="e">
        <f>VLOOKUP(F1099,표준용어사전!$B:$D,3,FALSE)</f>
        <v>#N/A</v>
      </c>
      <c r="J1099" s="33" t="s">
        <v>78</v>
      </c>
      <c r="K1099" s="34" t="s">
        <v>986</v>
      </c>
      <c r="L1099" s="29" t="s">
        <v>571</v>
      </c>
      <c r="M1099" s="29" t="s">
        <v>727</v>
      </c>
      <c r="N1099" s="32" t="s">
        <v>75</v>
      </c>
      <c r="O1099" s="31"/>
      <c r="P1099" s="31"/>
      <c r="Q1099" s="28" t="s">
        <v>76</v>
      </c>
      <c r="R1099" s="29"/>
      <c r="S1099" s="31"/>
      <c r="T1099" s="31"/>
      <c r="U1099" s="28" t="s">
        <v>75</v>
      </c>
      <c r="V1099" s="28" t="s">
        <v>75</v>
      </c>
      <c r="W1099" s="31"/>
    </row>
    <row r="1100" spans="1:23" s="12" customFormat="1">
      <c r="A1100" s="46" t="s">
        <v>572</v>
      </c>
      <c r="B1100" s="28" t="s">
        <v>1337</v>
      </c>
      <c r="C1100" s="28" t="s">
        <v>978</v>
      </c>
      <c r="D1100" s="31" t="s">
        <v>1170</v>
      </c>
      <c r="E1100" s="31" t="s">
        <v>1262</v>
      </c>
      <c r="F1100" s="28" t="s">
        <v>1627</v>
      </c>
      <c r="G1100" s="28" t="s">
        <v>1627</v>
      </c>
      <c r="H1100" s="35" t="s">
        <v>1071</v>
      </c>
      <c r="I1100" s="28" t="e">
        <f>VLOOKUP(F1100,표준용어사전!$B:$D,3,FALSE)</f>
        <v>#N/A</v>
      </c>
      <c r="J1100" s="33" t="s">
        <v>78</v>
      </c>
      <c r="K1100" s="34" t="s">
        <v>1073</v>
      </c>
      <c r="L1100" s="29" t="s">
        <v>571</v>
      </c>
      <c r="M1100" s="29" t="s">
        <v>788</v>
      </c>
      <c r="N1100" s="32" t="s">
        <v>75</v>
      </c>
      <c r="O1100" s="31"/>
      <c r="P1100" s="31"/>
      <c r="Q1100" s="28" t="s">
        <v>76</v>
      </c>
      <c r="R1100" s="29"/>
      <c r="S1100" s="31"/>
      <c r="T1100" s="31"/>
      <c r="U1100" s="28" t="s">
        <v>75</v>
      </c>
      <c r="V1100" s="28" t="s">
        <v>75</v>
      </c>
      <c r="W1100" s="31"/>
    </row>
    <row r="1101" spans="1:23" s="12" customFormat="1">
      <c r="A1101" s="46" t="s">
        <v>572</v>
      </c>
      <c r="B1101" s="28" t="s">
        <v>1337</v>
      </c>
      <c r="C1101" s="28" t="s">
        <v>978</v>
      </c>
      <c r="D1101" s="31" t="s">
        <v>1170</v>
      </c>
      <c r="E1101" s="31" t="s">
        <v>1263</v>
      </c>
      <c r="F1101" s="28" t="s">
        <v>1074</v>
      </c>
      <c r="G1101" s="28" t="s">
        <v>1074</v>
      </c>
      <c r="H1101" s="35" t="s">
        <v>1071</v>
      </c>
      <c r="I1101" s="28" t="e">
        <f>VLOOKUP(F1101,표준용어사전!$B:$D,3,FALSE)</f>
        <v>#N/A</v>
      </c>
      <c r="J1101" s="33" t="s">
        <v>78</v>
      </c>
      <c r="K1101" s="34" t="s">
        <v>1002</v>
      </c>
      <c r="L1101" s="29" t="s">
        <v>571</v>
      </c>
      <c r="M1101" s="29" t="s">
        <v>720</v>
      </c>
      <c r="N1101" s="32" t="s">
        <v>75</v>
      </c>
      <c r="O1101" s="31"/>
      <c r="P1101" s="31"/>
      <c r="Q1101" s="28" t="s">
        <v>76</v>
      </c>
      <c r="R1101" s="29"/>
      <c r="S1101" s="31"/>
      <c r="T1101" s="31"/>
      <c r="U1101" s="28" t="s">
        <v>75</v>
      </c>
      <c r="V1101" s="28" t="s">
        <v>75</v>
      </c>
      <c r="W1101" s="31"/>
    </row>
    <row r="1102" spans="1:23" s="12" customFormat="1">
      <c r="A1102" s="46" t="s">
        <v>572</v>
      </c>
      <c r="B1102" s="28" t="s">
        <v>1337</v>
      </c>
      <c r="C1102" s="28" t="s">
        <v>978</v>
      </c>
      <c r="D1102" s="31" t="s">
        <v>1170</v>
      </c>
      <c r="E1102" s="31" t="s">
        <v>1264</v>
      </c>
      <c r="F1102" s="28" t="s">
        <v>1075</v>
      </c>
      <c r="G1102" s="28" t="s">
        <v>1075</v>
      </c>
      <c r="H1102" s="35" t="s">
        <v>1071</v>
      </c>
      <c r="I1102" s="28" t="e">
        <f>VLOOKUP(F1102,표준용어사전!$B:$D,3,FALSE)</f>
        <v>#N/A</v>
      </c>
      <c r="J1102" s="33" t="s">
        <v>78</v>
      </c>
      <c r="K1102" s="34" t="s">
        <v>1002</v>
      </c>
      <c r="L1102" s="29" t="s">
        <v>571</v>
      </c>
      <c r="M1102" s="29" t="s">
        <v>720</v>
      </c>
      <c r="N1102" s="32" t="s">
        <v>75</v>
      </c>
      <c r="O1102" s="31"/>
      <c r="P1102" s="31"/>
      <c r="Q1102" s="28" t="s">
        <v>76</v>
      </c>
      <c r="R1102" s="29"/>
      <c r="S1102" s="31"/>
      <c r="T1102" s="31"/>
      <c r="U1102" s="28" t="s">
        <v>75</v>
      </c>
      <c r="V1102" s="28" t="s">
        <v>75</v>
      </c>
      <c r="W1102" s="31"/>
    </row>
    <row r="1103" spans="1:23" s="12" customFormat="1">
      <c r="A1103" s="46" t="s">
        <v>572</v>
      </c>
      <c r="B1103" s="28" t="s">
        <v>1337</v>
      </c>
      <c r="C1103" s="28" t="s">
        <v>978</v>
      </c>
      <c r="D1103" s="31" t="s">
        <v>1170</v>
      </c>
      <c r="E1103" s="31" t="s">
        <v>1265</v>
      </c>
      <c r="F1103" s="28" t="s">
        <v>1076</v>
      </c>
      <c r="G1103" s="28" t="s">
        <v>1076</v>
      </c>
      <c r="H1103" s="35" t="s">
        <v>1071</v>
      </c>
      <c r="I1103" s="28" t="e">
        <f>VLOOKUP(F1103,표준용어사전!$B:$D,3,FALSE)</f>
        <v>#N/A</v>
      </c>
      <c r="J1103" s="33" t="s">
        <v>78</v>
      </c>
      <c r="K1103" s="34" t="s">
        <v>996</v>
      </c>
      <c r="L1103" s="29" t="s">
        <v>571</v>
      </c>
      <c r="M1103" s="29" t="s">
        <v>1018</v>
      </c>
      <c r="N1103" s="32" t="s">
        <v>75</v>
      </c>
      <c r="O1103" s="31"/>
      <c r="P1103" s="31"/>
      <c r="Q1103" s="28" t="s">
        <v>76</v>
      </c>
      <c r="R1103" s="29"/>
      <c r="S1103" s="31"/>
      <c r="T1103" s="31"/>
      <c r="U1103" s="28" t="s">
        <v>75</v>
      </c>
      <c r="V1103" s="28" t="s">
        <v>75</v>
      </c>
      <c r="W1103" s="31"/>
    </row>
    <row r="1104" spans="1:23" s="12" customFormat="1">
      <c r="A1104" s="46" t="s">
        <v>572</v>
      </c>
      <c r="B1104" s="28" t="s">
        <v>1337</v>
      </c>
      <c r="C1104" s="28" t="s">
        <v>978</v>
      </c>
      <c r="D1104" s="31" t="s">
        <v>1170</v>
      </c>
      <c r="E1104" s="31" t="s">
        <v>1266</v>
      </c>
      <c r="F1104" s="28" t="s">
        <v>1077</v>
      </c>
      <c r="G1104" s="28" t="s">
        <v>1077</v>
      </c>
      <c r="H1104" s="35" t="s">
        <v>1071</v>
      </c>
      <c r="I1104" s="28" t="e">
        <f>VLOOKUP(F1104,표준용어사전!$B:$D,3,FALSE)</f>
        <v>#N/A</v>
      </c>
      <c r="J1104" s="33" t="s">
        <v>570</v>
      </c>
      <c r="K1104" s="34" t="s">
        <v>985</v>
      </c>
      <c r="L1104" s="29" t="s">
        <v>571</v>
      </c>
      <c r="M1104" s="29" t="s">
        <v>722</v>
      </c>
      <c r="N1104" s="32" t="s">
        <v>75</v>
      </c>
      <c r="O1104" s="31"/>
      <c r="P1104" s="31"/>
      <c r="Q1104" s="28" t="s">
        <v>76</v>
      </c>
      <c r="R1104" s="29"/>
      <c r="S1104" s="31"/>
      <c r="T1104" s="31"/>
      <c r="U1104" s="28" t="s">
        <v>75</v>
      </c>
      <c r="V1104" s="28" t="s">
        <v>75</v>
      </c>
      <c r="W1104" s="31"/>
    </row>
    <row r="1105" spans="1:23" s="12" customFormat="1">
      <c r="A1105" s="46" t="s">
        <v>572</v>
      </c>
      <c r="B1105" s="28" t="s">
        <v>1337</v>
      </c>
      <c r="C1105" s="28" t="s">
        <v>978</v>
      </c>
      <c r="D1105" s="31" t="s">
        <v>1170</v>
      </c>
      <c r="E1105" s="31" t="s">
        <v>1267</v>
      </c>
      <c r="F1105" s="28" t="s">
        <v>1541</v>
      </c>
      <c r="G1105" s="28" t="s">
        <v>1457</v>
      </c>
      <c r="H1105" s="35" t="s">
        <v>1071</v>
      </c>
      <c r="I1105" s="28" t="e">
        <f>VLOOKUP(F1105,표준용어사전!$B:$D,3,FALSE)</f>
        <v>#N/A</v>
      </c>
      <c r="J1105" s="33" t="s">
        <v>570</v>
      </c>
      <c r="K1105" s="34" t="s">
        <v>985</v>
      </c>
      <c r="L1105" s="29" t="s">
        <v>571</v>
      </c>
      <c r="M1105" s="29" t="s">
        <v>722</v>
      </c>
      <c r="N1105" s="32" t="s">
        <v>75</v>
      </c>
      <c r="O1105" s="31"/>
      <c r="P1105" s="31"/>
      <c r="Q1105" s="28" t="s">
        <v>76</v>
      </c>
      <c r="R1105" s="29"/>
      <c r="S1105" s="31"/>
      <c r="T1105" s="31"/>
      <c r="U1105" s="28" t="s">
        <v>75</v>
      </c>
      <c r="V1105" s="28" t="s">
        <v>75</v>
      </c>
      <c r="W1105" s="31"/>
    </row>
    <row r="1106" spans="1:23" s="12" customFormat="1">
      <c r="A1106" s="46" t="s">
        <v>572</v>
      </c>
      <c r="B1106" s="28" t="s">
        <v>1337</v>
      </c>
      <c r="C1106" s="28" t="s">
        <v>978</v>
      </c>
      <c r="D1106" s="31" t="s">
        <v>1170</v>
      </c>
      <c r="E1106" s="31" t="s">
        <v>1463</v>
      </c>
      <c r="F1106" s="28" t="s">
        <v>1534</v>
      </c>
      <c r="G1106" s="28" t="s">
        <v>1489</v>
      </c>
      <c r="H1106" s="35" t="s">
        <v>1071</v>
      </c>
      <c r="I1106" s="28" t="e">
        <f>VLOOKUP(F1106,표준용어사전!$B:$D,3,FALSE)</f>
        <v>#N/A</v>
      </c>
      <c r="J1106" s="33" t="s">
        <v>570</v>
      </c>
      <c r="K1106" s="34" t="s">
        <v>980</v>
      </c>
      <c r="L1106" s="29" t="s">
        <v>571</v>
      </c>
      <c r="M1106" s="29" t="s">
        <v>981</v>
      </c>
      <c r="N1106" s="32" t="s">
        <v>75</v>
      </c>
      <c r="O1106" s="31"/>
      <c r="P1106" s="31"/>
      <c r="Q1106" s="28" t="s">
        <v>76</v>
      </c>
      <c r="R1106" s="29"/>
      <c r="S1106" s="31"/>
      <c r="T1106" s="31"/>
      <c r="U1106" s="28" t="s">
        <v>75</v>
      </c>
      <c r="V1106" s="28" t="s">
        <v>75</v>
      </c>
      <c r="W1106" s="31"/>
    </row>
    <row r="1107" spans="1:23" s="12" customFormat="1">
      <c r="A1107" s="46" t="s">
        <v>572</v>
      </c>
      <c r="B1107" s="28" t="s">
        <v>1337</v>
      </c>
      <c r="C1107" s="28" t="s">
        <v>978</v>
      </c>
      <c r="D1107" s="31" t="s">
        <v>1170</v>
      </c>
      <c r="E1107" s="31" t="s">
        <v>1234</v>
      </c>
      <c r="F1107" s="28" t="s">
        <v>1032</v>
      </c>
      <c r="G1107" s="28" t="s">
        <v>1032</v>
      </c>
      <c r="H1107" s="35" t="s">
        <v>1071</v>
      </c>
      <c r="I1107" s="28" t="e">
        <f>VLOOKUP(F1107,표준용어사전!$B:$D,3,FALSE)</f>
        <v>#N/A</v>
      </c>
      <c r="J1107" s="33" t="s">
        <v>16</v>
      </c>
      <c r="K1107" s="34" t="s">
        <v>927</v>
      </c>
      <c r="L1107" s="29" t="s">
        <v>571</v>
      </c>
      <c r="M1107" s="29" t="s">
        <v>726</v>
      </c>
      <c r="N1107" s="32" t="s">
        <v>75</v>
      </c>
      <c r="O1107" s="31"/>
      <c r="P1107" s="31"/>
      <c r="Q1107" s="28" t="s">
        <v>76</v>
      </c>
      <c r="R1107" s="29"/>
      <c r="S1107" s="31"/>
      <c r="T1107" s="28" t="s">
        <v>574</v>
      </c>
      <c r="U1107" s="28" t="s">
        <v>75</v>
      </c>
      <c r="V1107" s="28" t="s">
        <v>75</v>
      </c>
      <c r="W1107" s="31"/>
    </row>
    <row r="1108" spans="1:23" s="12" customFormat="1">
      <c r="A1108" s="46" t="s">
        <v>572</v>
      </c>
      <c r="B1108" s="28" t="s">
        <v>1337</v>
      </c>
      <c r="C1108" s="28" t="s">
        <v>978</v>
      </c>
      <c r="D1108" s="31" t="s">
        <v>1171</v>
      </c>
      <c r="E1108" s="31" t="s">
        <v>1212</v>
      </c>
      <c r="F1108" s="28" t="s">
        <v>1434</v>
      </c>
      <c r="G1108" s="28" t="s">
        <v>1434</v>
      </c>
      <c r="H1108" s="35" t="s">
        <v>1078</v>
      </c>
      <c r="I1108" s="28" t="str">
        <f>VLOOKUP(F1108,표준용어사전!$B:$D,3,FALSE)</f>
        <v>명V50</v>
      </c>
      <c r="J1108" s="33" t="s">
        <v>78</v>
      </c>
      <c r="K1108" s="34" t="s">
        <v>986</v>
      </c>
      <c r="L1108" s="29" t="s">
        <v>571</v>
      </c>
      <c r="M1108" s="29" t="s">
        <v>727</v>
      </c>
      <c r="N1108" s="32" t="s">
        <v>973</v>
      </c>
      <c r="O1108" s="31" t="s">
        <v>641</v>
      </c>
      <c r="P1108" s="31"/>
      <c r="Q1108" s="28" t="s">
        <v>76</v>
      </c>
      <c r="R1108" s="29"/>
      <c r="S1108" s="31"/>
      <c r="T1108" s="31"/>
      <c r="U1108" s="28" t="s">
        <v>75</v>
      </c>
      <c r="V1108" s="28" t="s">
        <v>75</v>
      </c>
      <c r="W1108" s="31"/>
    </row>
    <row r="1109" spans="1:23" s="12" customFormat="1">
      <c r="A1109" s="46" t="s">
        <v>572</v>
      </c>
      <c r="B1109" s="28" t="s">
        <v>1337</v>
      </c>
      <c r="C1109" s="28" t="s">
        <v>978</v>
      </c>
      <c r="D1109" s="31" t="s">
        <v>1171</v>
      </c>
      <c r="E1109" s="31" t="s">
        <v>1269</v>
      </c>
      <c r="F1109" s="28" t="s">
        <v>1628</v>
      </c>
      <c r="G1109" s="28" t="s">
        <v>1628</v>
      </c>
      <c r="H1109" s="35" t="s">
        <v>1078</v>
      </c>
      <c r="I1109" s="28" t="e">
        <f>VLOOKUP(F1109,표준용어사전!$B:$D,3,FALSE)</f>
        <v>#N/A</v>
      </c>
      <c r="J1109" s="33" t="s">
        <v>78</v>
      </c>
      <c r="K1109" s="34" t="s">
        <v>1073</v>
      </c>
      <c r="L1109" s="29" t="s">
        <v>571</v>
      </c>
      <c r="M1109" s="29" t="s">
        <v>788</v>
      </c>
      <c r="N1109" s="32" t="s">
        <v>973</v>
      </c>
      <c r="O1109" s="31"/>
      <c r="P1109" s="31"/>
      <c r="Q1109" s="28" t="s">
        <v>76</v>
      </c>
      <c r="R1109" s="29"/>
      <c r="S1109" s="31"/>
      <c r="T1109" s="31"/>
      <c r="U1109" s="28" t="s">
        <v>75</v>
      </c>
      <c r="V1109" s="28" t="s">
        <v>75</v>
      </c>
      <c r="W1109" s="31"/>
    </row>
    <row r="1110" spans="1:23" s="12" customFormat="1">
      <c r="A1110" s="46" t="s">
        <v>572</v>
      </c>
      <c r="B1110" s="28" t="s">
        <v>1337</v>
      </c>
      <c r="C1110" s="28" t="s">
        <v>978</v>
      </c>
      <c r="D1110" s="31" t="s">
        <v>1171</v>
      </c>
      <c r="E1110" s="31" t="s">
        <v>1270</v>
      </c>
      <c r="F1110" s="28" t="s">
        <v>1513</v>
      </c>
      <c r="G1110" s="28" t="s">
        <v>1458</v>
      </c>
      <c r="H1110" s="35" t="s">
        <v>1078</v>
      </c>
      <c r="I1110" s="28" t="e">
        <f>VLOOKUP(F1110,표준용어사전!$B:$D,3,FALSE)</f>
        <v>#N/A</v>
      </c>
      <c r="J1110" s="33" t="s">
        <v>570</v>
      </c>
      <c r="K1110" s="34" t="s">
        <v>985</v>
      </c>
      <c r="L1110" s="29" t="s">
        <v>571</v>
      </c>
      <c r="M1110" s="29" t="s">
        <v>722</v>
      </c>
      <c r="N1110" s="32" t="s">
        <v>973</v>
      </c>
      <c r="O1110" s="31"/>
      <c r="P1110" s="31"/>
      <c r="Q1110" s="28" t="s">
        <v>76</v>
      </c>
      <c r="R1110" s="29"/>
      <c r="S1110" s="31"/>
      <c r="T1110" s="31"/>
      <c r="U1110" s="28" t="s">
        <v>75</v>
      </c>
      <c r="V1110" s="28" t="s">
        <v>75</v>
      </c>
      <c r="W1110" s="31"/>
    </row>
    <row r="1111" spans="1:23" s="12" customFormat="1">
      <c r="A1111" s="46" t="s">
        <v>572</v>
      </c>
      <c r="B1111" s="28" t="s">
        <v>1337</v>
      </c>
      <c r="C1111" s="28" t="s">
        <v>978</v>
      </c>
      <c r="D1111" s="31" t="s">
        <v>1171</v>
      </c>
      <c r="E1111" s="31" t="s">
        <v>1271</v>
      </c>
      <c r="F1111" s="28" t="s">
        <v>1514</v>
      </c>
      <c r="G1111" s="28" t="s">
        <v>1459</v>
      </c>
      <c r="H1111" s="35" t="s">
        <v>1078</v>
      </c>
      <c r="I1111" s="28" t="e">
        <f>VLOOKUP(F1111,표준용어사전!$B:$D,3,FALSE)</f>
        <v>#N/A</v>
      </c>
      <c r="J1111" s="33" t="s">
        <v>570</v>
      </c>
      <c r="K1111" s="34" t="s">
        <v>985</v>
      </c>
      <c r="L1111" s="29" t="s">
        <v>571</v>
      </c>
      <c r="M1111" s="29" t="s">
        <v>722</v>
      </c>
      <c r="N1111" s="32" t="s">
        <v>973</v>
      </c>
      <c r="O1111" s="31"/>
      <c r="P1111" s="31"/>
      <c r="Q1111" s="28" t="s">
        <v>76</v>
      </c>
      <c r="R1111" s="29"/>
      <c r="S1111" s="31"/>
      <c r="T1111" s="31"/>
      <c r="U1111" s="28" t="s">
        <v>75</v>
      </c>
      <c r="V1111" s="28" t="s">
        <v>75</v>
      </c>
      <c r="W1111" s="31"/>
    </row>
    <row r="1112" spans="1:23" s="12" customFormat="1">
      <c r="A1112" s="46" t="s">
        <v>572</v>
      </c>
      <c r="B1112" s="28" t="s">
        <v>1337</v>
      </c>
      <c r="C1112" s="28" t="s">
        <v>978</v>
      </c>
      <c r="D1112" s="31" t="s">
        <v>1171</v>
      </c>
      <c r="E1112" s="31" t="s">
        <v>947</v>
      </c>
      <c r="F1112" s="28" t="s">
        <v>964</v>
      </c>
      <c r="G1112" s="28" t="s">
        <v>964</v>
      </c>
      <c r="H1112" s="35" t="s">
        <v>1078</v>
      </c>
      <c r="I1112" s="28" t="e">
        <f>VLOOKUP(F1112,표준용어사전!$B:$D,3,FALSE)</f>
        <v>#N/A</v>
      </c>
      <c r="J1112" s="33" t="s">
        <v>78</v>
      </c>
      <c r="K1112" s="34" t="s">
        <v>986</v>
      </c>
      <c r="L1112" s="29" t="s">
        <v>571</v>
      </c>
      <c r="M1112" s="29" t="s">
        <v>727</v>
      </c>
      <c r="N1112" s="32" t="s">
        <v>75</v>
      </c>
      <c r="O1112" s="31"/>
      <c r="P1112" s="31"/>
      <c r="Q1112" s="28" t="s">
        <v>76</v>
      </c>
      <c r="R1112" s="29"/>
      <c r="S1112" s="31"/>
      <c r="T1112" s="31"/>
      <c r="U1112" s="28" t="s">
        <v>75</v>
      </c>
      <c r="V1112" s="28" t="s">
        <v>75</v>
      </c>
      <c r="W1112" s="31"/>
    </row>
    <row r="1113" spans="1:23" s="12" customFormat="1">
      <c r="A1113" s="46" t="s">
        <v>572</v>
      </c>
      <c r="B1113" s="28" t="s">
        <v>1337</v>
      </c>
      <c r="C1113" s="28" t="s">
        <v>978</v>
      </c>
      <c r="D1113" s="31" t="s">
        <v>1171</v>
      </c>
      <c r="E1113" s="31" t="s">
        <v>946</v>
      </c>
      <c r="F1113" s="28" t="s">
        <v>959</v>
      </c>
      <c r="G1113" s="28" t="s">
        <v>1451</v>
      </c>
      <c r="H1113" s="35" t="s">
        <v>1078</v>
      </c>
      <c r="I1113" s="28" t="e">
        <f>VLOOKUP(F1113,표준용어사전!$B:$D,3,FALSE)</f>
        <v>#N/A</v>
      </c>
      <c r="J1113" s="33" t="s">
        <v>16</v>
      </c>
      <c r="K1113" s="34" t="s">
        <v>927</v>
      </c>
      <c r="L1113" s="29" t="s">
        <v>571</v>
      </c>
      <c r="M1113" s="29" t="s">
        <v>726</v>
      </c>
      <c r="N1113" s="32" t="s">
        <v>75</v>
      </c>
      <c r="O1113" s="31"/>
      <c r="P1113" s="31"/>
      <c r="Q1113" s="28" t="s">
        <v>76</v>
      </c>
      <c r="R1113" s="29"/>
      <c r="S1113" s="31"/>
      <c r="T1113" s="28" t="s">
        <v>574</v>
      </c>
      <c r="U1113" s="28" t="s">
        <v>75</v>
      </c>
      <c r="V1113" s="28" t="s">
        <v>75</v>
      </c>
      <c r="W1113" s="31"/>
    </row>
    <row r="1114" spans="1:23" s="12" customFormat="1">
      <c r="A1114" s="46" t="s">
        <v>572</v>
      </c>
      <c r="B1114" s="28" t="s">
        <v>1337</v>
      </c>
      <c r="C1114" s="28" t="s">
        <v>978</v>
      </c>
      <c r="D1114" s="31" t="s">
        <v>1171</v>
      </c>
      <c r="E1114" s="31" t="s">
        <v>949</v>
      </c>
      <c r="F1114" s="28" t="s">
        <v>965</v>
      </c>
      <c r="G1114" s="28" t="s">
        <v>965</v>
      </c>
      <c r="H1114" s="35" t="s">
        <v>1078</v>
      </c>
      <c r="I1114" s="28" t="e">
        <f>VLOOKUP(F1114,표준용어사전!$B:$D,3,FALSE)</f>
        <v>#N/A</v>
      </c>
      <c r="J1114" s="33" t="s">
        <v>78</v>
      </c>
      <c r="K1114" s="34" t="s">
        <v>986</v>
      </c>
      <c r="L1114" s="29" t="s">
        <v>571</v>
      </c>
      <c r="M1114" s="29" t="s">
        <v>727</v>
      </c>
      <c r="N1114" s="32" t="s">
        <v>75</v>
      </c>
      <c r="O1114" s="31"/>
      <c r="P1114" s="31"/>
      <c r="Q1114" s="28" t="s">
        <v>76</v>
      </c>
      <c r="R1114" s="29"/>
      <c r="S1114" s="31"/>
      <c r="T1114" s="31"/>
      <c r="U1114" s="28" t="s">
        <v>75</v>
      </c>
      <c r="V1114" s="28" t="s">
        <v>75</v>
      </c>
      <c r="W1114" s="31"/>
    </row>
    <row r="1115" spans="1:23" s="12" customFormat="1">
      <c r="A1115" s="46" t="s">
        <v>572</v>
      </c>
      <c r="B1115" s="28" t="s">
        <v>1337</v>
      </c>
      <c r="C1115" s="28" t="s">
        <v>978</v>
      </c>
      <c r="D1115" s="31" t="s">
        <v>1171</v>
      </c>
      <c r="E1115" s="31" t="s">
        <v>948</v>
      </c>
      <c r="F1115" s="28" t="s">
        <v>960</v>
      </c>
      <c r="G1115" s="35" t="s">
        <v>1452</v>
      </c>
      <c r="H1115" s="35" t="s">
        <v>1078</v>
      </c>
      <c r="I1115" s="28" t="e">
        <f>VLOOKUP(F1115,표준용어사전!$B:$D,3,FALSE)</f>
        <v>#N/A</v>
      </c>
      <c r="J1115" s="33" t="s">
        <v>16</v>
      </c>
      <c r="K1115" s="34" t="s">
        <v>927</v>
      </c>
      <c r="L1115" s="29" t="s">
        <v>571</v>
      </c>
      <c r="M1115" s="29" t="s">
        <v>726</v>
      </c>
      <c r="N1115" s="32" t="s">
        <v>75</v>
      </c>
      <c r="O1115" s="31"/>
      <c r="P1115" s="31"/>
      <c r="Q1115" s="28" t="s">
        <v>76</v>
      </c>
      <c r="R1115" s="29"/>
      <c r="S1115" s="31"/>
      <c r="T1115" s="28" t="s">
        <v>574</v>
      </c>
      <c r="U1115" s="28" t="s">
        <v>75</v>
      </c>
      <c r="V1115" s="28" t="s">
        <v>75</v>
      </c>
      <c r="W1115" s="31"/>
    </row>
    <row r="1116" spans="1:23" s="12" customFormat="1">
      <c r="A1116" s="46" t="s">
        <v>572</v>
      </c>
      <c r="B1116" s="28" t="s">
        <v>1337</v>
      </c>
      <c r="C1116" s="28" t="s">
        <v>978</v>
      </c>
      <c r="D1116" s="31" t="s">
        <v>1172</v>
      </c>
      <c r="E1116" s="31" t="s">
        <v>1272</v>
      </c>
      <c r="F1116" s="28" t="s">
        <v>1515</v>
      </c>
      <c r="G1116" s="28" t="s">
        <v>1466</v>
      </c>
      <c r="H1116" s="28" t="s">
        <v>1079</v>
      </c>
      <c r="I1116" s="28" t="e">
        <f>VLOOKUP(F1116,표준용어사전!$B:$D,3,FALSE)</f>
        <v>#N/A</v>
      </c>
      <c r="J1116" s="33" t="s">
        <v>570</v>
      </c>
      <c r="K1116" s="34" t="s">
        <v>986</v>
      </c>
      <c r="L1116" s="29" t="s">
        <v>571</v>
      </c>
      <c r="M1116" s="29" t="s">
        <v>961</v>
      </c>
      <c r="N1116" s="32" t="s">
        <v>973</v>
      </c>
      <c r="O1116" s="31" t="s">
        <v>641</v>
      </c>
      <c r="P1116" s="31"/>
      <c r="Q1116" s="28" t="s">
        <v>76</v>
      </c>
      <c r="R1116" s="29"/>
      <c r="S1116" s="31"/>
      <c r="T1116" s="31"/>
      <c r="U1116" s="28" t="s">
        <v>75</v>
      </c>
      <c r="V1116" s="28" t="s">
        <v>75</v>
      </c>
      <c r="W1116" s="31"/>
    </row>
    <row r="1117" spans="1:23" s="12" customFormat="1">
      <c r="A1117" s="46" t="s">
        <v>572</v>
      </c>
      <c r="B1117" s="28" t="s">
        <v>1337</v>
      </c>
      <c r="C1117" s="28" t="s">
        <v>978</v>
      </c>
      <c r="D1117" s="31" t="s">
        <v>1172</v>
      </c>
      <c r="E1117" s="31" t="s">
        <v>1273</v>
      </c>
      <c r="F1117" s="28" t="s">
        <v>1516</v>
      </c>
      <c r="G1117" s="28" t="s">
        <v>1467</v>
      </c>
      <c r="H1117" s="28" t="s">
        <v>1079</v>
      </c>
      <c r="I1117" s="28" t="e">
        <f>VLOOKUP(F1117,표준용어사전!$B:$D,3,FALSE)</f>
        <v>#N/A</v>
      </c>
      <c r="J1117" s="33" t="s">
        <v>78</v>
      </c>
      <c r="K1117" s="34" t="s">
        <v>986</v>
      </c>
      <c r="L1117" s="29" t="s">
        <v>571</v>
      </c>
      <c r="M1117" s="29" t="s">
        <v>727</v>
      </c>
      <c r="N1117" s="32" t="s">
        <v>973</v>
      </c>
      <c r="O1117" s="31"/>
      <c r="P1117" s="31"/>
      <c r="Q1117" s="28" t="s">
        <v>76</v>
      </c>
      <c r="R1117" s="29"/>
      <c r="S1117" s="31"/>
      <c r="T1117" s="31"/>
      <c r="U1117" s="28" t="s">
        <v>75</v>
      </c>
      <c r="V1117" s="28" t="s">
        <v>75</v>
      </c>
      <c r="W1117" s="31"/>
    </row>
    <row r="1118" spans="1:23" s="12" customFormat="1">
      <c r="A1118" s="46" t="s">
        <v>572</v>
      </c>
      <c r="B1118" s="28" t="s">
        <v>1337</v>
      </c>
      <c r="C1118" s="28" t="s">
        <v>978</v>
      </c>
      <c r="D1118" s="31" t="s">
        <v>1172</v>
      </c>
      <c r="E1118" s="31" t="s">
        <v>1274</v>
      </c>
      <c r="F1118" s="28" t="s">
        <v>1517</v>
      </c>
      <c r="G1118" s="28" t="s">
        <v>1460</v>
      </c>
      <c r="H1118" s="28" t="s">
        <v>1079</v>
      </c>
      <c r="I1118" s="28" t="e">
        <f>VLOOKUP(F1118,표준용어사전!$B:$D,3,FALSE)</f>
        <v>#N/A</v>
      </c>
      <c r="J1118" s="33" t="s">
        <v>570</v>
      </c>
      <c r="K1118" s="34" t="s">
        <v>985</v>
      </c>
      <c r="L1118" s="29" t="s">
        <v>571</v>
      </c>
      <c r="M1118" s="29" t="s">
        <v>722</v>
      </c>
      <c r="N1118" s="32" t="s">
        <v>973</v>
      </c>
      <c r="O1118" s="31"/>
      <c r="P1118" s="31"/>
      <c r="Q1118" s="28" t="s">
        <v>76</v>
      </c>
      <c r="R1118" s="29"/>
      <c r="S1118" s="31"/>
      <c r="T1118" s="31"/>
      <c r="U1118" s="28" t="s">
        <v>75</v>
      </c>
      <c r="V1118" s="28" t="s">
        <v>75</v>
      </c>
      <c r="W1118" s="31"/>
    </row>
    <row r="1119" spans="1:23" s="12" customFormat="1">
      <c r="A1119" s="46" t="s">
        <v>572</v>
      </c>
      <c r="B1119" s="28" t="s">
        <v>1337</v>
      </c>
      <c r="C1119" s="28" t="s">
        <v>978</v>
      </c>
      <c r="D1119" s="31" t="s">
        <v>1172</v>
      </c>
      <c r="E1119" s="31" t="s">
        <v>1275</v>
      </c>
      <c r="F1119" s="28" t="s">
        <v>1518</v>
      </c>
      <c r="G1119" s="28" t="s">
        <v>1468</v>
      </c>
      <c r="H1119" s="28" t="s">
        <v>1079</v>
      </c>
      <c r="I1119" s="28" t="e">
        <f>VLOOKUP(F1119,표준용어사전!$B:$D,3,FALSE)</f>
        <v>#N/A</v>
      </c>
      <c r="J1119" s="33" t="s">
        <v>78</v>
      </c>
      <c r="K1119" s="34" t="s">
        <v>982</v>
      </c>
      <c r="L1119" s="29" t="s">
        <v>571</v>
      </c>
      <c r="M1119" s="29" t="s">
        <v>983</v>
      </c>
      <c r="N1119" s="32" t="s">
        <v>973</v>
      </c>
      <c r="O1119" s="31"/>
      <c r="P1119" s="31"/>
      <c r="Q1119" s="28" t="s">
        <v>76</v>
      </c>
      <c r="R1119" s="29"/>
      <c r="S1119" s="31"/>
      <c r="T1119" s="31"/>
      <c r="U1119" s="28" t="s">
        <v>75</v>
      </c>
      <c r="V1119" s="28" t="s">
        <v>75</v>
      </c>
      <c r="W1119" s="31"/>
    </row>
    <row r="1120" spans="1:23" s="12" customFormat="1">
      <c r="A1120" s="46" t="s">
        <v>572</v>
      </c>
      <c r="B1120" s="28" t="s">
        <v>1337</v>
      </c>
      <c r="C1120" s="28" t="s">
        <v>978</v>
      </c>
      <c r="D1120" s="31" t="s">
        <v>1172</v>
      </c>
      <c r="E1120" s="31" t="s">
        <v>1276</v>
      </c>
      <c r="F1120" s="28" t="s">
        <v>1519</v>
      </c>
      <c r="G1120" s="28" t="s">
        <v>1472</v>
      </c>
      <c r="H1120" s="28" t="s">
        <v>1079</v>
      </c>
      <c r="I1120" s="28" t="e">
        <f>VLOOKUP(F1120,표준용어사전!$B:$D,3,FALSE)</f>
        <v>#N/A</v>
      </c>
      <c r="J1120" s="33" t="s">
        <v>78</v>
      </c>
      <c r="K1120" s="34" t="s">
        <v>984</v>
      </c>
      <c r="L1120" s="29" t="s">
        <v>571</v>
      </c>
      <c r="M1120" s="29" t="s">
        <v>715</v>
      </c>
      <c r="N1120" s="32" t="s">
        <v>75</v>
      </c>
      <c r="O1120" s="31"/>
      <c r="P1120" s="31"/>
      <c r="Q1120" s="28" t="s">
        <v>76</v>
      </c>
      <c r="R1120" s="29"/>
      <c r="S1120" s="31"/>
      <c r="T1120" s="31"/>
      <c r="U1120" s="28" t="s">
        <v>75</v>
      </c>
      <c r="V1120" s="28" t="s">
        <v>75</v>
      </c>
      <c r="W1120" s="31"/>
    </row>
    <row r="1121" spans="1:23" s="12" customFormat="1">
      <c r="A1121" s="46" t="s">
        <v>572</v>
      </c>
      <c r="B1121" s="28" t="s">
        <v>1337</v>
      </c>
      <c r="C1121" s="28" t="s">
        <v>978</v>
      </c>
      <c r="D1121" s="31" t="s">
        <v>1172</v>
      </c>
      <c r="E1121" s="31" t="s">
        <v>947</v>
      </c>
      <c r="F1121" s="28" t="s">
        <v>964</v>
      </c>
      <c r="G1121" s="28" t="s">
        <v>964</v>
      </c>
      <c r="H1121" s="28" t="s">
        <v>1079</v>
      </c>
      <c r="I1121" s="28" t="e">
        <f>VLOOKUP(F1121,표준용어사전!$B:$D,3,FALSE)</f>
        <v>#N/A</v>
      </c>
      <c r="J1121" s="33" t="s">
        <v>78</v>
      </c>
      <c r="K1121" s="34" t="s">
        <v>986</v>
      </c>
      <c r="L1121" s="29" t="s">
        <v>571</v>
      </c>
      <c r="M1121" s="29" t="s">
        <v>727</v>
      </c>
      <c r="N1121" s="32" t="s">
        <v>75</v>
      </c>
      <c r="O1121" s="31"/>
      <c r="P1121" s="31"/>
      <c r="Q1121" s="28" t="s">
        <v>76</v>
      </c>
      <c r="R1121" s="29"/>
      <c r="S1121" s="31"/>
      <c r="T1121" s="31"/>
      <c r="U1121" s="28" t="s">
        <v>75</v>
      </c>
      <c r="V1121" s="28" t="s">
        <v>75</v>
      </c>
      <c r="W1121" s="31"/>
    </row>
    <row r="1122" spans="1:23" s="12" customFormat="1">
      <c r="A1122" s="46" t="s">
        <v>572</v>
      </c>
      <c r="B1122" s="28" t="s">
        <v>1337</v>
      </c>
      <c r="C1122" s="28" t="s">
        <v>978</v>
      </c>
      <c r="D1122" s="31" t="s">
        <v>1172</v>
      </c>
      <c r="E1122" s="31" t="s">
        <v>946</v>
      </c>
      <c r="F1122" s="28" t="s">
        <v>959</v>
      </c>
      <c r="G1122" s="28" t="s">
        <v>1451</v>
      </c>
      <c r="H1122" s="28" t="s">
        <v>1079</v>
      </c>
      <c r="I1122" s="28" t="e">
        <f>VLOOKUP(F1122,표준용어사전!$B:$D,3,FALSE)</f>
        <v>#N/A</v>
      </c>
      <c r="J1122" s="33" t="s">
        <v>16</v>
      </c>
      <c r="K1122" s="34" t="s">
        <v>927</v>
      </c>
      <c r="L1122" s="29" t="s">
        <v>571</v>
      </c>
      <c r="M1122" s="29" t="s">
        <v>726</v>
      </c>
      <c r="N1122" s="32" t="s">
        <v>75</v>
      </c>
      <c r="O1122" s="31"/>
      <c r="P1122" s="31"/>
      <c r="Q1122" s="28" t="s">
        <v>76</v>
      </c>
      <c r="R1122" s="29"/>
      <c r="S1122" s="31"/>
      <c r="T1122" s="28" t="s">
        <v>574</v>
      </c>
      <c r="U1122" s="28" t="s">
        <v>75</v>
      </c>
      <c r="V1122" s="28" t="s">
        <v>75</v>
      </c>
      <c r="W1122" s="31"/>
    </row>
    <row r="1123" spans="1:23" s="12" customFormat="1">
      <c r="A1123" s="46" t="s">
        <v>572</v>
      </c>
      <c r="B1123" s="28" t="s">
        <v>1337</v>
      </c>
      <c r="C1123" s="28" t="s">
        <v>978</v>
      </c>
      <c r="D1123" s="31" t="s">
        <v>1172</v>
      </c>
      <c r="E1123" s="31" t="s">
        <v>949</v>
      </c>
      <c r="F1123" s="28" t="s">
        <v>965</v>
      </c>
      <c r="G1123" s="28" t="s">
        <v>965</v>
      </c>
      <c r="H1123" s="28" t="s">
        <v>1079</v>
      </c>
      <c r="I1123" s="28" t="e">
        <f>VLOOKUP(F1123,표준용어사전!$B:$D,3,FALSE)</f>
        <v>#N/A</v>
      </c>
      <c r="J1123" s="33" t="s">
        <v>78</v>
      </c>
      <c r="K1123" s="34" t="s">
        <v>986</v>
      </c>
      <c r="L1123" s="29" t="s">
        <v>571</v>
      </c>
      <c r="M1123" s="29" t="s">
        <v>727</v>
      </c>
      <c r="N1123" s="32" t="s">
        <v>75</v>
      </c>
      <c r="O1123" s="31"/>
      <c r="P1123" s="31"/>
      <c r="Q1123" s="28" t="s">
        <v>76</v>
      </c>
      <c r="R1123" s="29"/>
      <c r="S1123" s="31"/>
      <c r="T1123" s="31"/>
      <c r="U1123" s="28" t="s">
        <v>75</v>
      </c>
      <c r="V1123" s="28" t="s">
        <v>75</v>
      </c>
      <c r="W1123" s="31"/>
    </row>
    <row r="1124" spans="1:23" s="12" customFormat="1">
      <c r="A1124" s="46" t="s">
        <v>572</v>
      </c>
      <c r="B1124" s="28" t="s">
        <v>1337</v>
      </c>
      <c r="C1124" s="28" t="s">
        <v>978</v>
      </c>
      <c r="D1124" s="31" t="s">
        <v>1172</v>
      </c>
      <c r="E1124" s="31" t="s">
        <v>948</v>
      </c>
      <c r="F1124" s="28" t="s">
        <v>960</v>
      </c>
      <c r="G1124" s="35" t="s">
        <v>1452</v>
      </c>
      <c r="H1124" s="28" t="s">
        <v>1079</v>
      </c>
      <c r="I1124" s="28" t="e">
        <f>VLOOKUP(F1124,표준용어사전!$B:$D,3,FALSE)</f>
        <v>#N/A</v>
      </c>
      <c r="J1124" s="33" t="s">
        <v>16</v>
      </c>
      <c r="K1124" s="34" t="s">
        <v>927</v>
      </c>
      <c r="L1124" s="29" t="s">
        <v>571</v>
      </c>
      <c r="M1124" s="29" t="s">
        <v>726</v>
      </c>
      <c r="N1124" s="32" t="s">
        <v>75</v>
      </c>
      <c r="O1124" s="31"/>
      <c r="P1124" s="31"/>
      <c r="Q1124" s="28" t="s">
        <v>76</v>
      </c>
      <c r="R1124" s="29"/>
      <c r="S1124" s="31"/>
      <c r="T1124" s="28" t="s">
        <v>574</v>
      </c>
      <c r="U1124" s="28" t="s">
        <v>75</v>
      </c>
      <c r="V1124" s="28" t="s">
        <v>75</v>
      </c>
      <c r="W1124" s="31"/>
    </row>
    <row r="1125" spans="1:23" s="12" customFormat="1">
      <c r="A1125" s="46" t="s">
        <v>572</v>
      </c>
      <c r="B1125" s="28" t="s">
        <v>1337</v>
      </c>
      <c r="C1125" s="28" t="s">
        <v>978</v>
      </c>
      <c r="D1125" s="31" t="s">
        <v>1172</v>
      </c>
      <c r="E1125" s="31" t="s">
        <v>1277</v>
      </c>
      <c r="F1125" s="28" t="s">
        <v>1520</v>
      </c>
      <c r="G1125" s="28" t="s">
        <v>1469</v>
      </c>
      <c r="H1125" s="28" t="s">
        <v>1079</v>
      </c>
      <c r="I1125" s="28" t="e">
        <f>VLOOKUP(F1125,표준용어사전!$B:$D,3,FALSE)</f>
        <v>#N/A</v>
      </c>
      <c r="J1125" s="33" t="s">
        <v>78</v>
      </c>
      <c r="K1125" s="34" t="s">
        <v>982</v>
      </c>
      <c r="L1125" s="29" t="s">
        <v>571</v>
      </c>
      <c r="M1125" s="29" t="s">
        <v>983</v>
      </c>
      <c r="N1125" s="32" t="s">
        <v>75</v>
      </c>
      <c r="O1125" s="31"/>
      <c r="P1125" s="31"/>
      <c r="Q1125" s="28" t="s">
        <v>76</v>
      </c>
      <c r="R1125" s="29"/>
      <c r="S1125" s="31"/>
      <c r="T1125" s="31"/>
      <c r="U1125" s="28" t="s">
        <v>75</v>
      </c>
      <c r="V1125" s="28" t="s">
        <v>75</v>
      </c>
      <c r="W1125" s="31"/>
    </row>
    <row r="1126" spans="1:23" s="12" customFormat="1">
      <c r="A1126" s="46" t="s">
        <v>572</v>
      </c>
      <c r="B1126" s="28" t="s">
        <v>1337</v>
      </c>
      <c r="C1126" s="28" t="s">
        <v>978</v>
      </c>
      <c r="D1126" s="31" t="s">
        <v>1173</v>
      </c>
      <c r="E1126" s="31" t="s">
        <v>1278</v>
      </c>
      <c r="F1126" s="28" t="s">
        <v>1080</v>
      </c>
      <c r="G1126" s="28" t="s">
        <v>1080</v>
      </c>
      <c r="H1126" s="35" t="s">
        <v>1081</v>
      </c>
      <c r="I1126" s="28" t="e">
        <f>VLOOKUP(F1126,표준용어사전!$B:$D,3,FALSE)</f>
        <v>#N/A</v>
      </c>
      <c r="J1126" s="33" t="s">
        <v>63</v>
      </c>
      <c r="K1126" s="34" t="s">
        <v>986</v>
      </c>
      <c r="L1126" s="29" t="s">
        <v>571</v>
      </c>
      <c r="M1126" s="29">
        <v>9999999999</v>
      </c>
      <c r="N1126" s="32" t="s">
        <v>973</v>
      </c>
      <c r="O1126" s="31" t="s">
        <v>641</v>
      </c>
      <c r="P1126" s="31" t="s">
        <v>1365</v>
      </c>
      <c r="Q1126" s="28" t="s">
        <v>76</v>
      </c>
      <c r="R1126" s="29"/>
      <c r="S1126" s="31"/>
      <c r="T1126" s="31"/>
      <c r="U1126" s="28" t="s">
        <v>75</v>
      </c>
      <c r="V1126" s="28" t="s">
        <v>75</v>
      </c>
      <c r="W1126" s="28"/>
    </row>
    <row r="1127" spans="1:23" s="12" customFormat="1">
      <c r="A1127" s="46" t="s">
        <v>572</v>
      </c>
      <c r="B1127" s="28" t="s">
        <v>1337</v>
      </c>
      <c r="C1127" s="28" t="s">
        <v>978</v>
      </c>
      <c r="D1127" s="31" t="s">
        <v>1173</v>
      </c>
      <c r="E1127" s="31" t="s">
        <v>1224</v>
      </c>
      <c r="F1127" s="28" t="s">
        <v>1509</v>
      </c>
      <c r="G1127" s="28" t="s">
        <v>1486</v>
      </c>
      <c r="H1127" s="35" t="s">
        <v>1081</v>
      </c>
      <c r="I1127" s="28" t="str">
        <f>VLOOKUP(F1127,표준용어사전!$B:$D,3,FALSE)</f>
        <v>코드V30</v>
      </c>
      <c r="J1127" s="33" t="s">
        <v>78</v>
      </c>
      <c r="K1127" s="34" t="s">
        <v>996</v>
      </c>
      <c r="L1127" s="29" t="s">
        <v>571</v>
      </c>
      <c r="M1127" s="29" t="s">
        <v>1018</v>
      </c>
      <c r="N1127" s="32" t="s">
        <v>973</v>
      </c>
      <c r="O1127" s="31" t="s">
        <v>573</v>
      </c>
      <c r="P1127" s="31" t="s">
        <v>1363</v>
      </c>
      <c r="Q1127" s="28" t="s">
        <v>76</v>
      </c>
      <c r="R1127" s="29"/>
      <c r="S1127" s="31"/>
      <c r="T1127" s="31"/>
      <c r="U1127" s="28" t="s">
        <v>75</v>
      </c>
      <c r="V1127" s="28" t="s">
        <v>75</v>
      </c>
      <c r="W1127" s="28"/>
    </row>
    <row r="1128" spans="1:23" s="12" customFormat="1">
      <c r="A1128" s="46" t="s">
        <v>572</v>
      </c>
      <c r="B1128" s="28" t="s">
        <v>1337</v>
      </c>
      <c r="C1128" s="28" t="s">
        <v>978</v>
      </c>
      <c r="D1128" s="31" t="s">
        <v>1173</v>
      </c>
      <c r="E1128" s="31" t="s">
        <v>1279</v>
      </c>
      <c r="F1128" s="28" t="s">
        <v>1082</v>
      </c>
      <c r="G1128" s="28" t="s">
        <v>1082</v>
      </c>
      <c r="H1128" s="35" t="s">
        <v>1081</v>
      </c>
      <c r="I1128" s="28" t="e">
        <f>VLOOKUP(F1128,표준용어사전!$B:$D,3,FALSE)</f>
        <v>#N/A</v>
      </c>
      <c r="J1128" s="33" t="s">
        <v>78</v>
      </c>
      <c r="K1128" s="34" t="s">
        <v>996</v>
      </c>
      <c r="L1128" s="29" t="s">
        <v>571</v>
      </c>
      <c r="M1128" s="29" t="s">
        <v>1018</v>
      </c>
      <c r="N1128" s="32" t="s">
        <v>75</v>
      </c>
      <c r="O1128" s="31"/>
      <c r="P1128" s="31"/>
      <c r="Q1128" s="28" t="s">
        <v>76</v>
      </c>
      <c r="R1128" s="29"/>
      <c r="S1128" s="31"/>
      <c r="T1128" s="31"/>
      <c r="U1128" s="28" t="s">
        <v>75</v>
      </c>
      <c r="V1128" s="28" t="s">
        <v>75</v>
      </c>
      <c r="W1128" s="28"/>
    </row>
    <row r="1129" spans="1:23">
      <c r="A1129" s="46" t="s">
        <v>572</v>
      </c>
      <c r="B1129" s="28" t="s">
        <v>1337</v>
      </c>
      <c r="C1129" s="28" t="s">
        <v>978</v>
      </c>
      <c r="D1129" s="31" t="s">
        <v>1174</v>
      </c>
      <c r="E1129" s="31" t="s">
        <v>1280</v>
      </c>
      <c r="F1129" s="28" t="s">
        <v>1083</v>
      </c>
      <c r="G1129" s="28" t="s">
        <v>1083</v>
      </c>
      <c r="H1129" s="35" t="s">
        <v>1084</v>
      </c>
      <c r="I1129" s="28" t="e">
        <f>VLOOKUP(F1129,표준용어사전!$B:$D,3,FALSE)</f>
        <v>#N/A</v>
      </c>
      <c r="J1129" s="33" t="s">
        <v>78</v>
      </c>
      <c r="K1129" s="34" t="s">
        <v>982</v>
      </c>
      <c r="L1129" s="29" t="s">
        <v>571</v>
      </c>
      <c r="M1129" s="29" t="s">
        <v>983</v>
      </c>
      <c r="N1129" s="32" t="s">
        <v>973</v>
      </c>
      <c r="O1129" s="31"/>
      <c r="P1129" s="31"/>
      <c r="Q1129" s="28" t="s">
        <v>76</v>
      </c>
      <c r="R1129" s="29"/>
      <c r="S1129" s="31"/>
      <c r="T1129" s="31"/>
      <c r="U1129" s="28" t="s">
        <v>75</v>
      </c>
      <c r="V1129" s="28" t="s">
        <v>75</v>
      </c>
      <c r="W1129" s="31"/>
    </row>
    <row r="1130" spans="1:23">
      <c r="A1130" s="46" t="s">
        <v>572</v>
      </c>
      <c r="B1130" s="28" t="s">
        <v>1337</v>
      </c>
      <c r="C1130" s="28" t="s">
        <v>978</v>
      </c>
      <c r="D1130" s="31" t="s">
        <v>1174</v>
      </c>
      <c r="E1130" s="31" t="s">
        <v>1281</v>
      </c>
      <c r="F1130" s="28" t="s">
        <v>1085</v>
      </c>
      <c r="G1130" s="28" t="s">
        <v>1085</v>
      </c>
      <c r="H1130" s="35" t="s">
        <v>1084</v>
      </c>
      <c r="I1130" s="28" t="e">
        <f>VLOOKUP(F1130,표준용어사전!$B:$D,3,FALSE)</f>
        <v>#N/A</v>
      </c>
      <c r="J1130" s="33" t="s">
        <v>78</v>
      </c>
      <c r="K1130" s="34" t="s">
        <v>982</v>
      </c>
      <c r="L1130" s="29" t="s">
        <v>571</v>
      </c>
      <c r="M1130" s="29" t="s">
        <v>983</v>
      </c>
      <c r="N1130" s="32" t="s">
        <v>973</v>
      </c>
      <c r="O1130" s="31"/>
      <c r="P1130" s="31" t="s">
        <v>1366</v>
      </c>
      <c r="Q1130" s="28" t="s">
        <v>76</v>
      </c>
      <c r="R1130" s="29"/>
      <c r="S1130" s="31"/>
      <c r="T1130" s="31"/>
      <c r="U1130" s="28" t="s">
        <v>75</v>
      </c>
      <c r="V1130" s="28" t="s">
        <v>75</v>
      </c>
      <c r="W1130" s="31"/>
    </row>
    <row r="1131" spans="1:23">
      <c r="A1131" s="46" t="s">
        <v>572</v>
      </c>
      <c r="B1131" s="28" t="s">
        <v>1337</v>
      </c>
      <c r="C1131" s="28" t="s">
        <v>978</v>
      </c>
      <c r="D1131" s="31" t="s">
        <v>1174</v>
      </c>
      <c r="E1131" s="31" t="s">
        <v>1278</v>
      </c>
      <c r="F1131" s="28" t="s">
        <v>1080</v>
      </c>
      <c r="G1131" s="28" t="s">
        <v>1080</v>
      </c>
      <c r="H1131" s="35" t="s">
        <v>1084</v>
      </c>
      <c r="I1131" s="28" t="e">
        <f>VLOOKUP(F1131,표준용어사전!$B:$D,3,FALSE)</f>
        <v>#N/A</v>
      </c>
      <c r="J1131" s="33" t="s">
        <v>63</v>
      </c>
      <c r="K1131" s="34" t="s">
        <v>986</v>
      </c>
      <c r="L1131" s="29" t="s">
        <v>571</v>
      </c>
      <c r="M1131" s="29">
        <v>9999999999</v>
      </c>
      <c r="N1131" s="32" t="s">
        <v>973</v>
      </c>
      <c r="O1131" s="31" t="s">
        <v>641</v>
      </c>
      <c r="P1131" s="31" t="s">
        <v>1365</v>
      </c>
      <c r="Q1131" s="28" t="s">
        <v>76</v>
      </c>
      <c r="R1131" s="29"/>
      <c r="S1131" s="31"/>
      <c r="T1131" s="31"/>
      <c r="U1131" s="28" t="s">
        <v>75</v>
      </c>
      <c r="V1131" s="28" t="s">
        <v>75</v>
      </c>
      <c r="W1131" s="31"/>
    </row>
    <row r="1132" spans="1:23">
      <c r="A1132" s="46" t="s">
        <v>572</v>
      </c>
      <c r="B1132" s="28" t="s">
        <v>1337</v>
      </c>
      <c r="C1132" s="28" t="s">
        <v>978</v>
      </c>
      <c r="D1132" s="31" t="s">
        <v>1174</v>
      </c>
      <c r="E1132" s="31" t="s">
        <v>1282</v>
      </c>
      <c r="F1132" s="28" t="s">
        <v>1086</v>
      </c>
      <c r="G1132" s="28" t="s">
        <v>1086</v>
      </c>
      <c r="H1132" s="35" t="s">
        <v>1084</v>
      </c>
      <c r="I1132" s="28" t="e">
        <f>VLOOKUP(F1132,표준용어사전!$B:$D,3,FALSE)</f>
        <v>#N/A</v>
      </c>
      <c r="J1132" s="33" t="s">
        <v>63</v>
      </c>
      <c r="K1132" s="34" t="s">
        <v>986</v>
      </c>
      <c r="L1132" s="29" t="s">
        <v>571</v>
      </c>
      <c r="M1132" s="29">
        <v>9999999999</v>
      </c>
      <c r="N1132" s="32" t="s">
        <v>75</v>
      </c>
      <c r="O1132" s="31"/>
      <c r="P1132" s="31"/>
      <c r="Q1132" s="28" t="s">
        <v>76</v>
      </c>
      <c r="R1132" s="29"/>
      <c r="S1132" s="31"/>
      <c r="T1132" s="31"/>
      <c r="U1132" s="28" t="s">
        <v>75</v>
      </c>
      <c r="V1132" s="28" t="s">
        <v>75</v>
      </c>
      <c r="W1132" s="31"/>
    </row>
    <row r="1133" spans="1:23">
      <c r="A1133" s="46" t="s">
        <v>572</v>
      </c>
      <c r="B1133" s="28" t="s">
        <v>1337</v>
      </c>
      <c r="C1133" s="28" t="s">
        <v>978</v>
      </c>
      <c r="D1133" s="31" t="s">
        <v>1174</v>
      </c>
      <c r="E1133" s="31" t="s">
        <v>1283</v>
      </c>
      <c r="F1133" s="28" t="s">
        <v>1087</v>
      </c>
      <c r="G1133" s="28" t="s">
        <v>1087</v>
      </c>
      <c r="H1133" s="35" t="s">
        <v>1084</v>
      </c>
      <c r="I1133" s="28" t="e">
        <f>VLOOKUP(F1133,표준용어사전!$B:$D,3,FALSE)</f>
        <v>#N/A</v>
      </c>
      <c r="J1133" s="33" t="s">
        <v>63</v>
      </c>
      <c r="K1133" s="34" t="s">
        <v>1054</v>
      </c>
      <c r="L1133" s="29" t="s">
        <v>571</v>
      </c>
      <c r="M1133" s="29">
        <v>9999999999</v>
      </c>
      <c r="N1133" s="32" t="s">
        <v>973</v>
      </c>
      <c r="O1133" s="31"/>
      <c r="P1133" s="31"/>
      <c r="Q1133" s="28" t="s">
        <v>76</v>
      </c>
      <c r="R1133" s="29"/>
      <c r="S1133" s="31"/>
      <c r="T1133" s="31"/>
      <c r="U1133" s="28" t="s">
        <v>75</v>
      </c>
      <c r="V1133" s="28" t="s">
        <v>75</v>
      </c>
      <c r="W1133" s="31"/>
    </row>
    <row r="1134" spans="1:23">
      <c r="A1134" s="46" t="s">
        <v>572</v>
      </c>
      <c r="B1134" s="28" t="s">
        <v>1337</v>
      </c>
      <c r="C1134" s="28" t="s">
        <v>978</v>
      </c>
      <c r="D1134" s="31" t="s">
        <v>1174</v>
      </c>
      <c r="E1134" s="31" t="s">
        <v>1284</v>
      </c>
      <c r="F1134" s="28" t="s">
        <v>1088</v>
      </c>
      <c r="G1134" s="28" t="s">
        <v>1088</v>
      </c>
      <c r="H1134" s="35" t="s">
        <v>1084</v>
      </c>
      <c r="I1134" s="28" t="e">
        <f>VLOOKUP(F1134,표준용어사전!$B:$D,3,FALSE)</f>
        <v>#N/A</v>
      </c>
      <c r="J1134" s="33" t="s">
        <v>78</v>
      </c>
      <c r="K1134" s="34" t="s">
        <v>1089</v>
      </c>
      <c r="L1134" s="29" t="s">
        <v>571</v>
      </c>
      <c r="M1134" s="29" t="s">
        <v>1090</v>
      </c>
      <c r="N1134" s="32" t="s">
        <v>75</v>
      </c>
      <c r="O1134" s="31"/>
      <c r="P1134" s="31"/>
      <c r="Q1134" s="28" t="s">
        <v>76</v>
      </c>
      <c r="R1134" s="29"/>
      <c r="S1134" s="31"/>
      <c r="T1134" s="31"/>
      <c r="U1134" s="28" t="s">
        <v>75</v>
      </c>
      <c r="V1134" s="28" t="s">
        <v>75</v>
      </c>
      <c r="W1134" s="31"/>
    </row>
    <row r="1135" spans="1:23">
      <c r="A1135" s="46" t="s">
        <v>572</v>
      </c>
      <c r="B1135" s="28" t="s">
        <v>1337</v>
      </c>
      <c r="C1135" s="28" t="s">
        <v>978</v>
      </c>
      <c r="D1135" s="31" t="s">
        <v>1174</v>
      </c>
      <c r="E1135" s="31" t="s">
        <v>1285</v>
      </c>
      <c r="F1135" s="28" t="s">
        <v>1521</v>
      </c>
      <c r="G1135" s="28" t="s">
        <v>1470</v>
      </c>
      <c r="H1135" s="35" t="s">
        <v>1084</v>
      </c>
      <c r="I1135" s="28" t="e">
        <f>VLOOKUP(F1135,표준용어사전!$B:$D,3,FALSE)</f>
        <v>#N/A</v>
      </c>
      <c r="J1135" s="33" t="s">
        <v>78</v>
      </c>
      <c r="K1135" s="34" t="s">
        <v>1026</v>
      </c>
      <c r="L1135" s="29" t="s">
        <v>571</v>
      </c>
      <c r="M1135" s="29" t="s">
        <v>729</v>
      </c>
      <c r="N1135" s="32" t="s">
        <v>75</v>
      </c>
      <c r="O1135" s="31"/>
      <c r="P1135" s="31"/>
      <c r="Q1135" s="28" t="s">
        <v>76</v>
      </c>
      <c r="R1135" s="29"/>
      <c r="S1135" s="31"/>
      <c r="T1135" s="31"/>
      <c r="U1135" s="28" t="s">
        <v>75</v>
      </c>
      <c r="V1135" s="28" t="s">
        <v>75</v>
      </c>
      <c r="W1135" s="31"/>
    </row>
    <row r="1136" spans="1:23">
      <c r="A1136" s="46" t="s">
        <v>572</v>
      </c>
      <c r="B1136" s="28" t="s">
        <v>1337</v>
      </c>
      <c r="C1136" s="28" t="s">
        <v>978</v>
      </c>
      <c r="D1136" s="31" t="s">
        <v>1174</v>
      </c>
      <c r="E1136" s="31" t="s">
        <v>1286</v>
      </c>
      <c r="F1136" s="28" t="s">
        <v>1522</v>
      </c>
      <c r="G1136" s="28" t="s">
        <v>1471</v>
      </c>
      <c r="H1136" s="35" t="s">
        <v>1084</v>
      </c>
      <c r="I1136" s="28" t="e">
        <f>VLOOKUP(F1136,표준용어사전!$B:$D,3,FALSE)</f>
        <v>#N/A</v>
      </c>
      <c r="J1136" s="33" t="s">
        <v>78</v>
      </c>
      <c r="K1136" s="34" t="s">
        <v>982</v>
      </c>
      <c r="L1136" s="29" t="s">
        <v>571</v>
      </c>
      <c r="M1136" s="29" t="s">
        <v>983</v>
      </c>
      <c r="N1136" s="32" t="s">
        <v>75</v>
      </c>
      <c r="O1136" s="31"/>
      <c r="P1136" s="31"/>
      <c r="Q1136" s="28" t="s">
        <v>76</v>
      </c>
      <c r="R1136" s="29"/>
      <c r="S1136" s="31"/>
      <c r="T1136" s="31"/>
      <c r="U1136" s="28" t="s">
        <v>75</v>
      </c>
      <c r="V1136" s="28" t="s">
        <v>75</v>
      </c>
      <c r="W1136" s="31"/>
    </row>
    <row r="1137" spans="1:23">
      <c r="A1137" s="46" t="s">
        <v>572</v>
      </c>
      <c r="B1137" s="28" t="s">
        <v>1337</v>
      </c>
      <c r="C1137" s="28" t="s">
        <v>978</v>
      </c>
      <c r="D1137" s="31" t="s">
        <v>1175</v>
      </c>
      <c r="E1137" s="31" t="s">
        <v>1219</v>
      </c>
      <c r="F1137" s="28" t="s">
        <v>1091</v>
      </c>
      <c r="G1137" s="28" t="s">
        <v>1091</v>
      </c>
      <c r="H1137" s="35" t="s">
        <v>1092</v>
      </c>
      <c r="I1137" s="28" t="str">
        <f>VLOOKUP(F1137,표준용어사전!$B:$D,3,FALSE)</f>
        <v>명V20</v>
      </c>
      <c r="J1137" s="33" t="s">
        <v>570</v>
      </c>
      <c r="K1137" s="34" t="s">
        <v>986</v>
      </c>
      <c r="L1137" s="29" t="s">
        <v>571</v>
      </c>
      <c r="M1137" s="29" t="s">
        <v>961</v>
      </c>
      <c r="N1137" s="32" t="s">
        <v>973</v>
      </c>
      <c r="O1137" s="31" t="s">
        <v>641</v>
      </c>
      <c r="P1137" s="31"/>
      <c r="Q1137" s="28" t="s">
        <v>76</v>
      </c>
      <c r="R1137" s="29"/>
      <c r="S1137" s="31"/>
      <c r="T1137" s="31"/>
      <c r="U1137" s="28" t="s">
        <v>75</v>
      </c>
      <c r="V1137" s="28" t="s">
        <v>75</v>
      </c>
      <c r="W1137" s="31"/>
    </row>
    <row r="1138" spans="1:23">
      <c r="A1138" s="46" t="s">
        <v>572</v>
      </c>
      <c r="B1138" s="28" t="s">
        <v>1337</v>
      </c>
      <c r="C1138" s="28" t="s">
        <v>978</v>
      </c>
      <c r="D1138" s="31" t="s">
        <v>1175</v>
      </c>
      <c r="E1138" s="31" t="s">
        <v>1287</v>
      </c>
      <c r="F1138" s="28" t="s">
        <v>1093</v>
      </c>
      <c r="G1138" s="28" t="s">
        <v>1093</v>
      </c>
      <c r="H1138" s="35" t="s">
        <v>1092</v>
      </c>
      <c r="I1138" s="28" t="e">
        <f>VLOOKUP(F1138,표준용어사전!$B:$D,3,FALSE)</f>
        <v>#N/A</v>
      </c>
      <c r="J1138" s="33" t="s">
        <v>78</v>
      </c>
      <c r="K1138" s="34" t="s">
        <v>986</v>
      </c>
      <c r="L1138" s="29" t="s">
        <v>571</v>
      </c>
      <c r="M1138" s="29" t="s">
        <v>727</v>
      </c>
      <c r="N1138" s="32" t="s">
        <v>973</v>
      </c>
      <c r="O1138" s="31"/>
      <c r="P1138" s="31"/>
      <c r="Q1138" s="28" t="s">
        <v>76</v>
      </c>
      <c r="R1138" s="29"/>
      <c r="S1138" s="31"/>
      <c r="T1138" s="31"/>
      <c r="U1138" s="28" t="s">
        <v>75</v>
      </c>
      <c r="V1138" s="28" t="s">
        <v>75</v>
      </c>
      <c r="W1138" s="31"/>
    </row>
    <row r="1139" spans="1:23">
      <c r="A1139" s="46" t="s">
        <v>572</v>
      </c>
      <c r="B1139" s="28" t="s">
        <v>1337</v>
      </c>
      <c r="C1139" s="28" t="s">
        <v>978</v>
      </c>
      <c r="D1139" s="31" t="s">
        <v>1175</v>
      </c>
      <c r="E1139" s="31" t="s">
        <v>1288</v>
      </c>
      <c r="F1139" s="28" t="s">
        <v>1094</v>
      </c>
      <c r="G1139" s="28" t="s">
        <v>1094</v>
      </c>
      <c r="H1139" s="35" t="s">
        <v>1092</v>
      </c>
      <c r="I1139" s="28" t="e">
        <f>VLOOKUP(F1139,표준용어사전!$B:$D,3,FALSE)</f>
        <v>#N/A</v>
      </c>
      <c r="J1139" s="33" t="s">
        <v>78</v>
      </c>
      <c r="K1139" s="34" t="s">
        <v>1026</v>
      </c>
      <c r="L1139" s="29" t="s">
        <v>571</v>
      </c>
      <c r="M1139" s="29" t="s">
        <v>729</v>
      </c>
      <c r="N1139" s="32" t="s">
        <v>75</v>
      </c>
      <c r="O1139" s="31"/>
      <c r="P1139" s="31"/>
      <c r="Q1139" s="28" t="s">
        <v>76</v>
      </c>
      <c r="R1139" s="29"/>
      <c r="S1139" s="31"/>
      <c r="T1139" s="31"/>
      <c r="U1139" s="28" t="s">
        <v>75</v>
      </c>
      <c r="V1139" s="28" t="s">
        <v>75</v>
      </c>
      <c r="W1139" s="31"/>
    </row>
    <row r="1140" spans="1:23">
      <c r="A1140" s="46" t="s">
        <v>572</v>
      </c>
      <c r="B1140" s="28" t="s">
        <v>1337</v>
      </c>
      <c r="C1140" s="28" t="s">
        <v>978</v>
      </c>
      <c r="D1140" s="31" t="s">
        <v>1176</v>
      </c>
      <c r="E1140" s="31" t="s">
        <v>1289</v>
      </c>
      <c r="F1140" s="28" t="s">
        <v>1095</v>
      </c>
      <c r="G1140" s="28" t="s">
        <v>1095</v>
      </c>
      <c r="H1140" s="35" t="s">
        <v>1096</v>
      </c>
      <c r="I1140" s="28" t="e">
        <f>VLOOKUP(F1140,표준용어사전!$B:$D,3,FALSE)</f>
        <v>#N/A</v>
      </c>
      <c r="J1140" s="33" t="s">
        <v>1097</v>
      </c>
      <c r="K1140" s="27" t="s">
        <v>927</v>
      </c>
      <c r="L1140" s="29" t="s">
        <v>571</v>
      </c>
      <c r="M1140" s="29"/>
      <c r="N1140" s="32" t="s">
        <v>973</v>
      </c>
      <c r="O1140" s="31" t="s">
        <v>641</v>
      </c>
      <c r="P1140" s="31"/>
      <c r="Q1140" s="28" t="s">
        <v>76</v>
      </c>
      <c r="R1140" s="29"/>
      <c r="S1140" s="31"/>
      <c r="T1140" s="31"/>
      <c r="U1140" s="28" t="s">
        <v>75</v>
      </c>
      <c r="V1140" s="28" t="s">
        <v>75</v>
      </c>
      <c r="W1140" s="31"/>
    </row>
    <row r="1141" spans="1:23">
      <c r="A1141" s="46" t="s">
        <v>572</v>
      </c>
      <c r="B1141" s="28" t="s">
        <v>1337</v>
      </c>
      <c r="C1141" s="28" t="s">
        <v>978</v>
      </c>
      <c r="D1141" s="31" t="s">
        <v>1176</v>
      </c>
      <c r="E1141" s="31" t="s">
        <v>1290</v>
      </c>
      <c r="F1141" s="28" t="s">
        <v>1098</v>
      </c>
      <c r="G1141" s="28" t="s">
        <v>1098</v>
      </c>
      <c r="H1141" s="35" t="s">
        <v>1096</v>
      </c>
      <c r="I1141" s="28" t="e">
        <f>VLOOKUP(F1141,표준용어사전!$B:$D,3,FALSE)</f>
        <v>#N/A</v>
      </c>
      <c r="J1141" s="33" t="s">
        <v>570</v>
      </c>
      <c r="K1141" s="34" t="s">
        <v>986</v>
      </c>
      <c r="L1141" s="29" t="s">
        <v>571</v>
      </c>
      <c r="M1141" s="29" t="s">
        <v>961</v>
      </c>
      <c r="N1141" s="32" t="s">
        <v>75</v>
      </c>
      <c r="O1141" s="31"/>
      <c r="P1141" s="31"/>
      <c r="Q1141" s="28" t="s">
        <v>76</v>
      </c>
      <c r="R1141" s="29"/>
      <c r="S1141" s="31"/>
      <c r="T1141" s="31"/>
      <c r="U1141" s="28" t="s">
        <v>75</v>
      </c>
      <c r="V1141" s="28" t="s">
        <v>75</v>
      </c>
      <c r="W1141" s="31"/>
    </row>
    <row r="1142" spans="1:23">
      <c r="A1142" s="46" t="s">
        <v>572</v>
      </c>
      <c r="B1142" s="28" t="s">
        <v>1337</v>
      </c>
      <c r="C1142" s="28" t="s">
        <v>978</v>
      </c>
      <c r="D1142" s="31" t="s">
        <v>1176</v>
      </c>
      <c r="E1142" s="31" t="s">
        <v>1099</v>
      </c>
      <c r="F1142" s="28" t="s">
        <v>1099</v>
      </c>
      <c r="G1142" s="28" t="s">
        <v>1099</v>
      </c>
      <c r="H1142" s="35" t="s">
        <v>1096</v>
      </c>
      <c r="I1142" s="28" t="e">
        <f>VLOOKUP(F1142,표준용어사전!$B:$D,3,FALSE)</f>
        <v>#N/A</v>
      </c>
      <c r="J1142" s="33" t="s">
        <v>78</v>
      </c>
      <c r="K1142" s="34" t="s">
        <v>1026</v>
      </c>
      <c r="L1142" s="29" t="s">
        <v>571</v>
      </c>
      <c r="M1142" s="29" t="s">
        <v>729</v>
      </c>
      <c r="N1142" s="32" t="s">
        <v>75</v>
      </c>
      <c r="O1142" s="31"/>
      <c r="P1142" s="31"/>
      <c r="Q1142" s="28" t="s">
        <v>76</v>
      </c>
      <c r="R1142" s="29"/>
      <c r="S1142" s="31"/>
      <c r="T1142" s="31"/>
      <c r="U1142" s="28" t="s">
        <v>75</v>
      </c>
      <c r="V1142" s="28" t="s">
        <v>75</v>
      </c>
      <c r="W1142" s="31"/>
    </row>
    <row r="1143" spans="1:23">
      <c r="A1143" s="46" t="s">
        <v>572</v>
      </c>
      <c r="B1143" s="28" t="s">
        <v>1337</v>
      </c>
      <c r="C1143" s="28" t="s">
        <v>978</v>
      </c>
      <c r="D1143" s="31" t="s">
        <v>1176</v>
      </c>
      <c r="E1143" s="31" t="s">
        <v>1291</v>
      </c>
      <c r="F1143" s="28" t="s">
        <v>787</v>
      </c>
      <c r="G1143" s="28" t="s">
        <v>787</v>
      </c>
      <c r="H1143" s="35" t="s">
        <v>1096</v>
      </c>
      <c r="I1143" s="28" t="str">
        <f>VLOOKUP(F1143,표준용어사전!$B:$D,3,FALSE)</f>
        <v>명V20</v>
      </c>
      <c r="J1143" s="33" t="s">
        <v>78</v>
      </c>
      <c r="K1143" s="34" t="s">
        <v>986</v>
      </c>
      <c r="L1143" s="29" t="s">
        <v>571</v>
      </c>
      <c r="M1143" s="29" t="s">
        <v>727</v>
      </c>
      <c r="N1143" s="32" t="s">
        <v>75</v>
      </c>
      <c r="O1143" s="31"/>
      <c r="P1143" s="31"/>
      <c r="Q1143" s="28" t="s">
        <v>76</v>
      </c>
      <c r="R1143" s="29"/>
      <c r="S1143" s="31"/>
      <c r="T1143" s="31"/>
      <c r="U1143" s="28" t="s">
        <v>75</v>
      </c>
      <c r="V1143" s="28" t="s">
        <v>75</v>
      </c>
      <c r="W1143" s="31"/>
    </row>
    <row r="1144" spans="1:23">
      <c r="A1144" s="46" t="s">
        <v>572</v>
      </c>
      <c r="B1144" s="28" t="s">
        <v>1337</v>
      </c>
      <c r="C1144" s="28" t="s">
        <v>978</v>
      </c>
      <c r="D1144" s="31" t="s">
        <v>1176</v>
      </c>
      <c r="E1144" s="31" t="s">
        <v>1292</v>
      </c>
      <c r="F1144" s="28" t="s">
        <v>1625</v>
      </c>
      <c r="G1144" s="28" t="s">
        <v>1625</v>
      </c>
      <c r="H1144" s="35" t="s">
        <v>1096</v>
      </c>
      <c r="I1144" s="28" t="e">
        <f>VLOOKUP(F1144,표준용어사전!$B:$D,3,FALSE)</f>
        <v>#N/A</v>
      </c>
      <c r="J1144" s="33" t="s">
        <v>78</v>
      </c>
      <c r="K1144" s="34" t="s">
        <v>1050</v>
      </c>
      <c r="L1144" s="29" t="s">
        <v>571</v>
      </c>
      <c r="M1144" s="29" t="s">
        <v>1051</v>
      </c>
      <c r="N1144" s="32" t="s">
        <v>75</v>
      </c>
      <c r="O1144" s="31"/>
      <c r="P1144" s="31"/>
      <c r="Q1144" s="28" t="s">
        <v>76</v>
      </c>
      <c r="R1144" s="29"/>
      <c r="S1144" s="31"/>
      <c r="T1144" s="31"/>
      <c r="U1144" s="28" t="s">
        <v>75</v>
      </c>
      <c r="V1144" s="28" t="s">
        <v>75</v>
      </c>
      <c r="W1144" s="31"/>
    </row>
    <row r="1145" spans="1:23">
      <c r="A1145" s="46" t="s">
        <v>572</v>
      </c>
      <c r="B1145" s="28" t="s">
        <v>1337</v>
      </c>
      <c r="C1145" s="28" t="s">
        <v>978</v>
      </c>
      <c r="D1145" s="31" t="s">
        <v>1176</v>
      </c>
      <c r="E1145" s="31" t="s">
        <v>1293</v>
      </c>
      <c r="F1145" s="28" t="s">
        <v>1100</v>
      </c>
      <c r="G1145" s="28" t="s">
        <v>1100</v>
      </c>
      <c r="H1145" s="35" t="s">
        <v>1096</v>
      </c>
      <c r="I1145" s="28" t="e">
        <f>VLOOKUP(F1145,표준용어사전!$B:$D,3,FALSE)</f>
        <v>#N/A</v>
      </c>
      <c r="J1145" s="33" t="s">
        <v>78</v>
      </c>
      <c r="K1145" s="34" t="s">
        <v>1002</v>
      </c>
      <c r="L1145" s="29" t="s">
        <v>571</v>
      </c>
      <c r="M1145" s="29" t="s">
        <v>720</v>
      </c>
      <c r="N1145" s="32" t="s">
        <v>75</v>
      </c>
      <c r="O1145" s="31"/>
      <c r="P1145" s="31"/>
      <c r="Q1145" s="28" t="s">
        <v>76</v>
      </c>
      <c r="R1145" s="29"/>
      <c r="S1145" s="31"/>
      <c r="T1145" s="31"/>
      <c r="U1145" s="28" t="s">
        <v>75</v>
      </c>
      <c r="V1145" s="28" t="s">
        <v>75</v>
      </c>
      <c r="W1145" s="31"/>
    </row>
    <row r="1146" spans="1:23">
      <c r="A1146" s="46" t="s">
        <v>572</v>
      </c>
      <c r="B1146" s="28" t="s">
        <v>1337</v>
      </c>
      <c r="C1146" s="28" t="s">
        <v>978</v>
      </c>
      <c r="D1146" s="31" t="s">
        <v>1176</v>
      </c>
      <c r="E1146" s="31" t="s">
        <v>1294</v>
      </c>
      <c r="F1146" s="28" t="s">
        <v>1440</v>
      </c>
      <c r="G1146" s="28" t="s">
        <v>1101</v>
      </c>
      <c r="H1146" s="35" t="s">
        <v>1096</v>
      </c>
      <c r="I1146" s="28" t="e">
        <f>VLOOKUP(F1146,표준용어사전!$B:$D,3,FALSE)</f>
        <v>#N/A</v>
      </c>
      <c r="J1146" s="33" t="s">
        <v>78</v>
      </c>
      <c r="K1146" s="34" t="s">
        <v>1002</v>
      </c>
      <c r="L1146" s="29" t="s">
        <v>571</v>
      </c>
      <c r="M1146" s="29" t="s">
        <v>720</v>
      </c>
      <c r="N1146" s="32" t="s">
        <v>75</v>
      </c>
      <c r="O1146" s="31"/>
      <c r="P1146" s="31"/>
      <c r="Q1146" s="28" t="s">
        <v>76</v>
      </c>
      <c r="R1146" s="29"/>
      <c r="S1146" s="31"/>
      <c r="T1146" s="31"/>
      <c r="U1146" s="28" t="s">
        <v>75</v>
      </c>
      <c r="V1146" s="28" t="s">
        <v>75</v>
      </c>
      <c r="W1146" s="31"/>
    </row>
    <row r="1147" spans="1:23">
      <c r="A1147" s="46" t="s">
        <v>572</v>
      </c>
      <c r="B1147" s="28" t="s">
        <v>1337</v>
      </c>
      <c r="C1147" s="28" t="s">
        <v>978</v>
      </c>
      <c r="D1147" s="31" t="s">
        <v>1176</v>
      </c>
      <c r="E1147" s="31" t="s">
        <v>1295</v>
      </c>
      <c r="F1147" s="28" t="s">
        <v>1102</v>
      </c>
      <c r="G1147" s="28" t="s">
        <v>1102</v>
      </c>
      <c r="H1147" s="35" t="s">
        <v>1096</v>
      </c>
      <c r="I1147" s="28" t="e">
        <f>VLOOKUP(F1147,표준용어사전!$B:$D,3,FALSE)</f>
        <v>#N/A</v>
      </c>
      <c r="J1147" s="33" t="s">
        <v>78</v>
      </c>
      <c r="K1147" s="34" t="s">
        <v>1002</v>
      </c>
      <c r="L1147" s="29" t="s">
        <v>571</v>
      </c>
      <c r="M1147" s="29" t="s">
        <v>720</v>
      </c>
      <c r="N1147" s="32" t="s">
        <v>75</v>
      </c>
      <c r="O1147" s="31"/>
      <c r="P1147" s="31"/>
      <c r="Q1147" s="28" t="s">
        <v>76</v>
      </c>
      <c r="R1147" s="29"/>
      <c r="S1147" s="31"/>
      <c r="T1147" s="31"/>
      <c r="U1147" s="28" t="s">
        <v>75</v>
      </c>
      <c r="V1147" s="28" t="s">
        <v>75</v>
      </c>
      <c r="W1147" s="31"/>
    </row>
    <row r="1148" spans="1:23">
      <c r="A1148" s="46" t="s">
        <v>572</v>
      </c>
      <c r="B1148" s="28" t="s">
        <v>1337</v>
      </c>
      <c r="C1148" s="28" t="s">
        <v>978</v>
      </c>
      <c r="D1148" s="31" t="s">
        <v>1176</v>
      </c>
      <c r="E1148" s="31" t="s">
        <v>1296</v>
      </c>
      <c r="F1148" s="28" t="s">
        <v>1523</v>
      </c>
      <c r="G1148" s="28" t="s">
        <v>1490</v>
      </c>
      <c r="H1148" s="35" t="s">
        <v>1096</v>
      </c>
      <c r="I1148" s="28" t="e">
        <f>VLOOKUP(F1148,표준용어사전!$B:$D,3,FALSE)</f>
        <v>#N/A</v>
      </c>
      <c r="J1148" s="33" t="s">
        <v>78</v>
      </c>
      <c r="K1148" s="34" t="s">
        <v>986</v>
      </c>
      <c r="L1148" s="29" t="s">
        <v>571</v>
      </c>
      <c r="M1148" s="29" t="s">
        <v>727</v>
      </c>
      <c r="N1148" s="32" t="s">
        <v>75</v>
      </c>
      <c r="O1148" s="31"/>
      <c r="P1148" s="31"/>
      <c r="Q1148" s="28" t="s">
        <v>76</v>
      </c>
      <c r="R1148" s="29"/>
      <c r="S1148" s="31"/>
      <c r="T1148" s="31"/>
      <c r="U1148" s="28" t="s">
        <v>75</v>
      </c>
      <c r="V1148" s="28" t="s">
        <v>75</v>
      </c>
      <c r="W1148" s="31"/>
    </row>
    <row r="1149" spans="1:23">
      <c r="A1149" s="46" t="s">
        <v>572</v>
      </c>
      <c r="B1149" s="28" t="s">
        <v>1337</v>
      </c>
      <c r="C1149" s="28" t="s">
        <v>978</v>
      </c>
      <c r="D1149" s="31" t="s">
        <v>1176</v>
      </c>
      <c r="E1149" s="31" t="s">
        <v>1297</v>
      </c>
      <c r="F1149" s="28" t="s">
        <v>1524</v>
      </c>
      <c r="G1149" s="28" t="s">
        <v>1491</v>
      </c>
      <c r="H1149" s="35" t="s">
        <v>1096</v>
      </c>
      <c r="I1149" s="28" t="e">
        <f>VLOOKUP(F1149,표준용어사전!$B:$D,3,FALSE)</f>
        <v>#N/A</v>
      </c>
      <c r="J1149" s="33" t="s">
        <v>78</v>
      </c>
      <c r="K1149" s="34" t="s">
        <v>996</v>
      </c>
      <c r="L1149" s="29" t="s">
        <v>571</v>
      </c>
      <c r="M1149" s="29" t="s">
        <v>1018</v>
      </c>
      <c r="N1149" s="32" t="s">
        <v>75</v>
      </c>
      <c r="O1149" s="31"/>
      <c r="P1149" s="31"/>
      <c r="Q1149" s="28" t="s">
        <v>76</v>
      </c>
      <c r="R1149" s="29"/>
      <c r="S1149" s="31"/>
      <c r="T1149" s="31"/>
      <c r="U1149" s="28" t="s">
        <v>75</v>
      </c>
      <c r="V1149" s="28" t="s">
        <v>75</v>
      </c>
      <c r="W1149" s="31"/>
    </row>
    <row r="1150" spans="1:23">
      <c r="A1150" s="46" t="s">
        <v>572</v>
      </c>
      <c r="B1150" s="28" t="s">
        <v>1337</v>
      </c>
      <c r="C1150" s="28" t="s">
        <v>978</v>
      </c>
      <c r="D1150" s="31" t="s">
        <v>1176</v>
      </c>
      <c r="E1150" s="31" t="s">
        <v>1298</v>
      </c>
      <c r="F1150" s="28" t="s">
        <v>1441</v>
      </c>
      <c r="G1150" s="28" t="s">
        <v>1103</v>
      </c>
      <c r="H1150" s="35" t="s">
        <v>1096</v>
      </c>
      <c r="I1150" s="28" t="e">
        <f>VLOOKUP(F1150,표준용어사전!$B:$D,3,FALSE)</f>
        <v>#N/A</v>
      </c>
      <c r="J1150" s="33" t="s">
        <v>78</v>
      </c>
      <c r="K1150" s="34" t="s">
        <v>1002</v>
      </c>
      <c r="L1150" s="29" t="s">
        <v>571</v>
      </c>
      <c r="M1150" s="29" t="s">
        <v>720</v>
      </c>
      <c r="N1150" s="32" t="s">
        <v>75</v>
      </c>
      <c r="O1150" s="31"/>
      <c r="P1150" s="31"/>
      <c r="Q1150" s="28" t="s">
        <v>76</v>
      </c>
      <c r="R1150" s="29"/>
      <c r="S1150" s="31"/>
      <c r="T1150" s="31"/>
      <c r="U1150" s="28" t="s">
        <v>75</v>
      </c>
      <c r="V1150" s="28" t="s">
        <v>75</v>
      </c>
      <c r="W1150" s="31"/>
    </row>
    <row r="1151" spans="1:23">
      <c r="A1151" s="46" t="s">
        <v>572</v>
      </c>
      <c r="B1151" s="28" t="s">
        <v>1337</v>
      </c>
      <c r="C1151" s="28" t="s">
        <v>978</v>
      </c>
      <c r="D1151" s="31" t="s">
        <v>1176</v>
      </c>
      <c r="E1151" s="31" t="s">
        <v>1299</v>
      </c>
      <c r="F1151" s="28" t="s">
        <v>1104</v>
      </c>
      <c r="G1151" s="28" t="s">
        <v>1104</v>
      </c>
      <c r="H1151" s="35" t="s">
        <v>1096</v>
      </c>
      <c r="I1151" s="28" t="e">
        <f>VLOOKUP(F1151,표준용어사전!$B:$D,3,FALSE)</f>
        <v>#N/A</v>
      </c>
      <c r="J1151" s="33" t="s">
        <v>78</v>
      </c>
      <c r="K1151" s="34" t="s">
        <v>1002</v>
      </c>
      <c r="L1151" s="29" t="s">
        <v>571</v>
      </c>
      <c r="M1151" s="29" t="s">
        <v>720</v>
      </c>
      <c r="N1151" s="32" t="s">
        <v>75</v>
      </c>
      <c r="O1151" s="31"/>
      <c r="P1151" s="31"/>
      <c r="Q1151" s="28" t="s">
        <v>76</v>
      </c>
      <c r="R1151" s="29"/>
      <c r="S1151" s="31"/>
      <c r="T1151" s="31"/>
      <c r="U1151" s="28" t="s">
        <v>75</v>
      </c>
      <c r="V1151" s="28" t="s">
        <v>75</v>
      </c>
      <c r="W1151" s="31"/>
    </row>
    <row r="1152" spans="1:23">
      <c r="A1152" s="46" t="s">
        <v>572</v>
      </c>
      <c r="B1152" s="28" t="s">
        <v>1337</v>
      </c>
      <c r="C1152" s="28" t="s">
        <v>978</v>
      </c>
      <c r="D1152" s="31" t="s">
        <v>1176</v>
      </c>
      <c r="E1152" s="31" t="s">
        <v>1300</v>
      </c>
      <c r="F1152" s="28" t="s">
        <v>1531</v>
      </c>
      <c r="G1152" s="28" t="s">
        <v>1492</v>
      </c>
      <c r="H1152" s="35" t="s">
        <v>1096</v>
      </c>
      <c r="I1152" s="28" t="e">
        <f>VLOOKUP(F1152,표준용어사전!$B:$D,3,FALSE)</f>
        <v>#N/A</v>
      </c>
      <c r="J1152" s="33" t="s">
        <v>78</v>
      </c>
      <c r="K1152" s="34" t="s">
        <v>986</v>
      </c>
      <c r="L1152" s="29" t="s">
        <v>571</v>
      </c>
      <c r="M1152" s="29" t="s">
        <v>727</v>
      </c>
      <c r="N1152" s="32" t="s">
        <v>75</v>
      </c>
      <c r="O1152" s="31"/>
      <c r="P1152" s="31"/>
      <c r="Q1152" s="28" t="s">
        <v>76</v>
      </c>
      <c r="R1152" s="29"/>
      <c r="S1152" s="31"/>
      <c r="T1152" s="31"/>
      <c r="U1152" s="28" t="s">
        <v>75</v>
      </c>
      <c r="V1152" s="28" t="s">
        <v>75</v>
      </c>
      <c r="W1152" s="31"/>
    </row>
    <row r="1153" spans="1:23">
      <c r="A1153" s="46" t="s">
        <v>572</v>
      </c>
      <c r="B1153" s="28" t="s">
        <v>1337</v>
      </c>
      <c r="C1153" s="28" t="s">
        <v>978</v>
      </c>
      <c r="D1153" s="31" t="s">
        <v>1176</v>
      </c>
      <c r="E1153" s="31" t="s">
        <v>1301</v>
      </c>
      <c r="F1153" s="28" t="s">
        <v>1532</v>
      </c>
      <c r="G1153" s="28" t="s">
        <v>1493</v>
      </c>
      <c r="H1153" s="35" t="s">
        <v>1096</v>
      </c>
      <c r="I1153" s="28" t="e">
        <f>VLOOKUP(F1153,표준용어사전!$B:$D,3,FALSE)</f>
        <v>#N/A</v>
      </c>
      <c r="J1153" s="33" t="s">
        <v>78</v>
      </c>
      <c r="K1153" s="34" t="s">
        <v>996</v>
      </c>
      <c r="L1153" s="29" t="s">
        <v>571</v>
      </c>
      <c r="M1153" s="29" t="s">
        <v>1018</v>
      </c>
      <c r="N1153" s="32" t="s">
        <v>75</v>
      </c>
      <c r="O1153" s="31"/>
      <c r="P1153" s="31"/>
      <c r="Q1153" s="28" t="s">
        <v>76</v>
      </c>
      <c r="R1153" s="29"/>
      <c r="S1153" s="31"/>
      <c r="T1153" s="31"/>
      <c r="U1153" s="28" t="s">
        <v>75</v>
      </c>
      <c r="V1153" s="28" t="s">
        <v>75</v>
      </c>
      <c r="W1153" s="31"/>
    </row>
    <row r="1154" spans="1:23">
      <c r="A1154" s="46" t="s">
        <v>572</v>
      </c>
      <c r="B1154" s="28" t="s">
        <v>1337</v>
      </c>
      <c r="C1154" s="28" t="s">
        <v>978</v>
      </c>
      <c r="D1154" s="31" t="s">
        <v>1176</v>
      </c>
      <c r="E1154" s="31" t="s">
        <v>1302</v>
      </c>
      <c r="F1154" s="28" t="s">
        <v>1105</v>
      </c>
      <c r="G1154" s="28" t="s">
        <v>1105</v>
      </c>
      <c r="H1154" s="35" t="s">
        <v>1096</v>
      </c>
      <c r="I1154" s="28" t="e">
        <f>VLOOKUP(F1154,표준용어사전!$B:$D,3,FALSE)</f>
        <v>#N/A</v>
      </c>
      <c r="J1154" s="33" t="s">
        <v>78</v>
      </c>
      <c r="K1154" s="34" t="s">
        <v>1062</v>
      </c>
      <c r="L1154" s="29" t="s">
        <v>571</v>
      </c>
      <c r="M1154" s="29" t="s">
        <v>728</v>
      </c>
      <c r="N1154" s="32" t="s">
        <v>75</v>
      </c>
      <c r="O1154" s="31"/>
      <c r="P1154" s="31"/>
      <c r="Q1154" s="28" t="s">
        <v>76</v>
      </c>
      <c r="R1154" s="29"/>
      <c r="S1154" s="31"/>
      <c r="T1154" s="31"/>
      <c r="U1154" s="28" t="s">
        <v>75</v>
      </c>
      <c r="V1154" s="28" t="s">
        <v>75</v>
      </c>
      <c r="W1154" s="31"/>
    </row>
    <row r="1155" spans="1:23">
      <c r="A1155" s="46" t="s">
        <v>572</v>
      </c>
      <c r="B1155" s="28" t="s">
        <v>1337</v>
      </c>
      <c r="C1155" s="28" t="s">
        <v>978</v>
      </c>
      <c r="D1155" s="31" t="s">
        <v>1177</v>
      </c>
      <c r="E1155" s="31" t="s">
        <v>1281</v>
      </c>
      <c r="F1155" s="28" t="s">
        <v>1085</v>
      </c>
      <c r="G1155" s="28" t="s">
        <v>1085</v>
      </c>
      <c r="H1155" s="35" t="s">
        <v>1106</v>
      </c>
      <c r="I1155" s="28" t="e">
        <f>VLOOKUP(F1155,표준용어사전!$B:$D,3,FALSE)</f>
        <v>#N/A</v>
      </c>
      <c r="J1155" s="33" t="s">
        <v>78</v>
      </c>
      <c r="K1155" s="34" t="s">
        <v>982</v>
      </c>
      <c r="L1155" s="29" t="s">
        <v>571</v>
      </c>
      <c r="M1155" s="29" t="s">
        <v>983</v>
      </c>
      <c r="N1155" s="32" t="s">
        <v>973</v>
      </c>
      <c r="O1155" s="31" t="s">
        <v>641</v>
      </c>
      <c r="P1155" s="31"/>
      <c r="Q1155" s="28" t="s">
        <v>76</v>
      </c>
      <c r="R1155" s="29"/>
      <c r="S1155" s="31"/>
      <c r="T1155" s="31"/>
      <c r="U1155" s="28" t="s">
        <v>75</v>
      </c>
      <c r="V1155" s="28" t="s">
        <v>75</v>
      </c>
      <c r="W1155" s="31"/>
    </row>
    <row r="1156" spans="1:23">
      <c r="A1156" s="46" t="s">
        <v>572</v>
      </c>
      <c r="B1156" s="28" t="s">
        <v>1337</v>
      </c>
      <c r="C1156" s="28" t="s">
        <v>978</v>
      </c>
      <c r="D1156" s="31" t="s">
        <v>1177</v>
      </c>
      <c r="E1156" s="31" t="s">
        <v>1303</v>
      </c>
      <c r="F1156" s="28" t="s">
        <v>1107</v>
      </c>
      <c r="G1156" s="28" t="s">
        <v>1107</v>
      </c>
      <c r="H1156" s="35" t="s">
        <v>1106</v>
      </c>
      <c r="I1156" s="28" t="e">
        <f>VLOOKUP(F1156,표준용어사전!$B:$D,3,FALSE)</f>
        <v>#N/A</v>
      </c>
      <c r="J1156" s="33" t="s">
        <v>78</v>
      </c>
      <c r="K1156" s="34" t="s">
        <v>1026</v>
      </c>
      <c r="L1156" s="29" t="s">
        <v>571</v>
      </c>
      <c r="M1156" s="29" t="s">
        <v>729</v>
      </c>
      <c r="N1156" s="32" t="s">
        <v>973</v>
      </c>
      <c r="O1156" s="31"/>
      <c r="P1156" s="31"/>
      <c r="Q1156" s="28" t="s">
        <v>76</v>
      </c>
      <c r="R1156" s="29"/>
      <c r="S1156" s="31"/>
      <c r="T1156" s="31"/>
      <c r="U1156" s="28" t="s">
        <v>75</v>
      </c>
      <c r="V1156" s="28" t="s">
        <v>75</v>
      </c>
      <c r="W1156" s="31"/>
    </row>
    <row r="1157" spans="1:23">
      <c r="A1157" s="46" t="s">
        <v>572</v>
      </c>
      <c r="B1157" s="28" t="s">
        <v>1337</v>
      </c>
      <c r="C1157" s="28" t="s">
        <v>978</v>
      </c>
      <c r="D1157" s="31" t="s">
        <v>1177</v>
      </c>
      <c r="E1157" s="31" t="s">
        <v>1304</v>
      </c>
      <c r="F1157" s="28" t="s">
        <v>1432</v>
      </c>
      <c r="G1157" s="28" t="s">
        <v>1432</v>
      </c>
      <c r="H1157" s="35" t="s">
        <v>1106</v>
      </c>
      <c r="I1157" s="28" t="e">
        <f>VLOOKUP(F1157,표준용어사전!$B:$D,3,FALSE)</f>
        <v>#N/A</v>
      </c>
      <c r="J1157" s="33" t="s">
        <v>78</v>
      </c>
      <c r="K1157" s="34" t="s">
        <v>982</v>
      </c>
      <c r="L1157" s="29" t="s">
        <v>571</v>
      </c>
      <c r="M1157" s="29" t="s">
        <v>983</v>
      </c>
      <c r="N1157" s="32" t="s">
        <v>75</v>
      </c>
      <c r="O1157" s="31"/>
      <c r="P1157" s="31"/>
      <c r="Q1157" s="28" t="s">
        <v>76</v>
      </c>
      <c r="R1157" s="29"/>
      <c r="S1157" s="31"/>
      <c r="T1157" s="31"/>
      <c r="U1157" s="28" t="s">
        <v>75</v>
      </c>
      <c r="V1157" s="28" t="s">
        <v>75</v>
      </c>
      <c r="W1157" s="31"/>
    </row>
    <row r="1158" spans="1:23">
      <c r="A1158" s="46" t="s">
        <v>572</v>
      </c>
      <c r="B1158" s="28" t="s">
        <v>1337</v>
      </c>
      <c r="C1158" s="28" t="s">
        <v>978</v>
      </c>
      <c r="D1158" s="31" t="s">
        <v>1177</v>
      </c>
      <c r="E1158" s="31" t="s">
        <v>1305</v>
      </c>
      <c r="F1158" s="28" t="s">
        <v>1108</v>
      </c>
      <c r="G1158" s="28" t="s">
        <v>1108</v>
      </c>
      <c r="H1158" s="35" t="s">
        <v>1106</v>
      </c>
      <c r="I1158" s="28" t="e">
        <f>VLOOKUP(F1158,표준용어사전!$B:$D,3,FALSE)</f>
        <v>#N/A</v>
      </c>
      <c r="J1158" s="33" t="s">
        <v>78</v>
      </c>
      <c r="K1158" s="34" t="s">
        <v>984</v>
      </c>
      <c r="L1158" s="29" t="s">
        <v>571</v>
      </c>
      <c r="M1158" s="29" t="s">
        <v>715</v>
      </c>
      <c r="N1158" s="32" t="s">
        <v>75</v>
      </c>
      <c r="O1158" s="31"/>
      <c r="P1158" s="31"/>
      <c r="Q1158" s="28" t="s">
        <v>76</v>
      </c>
      <c r="R1158" s="29"/>
      <c r="S1158" s="31"/>
      <c r="T1158" s="31"/>
      <c r="U1158" s="28" t="s">
        <v>75</v>
      </c>
      <c r="V1158" s="28" t="s">
        <v>75</v>
      </c>
      <c r="W1158" s="31"/>
    </row>
    <row r="1159" spans="1:23">
      <c r="A1159" s="46" t="s">
        <v>572</v>
      </c>
      <c r="B1159" s="28" t="s">
        <v>1337</v>
      </c>
      <c r="C1159" s="28" t="s">
        <v>978</v>
      </c>
      <c r="D1159" s="31" t="s">
        <v>1177</v>
      </c>
      <c r="E1159" s="31" t="s">
        <v>1099</v>
      </c>
      <c r="F1159" s="28" t="s">
        <v>1099</v>
      </c>
      <c r="G1159" s="28" t="s">
        <v>1099</v>
      </c>
      <c r="H1159" s="35" t="s">
        <v>1106</v>
      </c>
      <c r="I1159" s="28" t="e">
        <f>VLOOKUP(F1159,표준용어사전!$B:$D,3,FALSE)</f>
        <v>#N/A</v>
      </c>
      <c r="J1159" s="33" t="s">
        <v>78</v>
      </c>
      <c r="K1159" s="34" t="s">
        <v>1026</v>
      </c>
      <c r="L1159" s="29" t="s">
        <v>571</v>
      </c>
      <c r="M1159" s="29" t="s">
        <v>729</v>
      </c>
      <c r="N1159" s="32" t="s">
        <v>973</v>
      </c>
      <c r="O1159" s="31"/>
      <c r="P1159" s="31"/>
      <c r="Q1159" s="28" t="s">
        <v>76</v>
      </c>
      <c r="R1159" s="29"/>
      <c r="S1159" s="31"/>
      <c r="T1159" s="31"/>
      <c r="U1159" s="28" t="s">
        <v>75</v>
      </c>
      <c r="V1159" s="28" t="s">
        <v>75</v>
      </c>
      <c r="W1159" s="31"/>
    </row>
    <row r="1160" spans="1:23">
      <c r="A1160" s="46" t="s">
        <v>572</v>
      </c>
      <c r="B1160" s="28" t="s">
        <v>1337</v>
      </c>
      <c r="C1160" s="28" t="s">
        <v>978</v>
      </c>
      <c r="D1160" s="31" t="s">
        <v>1178</v>
      </c>
      <c r="E1160" s="31" t="s">
        <v>1233</v>
      </c>
      <c r="F1160" s="28" t="s">
        <v>1510</v>
      </c>
      <c r="G1160" s="28" t="s">
        <v>1487</v>
      </c>
      <c r="H1160" s="35" t="s">
        <v>1109</v>
      </c>
      <c r="I1160" s="28" t="e">
        <f>VLOOKUP(F1160,표준용어사전!$B:$D,3,FALSE)</f>
        <v>#N/A</v>
      </c>
      <c r="J1160" s="33" t="s">
        <v>78</v>
      </c>
      <c r="K1160" s="34" t="s">
        <v>1002</v>
      </c>
      <c r="L1160" s="29" t="s">
        <v>571</v>
      </c>
      <c r="M1160" s="29" t="s">
        <v>720</v>
      </c>
      <c r="N1160" s="32" t="s">
        <v>973</v>
      </c>
      <c r="O1160" s="31" t="s">
        <v>641</v>
      </c>
      <c r="P1160" s="31"/>
      <c r="Q1160" s="28" t="s">
        <v>76</v>
      </c>
      <c r="R1160" s="29"/>
      <c r="S1160" s="31"/>
      <c r="T1160" s="31"/>
      <c r="U1160" s="28" t="s">
        <v>75</v>
      </c>
      <c r="V1160" s="28" t="s">
        <v>75</v>
      </c>
      <c r="W1160" s="28"/>
    </row>
    <row r="1161" spans="1:23">
      <c r="A1161" s="46" t="s">
        <v>572</v>
      </c>
      <c r="B1161" s="28" t="s">
        <v>1337</v>
      </c>
      <c r="C1161" s="28" t="s">
        <v>978</v>
      </c>
      <c r="D1161" s="31" t="s">
        <v>1178</v>
      </c>
      <c r="E1161" s="31" t="s">
        <v>1306</v>
      </c>
      <c r="F1161" s="28" t="s">
        <v>1110</v>
      </c>
      <c r="G1161" s="28" t="s">
        <v>1110</v>
      </c>
      <c r="H1161" s="35" t="s">
        <v>1109</v>
      </c>
      <c r="I1161" s="28" t="e">
        <f>VLOOKUP(F1161,표준용어사전!$B:$D,3,FALSE)</f>
        <v>#N/A</v>
      </c>
      <c r="J1161" s="33" t="s">
        <v>78</v>
      </c>
      <c r="K1161" s="34" t="s">
        <v>982</v>
      </c>
      <c r="L1161" s="29" t="s">
        <v>571</v>
      </c>
      <c r="M1161" s="29" t="s">
        <v>983</v>
      </c>
      <c r="N1161" s="32" t="s">
        <v>973</v>
      </c>
      <c r="O1161" s="31"/>
      <c r="P1161" s="31"/>
      <c r="Q1161" s="28" t="s">
        <v>76</v>
      </c>
      <c r="R1161" s="29"/>
      <c r="S1161" s="31"/>
      <c r="T1161" s="31"/>
      <c r="U1161" s="28" t="s">
        <v>75</v>
      </c>
      <c r="V1161" s="28" t="s">
        <v>75</v>
      </c>
      <c r="W1161" s="28"/>
    </row>
    <row r="1162" spans="1:23">
      <c r="A1162" s="46" t="s">
        <v>572</v>
      </c>
      <c r="B1162" s="28" t="s">
        <v>1337</v>
      </c>
      <c r="C1162" s="28" t="s">
        <v>978</v>
      </c>
      <c r="D1162" s="31" t="s">
        <v>1178</v>
      </c>
      <c r="E1162" s="31" t="s">
        <v>1307</v>
      </c>
      <c r="F1162" s="28" t="s">
        <v>1111</v>
      </c>
      <c r="G1162" s="28" t="s">
        <v>1111</v>
      </c>
      <c r="H1162" s="35" t="s">
        <v>1109</v>
      </c>
      <c r="I1162" s="28" t="e">
        <f>VLOOKUP(F1162,표준용어사전!$B:$D,3,FALSE)</f>
        <v>#N/A</v>
      </c>
      <c r="J1162" s="33" t="s">
        <v>78</v>
      </c>
      <c r="K1162" s="34" t="s">
        <v>1112</v>
      </c>
      <c r="L1162" s="29" t="s">
        <v>571</v>
      </c>
      <c r="M1162" s="29" t="s">
        <v>1113</v>
      </c>
      <c r="N1162" s="32" t="s">
        <v>75</v>
      </c>
      <c r="O1162" s="31"/>
      <c r="P1162" s="31"/>
      <c r="Q1162" s="28" t="s">
        <v>76</v>
      </c>
      <c r="R1162" s="29"/>
      <c r="S1162" s="31"/>
      <c r="T1162" s="31"/>
      <c r="U1162" s="28" t="s">
        <v>75</v>
      </c>
      <c r="V1162" s="28" t="s">
        <v>75</v>
      </c>
      <c r="W1162" s="28"/>
    </row>
    <row r="1163" spans="1:23">
      <c r="A1163" s="46" t="s">
        <v>572</v>
      </c>
      <c r="B1163" s="28" t="s">
        <v>1337</v>
      </c>
      <c r="C1163" s="28" t="s">
        <v>978</v>
      </c>
      <c r="D1163" s="31" t="s">
        <v>1178</v>
      </c>
      <c r="E1163" s="31" t="s">
        <v>1308</v>
      </c>
      <c r="F1163" s="28" t="s">
        <v>1114</v>
      </c>
      <c r="G1163" s="28" t="s">
        <v>1114</v>
      </c>
      <c r="H1163" s="35" t="s">
        <v>1109</v>
      </c>
      <c r="I1163" s="28" t="e">
        <f>VLOOKUP(F1163,표준용어사전!$B:$D,3,FALSE)</f>
        <v>#N/A</v>
      </c>
      <c r="J1163" s="33" t="s">
        <v>78</v>
      </c>
      <c r="K1163" s="34" t="s">
        <v>984</v>
      </c>
      <c r="L1163" s="29" t="s">
        <v>571</v>
      </c>
      <c r="M1163" s="29" t="s">
        <v>715</v>
      </c>
      <c r="N1163" s="32" t="s">
        <v>75</v>
      </c>
      <c r="O1163" s="31"/>
      <c r="P1163" s="31"/>
      <c r="Q1163" s="28" t="s">
        <v>76</v>
      </c>
      <c r="R1163" s="29"/>
      <c r="S1163" s="31"/>
      <c r="T1163" s="31"/>
      <c r="U1163" s="28" t="s">
        <v>75</v>
      </c>
      <c r="V1163" s="28" t="s">
        <v>75</v>
      </c>
      <c r="W1163" s="28"/>
    </row>
    <row r="1164" spans="1:23">
      <c r="A1164" s="46" t="s">
        <v>572</v>
      </c>
      <c r="B1164" s="28" t="s">
        <v>1337</v>
      </c>
      <c r="C1164" s="28" t="s">
        <v>978</v>
      </c>
      <c r="D1164" s="31" t="s">
        <v>1178</v>
      </c>
      <c r="E1164" s="31" t="s">
        <v>1309</v>
      </c>
      <c r="F1164" s="28" t="s">
        <v>1115</v>
      </c>
      <c r="G1164" s="28" t="s">
        <v>1115</v>
      </c>
      <c r="H1164" s="35" t="s">
        <v>1109</v>
      </c>
      <c r="I1164" s="28" t="e">
        <f>VLOOKUP(F1164,표준용어사전!$B:$D,3,FALSE)</f>
        <v>#N/A</v>
      </c>
      <c r="J1164" s="33" t="s">
        <v>78</v>
      </c>
      <c r="K1164" s="34" t="s">
        <v>1116</v>
      </c>
      <c r="L1164" s="29" t="s">
        <v>571</v>
      </c>
      <c r="M1164" s="29" t="s">
        <v>1117</v>
      </c>
      <c r="N1164" s="32" t="s">
        <v>75</v>
      </c>
      <c r="O1164" s="31"/>
      <c r="P1164" s="31"/>
      <c r="Q1164" s="28" t="s">
        <v>76</v>
      </c>
      <c r="R1164" s="29"/>
      <c r="S1164" s="31"/>
      <c r="T1164" s="31"/>
      <c r="U1164" s="28" t="s">
        <v>75</v>
      </c>
      <c r="V1164" s="28" t="s">
        <v>75</v>
      </c>
      <c r="W1164" s="28"/>
    </row>
    <row r="1165" spans="1:23">
      <c r="A1165" s="46" t="s">
        <v>572</v>
      </c>
      <c r="B1165" s="28" t="s">
        <v>1337</v>
      </c>
      <c r="C1165" s="28" t="s">
        <v>978</v>
      </c>
      <c r="D1165" s="31" t="s">
        <v>1178</v>
      </c>
      <c r="E1165" s="31" t="s">
        <v>1310</v>
      </c>
      <c r="F1165" s="28" t="s">
        <v>1118</v>
      </c>
      <c r="G1165" s="28" t="s">
        <v>1118</v>
      </c>
      <c r="H1165" s="35" t="s">
        <v>1109</v>
      </c>
      <c r="I1165" s="28" t="e">
        <f>VLOOKUP(F1165,표준용어사전!$B:$D,3,FALSE)</f>
        <v>#N/A</v>
      </c>
      <c r="J1165" s="33" t="s">
        <v>78</v>
      </c>
      <c r="K1165" s="34" t="s">
        <v>1061</v>
      </c>
      <c r="L1165" s="29" t="s">
        <v>571</v>
      </c>
      <c r="M1165" s="29" t="s">
        <v>1119</v>
      </c>
      <c r="N1165" s="32" t="s">
        <v>75</v>
      </c>
      <c r="O1165" s="31"/>
      <c r="P1165" s="31"/>
      <c r="Q1165" s="28" t="s">
        <v>76</v>
      </c>
      <c r="R1165" s="29"/>
      <c r="S1165" s="31"/>
      <c r="T1165" s="31"/>
      <c r="U1165" s="28" t="s">
        <v>75</v>
      </c>
      <c r="V1165" s="28" t="s">
        <v>75</v>
      </c>
      <c r="W1165" s="28"/>
    </row>
    <row r="1166" spans="1:23">
      <c r="A1166" s="46" t="s">
        <v>572</v>
      </c>
      <c r="B1166" s="28" t="s">
        <v>1337</v>
      </c>
      <c r="C1166" s="28" t="s">
        <v>978</v>
      </c>
      <c r="D1166" s="31" t="s">
        <v>1178</v>
      </c>
      <c r="E1166" s="31" t="s">
        <v>1311</v>
      </c>
      <c r="F1166" s="28" t="s">
        <v>1120</v>
      </c>
      <c r="G1166" s="28" t="s">
        <v>1120</v>
      </c>
      <c r="H1166" s="35" t="s">
        <v>1109</v>
      </c>
      <c r="I1166" s="28" t="e">
        <f>VLOOKUP(F1166,표준용어사전!$B:$D,3,FALSE)</f>
        <v>#N/A</v>
      </c>
      <c r="J1166" s="33" t="s">
        <v>16</v>
      </c>
      <c r="K1166" s="34" t="s">
        <v>927</v>
      </c>
      <c r="L1166" s="29" t="s">
        <v>571</v>
      </c>
      <c r="M1166" s="29" t="s">
        <v>726</v>
      </c>
      <c r="N1166" s="32" t="s">
        <v>973</v>
      </c>
      <c r="O1166" s="31"/>
      <c r="P1166" s="31"/>
      <c r="Q1166" s="28" t="s">
        <v>76</v>
      </c>
      <c r="R1166" s="29"/>
      <c r="S1166" s="31"/>
      <c r="T1166" s="28" t="s">
        <v>574</v>
      </c>
      <c r="U1166" s="28" t="s">
        <v>75</v>
      </c>
      <c r="V1166" s="28" t="s">
        <v>75</v>
      </c>
      <c r="W1166" s="28"/>
    </row>
    <row r="1167" spans="1:23">
      <c r="A1167" s="46" t="s">
        <v>572</v>
      </c>
      <c r="B1167" s="28" t="s">
        <v>1337</v>
      </c>
      <c r="C1167" s="28" t="s">
        <v>978</v>
      </c>
      <c r="D1167" s="31" t="s">
        <v>1178</v>
      </c>
      <c r="E1167" s="31" t="s">
        <v>1312</v>
      </c>
      <c r="F1167" s="28" t="s">
        <v>1437</v>
      </c>
      <c r="G1167" s="28" t="s">
        <v>1437</v>
      </c>
      <c r="H1167" s="35" t="s">
        <v>1109</v>
      </c>
      <c r="I1167" s="28" t="e">
        <f>VLOOKUP(F1167,표준용어사전!$B:$D,3,FALSE)</f>
        <v>#N/A</v>
      </c>
      <c r="J1167" s="33" t="s">
        <v>78</v>
      </c>
      <c r="K1167" s="34" t="s">
        <v>986</v>
      </c>
      <c r="L1167" s="29" t="s">
        <v>571</v>
      </c>
      <c r="M1167" s="29" t="s">
        <v>727</v>
      </c>
      <c r="N1167" s="32" t="s">
        <v>75</v>
      </c>
      <c r="O1167" s="31"/>
      <c r="P1167" s="31"/>
      <c r="Q1167" s="28" t="s">
        <v>76</v>
      </c>
      <c r="R1167" s="29"/>
      <c r="S1167" s="31"/>
      <c r="T1167" s="31"/>
      <c r="U1167" s="28" t="s">
        <v>75</v>
      </c>
      <c r="V1167" s="28" t="s">
        <v>75</v>
      </c>
      <c r="W1167" s="28"/>
    </row>
    <row r="1168" spans="1:23">
      <c r="A1168" s="46" t="s">
        <v>572</v>
      </c>
      <c r="B1168" s="28" t="s">
        <v>1337</v>
      </c>
      <c r="C1168" s="28" t="s">
        <v>978</v>
      </c>
      <c r="D1168" s="31" t="s">
        <v>1179</v>
      </c>
      <c r="E1168" s="31" t="s">
        <v>1436</v>
      </c>
      <c r="F1168" s="28" t="s">
        <v>1435</v>
      </c>
      <c r="G1168" s="28" t="s">
        <v>1121</v>
      </c>
      <c r="H1168" s="35" t="s">
        <v>1122</v>
      </c>
      <c r="I1168" s="28" t="e">
        <f>VLOOKUP(F1168,표준용어사전!$B:$D,3,FALSE)</f>
        <v>#N/A</v>
      </c>
      <c r="J1168" s="33" t="s">
        <v>78</v>
      </c>
      <c r="K1168" s="34" t="s">
        <v>996</v>
      </c>
      <c r="L1168" s="29" t="s">
        <v>571</v>
      </c>
      <c r="M1168" s="29" t="s">
        <v>1018</v>
      </c>
      <c r="N1168" s="32" t="s">
        <v>973</v>
      </c>
      <c r="O1168" s="31" t="s">
        <v>641</v>
      </c>
      <c r="P1168" s="31" t="s">
        <v>1363</v>
      </c>
      <c r="Q1168" s="28" t="s">
        <v>76</v>
      </c>
      <c r="R1168" s="29"/>
      <c r="S1168" s="31"/>
      <c r="T1168" s="31"/>
      <c r="U1168" s="28" t="s">
        <v>75</v>
      </c>
      <c r="V1168" s="28" t="s">
        <v>75</v>
      </c>
      <c r="W1168" s="28"/>
    </row>
    <row r="1169" spans="1:23">
      <c r="A1169" s="46" t="s">
        <v>572</v>
      </c>
      <c r="B1169" s="28" t="s">
        <v>1337</v>
      </c>
      <c r="C1169" s="28" t="s">
        <v>978</v>
      </c>
      <c r="D1169" s="31" t="s">
        <v>1179</v>
      </c>
      <c r="E1169" s="31" t="s">
        <v>1313</v>
      </c>
      <c r="F1169" s="28" t="s">
        <v>1123</v>
      </c>
      <c r="G1169" s="28" t="s">
        <v>1123</v>
      </c>
      <c r="H1169" s="35" t="s">
        <v>1122</v>
      </c>
      <c r="I1169" s="28" t="e">
        <f>VLOOKUP(F1169,표준용어사전!$B:$D,3,FALSE)</f>
        <v>#N/A</v>
      </c>
      <c r="J1169" s="33" t="s">
        <v>78</v>
      </c>
      <c r="K1169" s="34" t="s">
        <v>996</v>
      </c>
      <c r="L1169" s="29" t="s">
        <v>571</v>
      </c>
      <c r="M1169" s="29" t="s">
        <v>1018</v>
      </c>
      <c r="N1169" s="32" t="s">
        <v>973</v>
      </c>
      <c r="O1169" s="31" t="s">
        <v>573</v>
      </c>
      <c r="P1169" s="31" t="s">
        <v>1363</v>
      </c>
      <c r="Q1169" s="28" t="s">
        <v>76</v>
      </c>
      <c r="R1169" s="29"/>
      <c r="S1169" s="31"/>
      <c r="T1169" s="31"/>
      <c r="U1169" s="28" t="s">
        <v>75</v>
      </c>
      <c r="V1169" s="28" t="s">
        <v>75</v>
      </c>
      <c r="W1169" s="28"/>
    </row>
    <row r="1170" spans="1:23">
      <c r="A1170" s="46" t="s">
        <v>572</v>
      </c>
      <c r="B1170" s="28" t="s">
        <v>1337</v>
      </c>
      <c r="C1170" s="28" t="s">
        <v>978</v>
      </c>
      <c r="D1170" s="31" t="s">
        <v>1180</v>
      </c>
      <c r="E1170" s="31" t="s">
        <v>1314</v>
      </c>
      <c r="F1170" s="28" t="s">
        <v>1124</v>
      </c>
      <c r="G1170" s="28" t="s">
        <v>1124</v>
      </c>
      <c r="H1170" s="35" t="s">
        <v>1125</v>
      </c>
      <c r="I1170" s="28" t="e">
        <f>VLOOKUP(F1170,표준용어사전!$B:$D,3,FALSE)</f>
        <v>#N/A</v>
      </c>
      <c r="J1170" s="33" t="s">
        <v>78</v>
      </c>
      <c r="K1170" s="34" t="s">
        <v>1064</v>
      </c>
      <c r="L1170" s="29" t="s">
        <v>571</v>
      </c>
      <c r="M1170" s="29" t="s">
        <v>732</v>
      </c>
      <c r="N1170" s="32" t="s">
        <v>973</v>
      </c>
      <c r="O1170" s="31" t="s">
        <v>641</v>
      </c>
      <c r="P1170" s="31"/>
      <c r="Q1170" s="28" t="s">
        <v>76</v>
      </c>
      <c r="R1170" s="29"/>
      <c r="S1170" s="31"/>
      <c r="T1170" s="31"/>
      <c r="U1170" s="28" t="s">
        <v>75</v>
      </c>
      <c r="V1170" s="28" t="s">
        <v>75</v>
      </c>
      <c r="W1170" s="31"/>
    </row>
    <row r="1171" spans="1:23">
      <c r="A1171" s="46" t="s">
        <v>572</v>
      </c>
      <c r="B1171" s="28" t="s">
        <v>1337</v>
      </c>
      <c r="C1171" s="28" t="s">
        <v>978</v>
      </c>
      <c r="D1171" s="31" t="s">
        <v>1180</v>
      </c>
      <c r="E1171" s="31" t="s">
        <v>90</v>
      </c>
      <c r="F1171" s="35" t="s">
        <v>14</v>
      </c>
      <c r="G1171" s="35" t="s">
        <v>14</v>
      </c>
      <c r="H1171" s="35" t="s">
        <v>1125</v>
      </c>
      <c r="I1171" s="28" t="str">
        <f>VLOOKUP(F1171,표준용어사전!$B:$D,3,FALSE)</f>
        <v>연월일시분초TS</v>
      </c>
      <c r="J1171" s="33" t="s">
        <v>16</v>
      </c>
      <c r="K1171" s="34" t="s">
        <v>927</v>
      </c>
      <c r="L1171" s="29" t="s">
        <v>571</v>
      </c>
      <c r="M1171" s="29" t="s">
        <v>726</v>
      </c>
      <c r="N1171" s="29" t="s">
        <v>711</v>
      </c>
      <c r="O1171" s="31"/>
      <c r="P1171" s="31"/>
      <c r="Q1171" s="28" t="s">
        <v>76</v>
      </c>
      <c r="R1171" s="29"/>
      <c r="S1171" s="31"/>
      <c r="T1171" s="28" t="s">
        <v>574</v>
      </c>
      <c r="U1171" s="28" t="s">
        <v>75</v>
      </c>
      <c r="V1171" s="28" t="s">
        <v>75</v>
      </c>
      <c r="W1171" s="31"/>
    </row>
    <row r="1172" spans="1:23">
      <c r="A1172" s="46" t="s">
        <v>572</v>
      </c>
      <c r="B1172" s="28" t="s">
        <v>1337</v>
      </c>
      <c r="C1172" s="28" t="s">
        <v>978</v>
      </c>
      <c r="D1172" s="31" t="s">
        <v>1180</v>
      </c>
      <c r="E1172" s="31" t="s">
        <v>1315</v>
      </c>
      <c r="F1172" s="28" t="s">
        <v>1439</v>
      </c>
      <c r="G1172" s="28" t="s">
        <v>1126</v>
      </c>
      <c r="H1172" s="35" t="s">
        <v>1125</v>
      </c>
      <c r="I1172" s="28" t="str">
        <f>VLOOKUP(F1172,표준용어사전!$B:$D,3,FALSE)</f>
        <v>연월일시분초TS</v>
      </c>
      <c r="J1172" s="33" t="s">
        <v>16</v>
      </c>
      <c r="K1172" s="34" t="s">
        <v>927</v>
      </c>
      <c r="L1172" s="29" t="s">
        <v>571</v>
      </c>
      <c r="M1172" s="29" t="s">
        <v>726</v>
      </c>
      <c r="N1172" s="32" t="s">
        <v>75</v>
      </c>
      <c r="O1172" s="31"/>
      <c r="P1172" s="31"/>
      <c r="Q1172" s="28" t="s">
        <v>76</v>
      </c>
      <c r="R1172" s="29"/>
      <c r="S1172" s="31"/>
      <c r="T1172" s="28" t="s">
        <v>574</v>
      </c>
      <c r="U1172" s="28" t="s">
        <v>75</v>
      </c>
      <c r="V1172" s="28" t="s">
        <v>75</v>
      </c>
      <c r="W1172" s="31"/>
    </row>
    <row r="1173" spans="1:23">
      <c r="A1173" s="46" t="s">
        <v>572</v>
      </c>
      <c r="B1173" s="28" t="s">
        <v>1337</v>
      </c>
      <c r="C1173" s="28" t="s">
        <v>978</v>
      </c>
      <c r="D1173" s="31" t="s">
        <v>1180</v>
      </c>
      <c r="E1173" s="31" t="s">
        <v>863</v>
      </c>
      <c r="F1173" s="28" t="s">
        <v>1625</v>
      </c>
      <c r="G1173" s="28" t="s">
        <v>1625</v>
      </c>
      <c r="H1173" s="35" t="s">
        <v>1125</v>
      </c>
      <c r="I1173" s="28" t="e">
        <f>VLOOKUP(F1173,표준용어사전!$B:$D,3,FALSE)</f>
        <v>#N/A</v>
      </c>
      <c r="J1173" s="33" t="s">
        <v>78</v>
      </c>
      <c r="K1173" s="34" t="s">
        <v>1073</v>
      </c>
      <c r="L1173" s="29" t="s">
        <v>571</v>
      </c>
      <c r="M1173" s="29" t="s">
        <v>788</v>
      </c>
      <c r="N1173" s="32" t="s">
        <v>75</v>
      </c>
      <c r="O1173" s="31"/>
      <c r="P1173" s="31"/>
      <c r="Q1173" s="28" t="s">
        <v>76</v>
      </c>
      <c r="R1173" s="29"/>
      <c r="S1173" s="31"/>
      <c r="T1173" s="31"/>
      <c r="U1173" s="28" t="s">
        <v>75</v>
      </c>
      <c r="V1173" s="28" t="s">
        <v>75</v>
      </c>
      <c r="W1173" s="31"/>
    </row>
    <row r="1174" spans="1:23">
      <c r="A1174" s="46" t="s">
        <v>572</v>
      </c>
      <c r="B1174" s="28" t="s">
        <v>1337</v>
      </c>
      <c r="C1174" s="28" t="s">
        <v>978</v>
      </c>
      <c r="D1174" s="31" t="s">
        <v>1180</v>
      </c>
      <c r="E1174" s="31" t="s">
        <v>1316</v>
      </c>
      <c r="F1174" s="28" t="s">
        <v>1127</v>
      </c>
      <c r="G1174" s="28" t="s">
        <v>1127</v>
      </c>
      <c r="H1174" s="35" t="s">
        <v>1125</v>
      </c>
      <c r="I1174" s="28" t="e">
        <f>VLOOKUP(F1174,표준용어사전!$B:$D,3,FALSE)</f>
        <v>#N/A</v>
      </c>
      <c r="J1174" s="33" t="s">
        <v>78</v>
      </c>
      <c r="K1174" s="34" t="s">
        <v>986</v>
      </c>
      <c r="L1174" s="29" t="s">
        <v>571</v>
      </c>
      <c r="M1174" s="29" t="s">
        <v>727</v>
      </c>
      <c r="N1174" s="32" t="s">
        <v>75</v>
      </c>
      <c r="O1174" s="31"/>
      <c r="P1174" s="31"/>
      <c r="Q1174" s="28" t="s">
        <v>76</v>
      </c>
      <c r="R1174" s="29"/>
      <c r="S1174" s="31"/>
      <c r="T1174" s="31"/>
      <c r="U1174" s="28" t="s">
        <v>75</v>
      </c>
      <c r="V1174" s="28" t="s">
        <v>75</v>
      </c>
      <c r="W1174" s="31"/>
    </row>
    <row r="1175" spans="1:23">
      <c r="A1175" s="46" t="s">
        <v>572</v>
      </c>
      <c r="B1175" s="28" t="s">
        <v>1337</v>
      </c>
      <c r="C1175" s="28" t="s">
        <v>978</v>
      </c>
      <c r="D1175" s="31" t="s">
        <v>1181</v>
      </c>
      <c r="E1175" s="31" t="s">
        <v>1317</v>
      </c>
      <c r="F1175" s="28" t="s">
        <v>1128</v>
      </c>
      <c r="G1175" s="28" t="s">
        <v>1128</v>
      </c>
      <c r="H1175" s="35" t="s">
        <v>1129</v>
      </c>
      <c r="I1175" s="28" t="e">
        <f>VLOOKUP(F1175,표준용어사전!$B:$D,3,FALSE)</f>
        <v>#N/A</v>
      </c>
      <c r="J1175" s="33" t="s">
        <v>78</v>
      </c>
      <c r="K1175" s="34" t="s">
        <v>986</v>
      </c>
      <c r="L1175" s="29" t="s">
        <v>571</v>
      </c>
      <c r="M1175" s="29" t="s">
        <v>727</v>
      </c>
      <c r="N1175" s="32" t="s">
        <v>973</v>
      </c>
      <c r="O1175" s="31" t="s">
        <v>641</v>
      </c>
      <c r="P1175" s="31"/>
      <c r="Q1175" s="28" t="s">
        <v>76</v>
      </c>
      <c r="R1175" s="29"/>
      <c r="S1175" s="31"/>
      <c r="T1175" s="31"/>
      <c r="U1175" s="28" t="s">
        <v>75</v>
      </c>
      <c r="V1175" s="28" t="s">
        <v>75</v>
      </c>
      <c r="W1175" s="31"/>
    </row>
    <row r="1176" spans="1:23">
      <c r="A1176" s="46" t="s">
        <v>572</v>
      </c>
      <c r="B1176" s="28" t="s">
        <v>1337</v>
      </c>
      <c r="C1176" s="28" t="s">
        <v>978</v>
      </c>
      <c r="D1176" s="31" t="s">
        <v>1181</v>
      </c>
      <c r="E1176" s="31" t="s">
        <v>1318</v>
      </c>
      <c r="F1176" s="28" t="s">
        <v>1533</v>
      </c>
      <c r="G1176" s="28" t="s">
        <v>1494</v>
      </c>
      <c r="H1176" s="35" t="s">
        <v>1129</v>
      </c>
      <c r="I1176" s="28" t="e">
        <f>VLOOKUP(F1176,표준용어사전!$B:$D,3,FALSE)</f>
        <v>#N/A</v>
      </c>
      <c r="J1176" s="33" t="s">
        <v>570</v>
      </c>
      <c r="K1176" s="34" t="s">
        <v>980</v>
      </c>
      <c r="L1176" s="29" t="s">
        <v>571</v>
      </c>
      <c r="M1176" s="29" t="s">
        <v>981</v>
      </c>
      <c r="N1176" s="32" t="s">
        <v>75</v>
      </c>
      <c r="O1176" s="31"/>
      <c r="P1176" s="31"/>
      <c r="Q1176" s="28" t="s">
        <v>76</v>
      </c>
      <c r="R1176" s="29"/>
      <c r="S1176" s="31"/>
      <c r="T1176" s="31"/>
      <c r="U1176" s="28" t="s">
        <v>75</v>
      </c>
      <c r="V1176" s="28" t="s">
        <v>75</v>
      </c>
      <c r="W1176" s="31"/>
    </row>
    <row r="1177" spans="1:23">
      <c r="A1177" s="46" t="s">
        <v>572</v>
      </c>
      <c r="B1177" s="28" t="s">
        <v>1337</v>
      </c>
      <c r="C1177" s="28" t="s">
        <v>978</v>
      </c>
      <c r="D1177" s="31" t="s">
        <v>1181</v>
      </c>
      <c r="E1177" s="31" t="s">
        <v>1319</v>
      </c>
      <c r="F1177" s="28" t="s">
        <v>1525</v>
      </c>
      <c r="G1177" s="28" t="s">
        <v>1495</v>
      </c>
      <c r="H1177" s="35" t="s">
        <v>1129</v>
      </c>
      <c r="I1177" s="28" t="e">
        <f>VLOOKUP(F1177,표준용어사전!$B:$D,3,FALSE)</f>
        <v>#N/A</v>
      </c>
      <c r="J1177" s="33" t="s">
        <v>570</v>
      </c>
      <c r="K1177" s="34" t="s">
        <v>1130</v>
      </c>
      <c r="L1177" s="29" t="s">
        <v>571</v>
      </c>
      <c r="M1177" s="29" t="s">
        <v>1131</v>
      </c>
      <c r="N1177" s="32" t="s">
        <v>75</v>
      </c>
      <c r="O1177" s="31"/>
      <c r="P1177" s="31"/>
      <c r="Q1177" s="28" t="s">
        <v>76</v>
      </c>
      <c r="R1177" s="29"/>
      <c r="S1177" s="31"/>
      <c r="T1177" s="31"/>
      <c r="U1177" s="28" t="s">
        <v>75</v>
      </c>
      <c r="V1177" s="28" t="s">
        <v>75</v>
      </c>
      <c r="W1177" s="31"/>
    </row>
    <row r="1178" spans="1:23">
      <c r="A1178" s="46" t="s">
        <v>572</v>
      </c>
      <c r="B1178" s="28" t="s">
        <v>1337</v>
      </c>
      <c r="C1178" s="28" t="s">
        <v>978</v>
      </c>
      <c r="D1178" s="31" t="s">
        <v>1181</v>
      </c>
      <c r="E1178" s="31" t="s">
        <v>1290</v>
      </c>
      <c r="F1178" s="28" t="s">
        <v>1098</v>
      </c>
      <c r="G1178" s="28" t="s">
        <v>1098</v>
      </c>
      <c r="H1178" s="35" t="s">
        <v>1129</v>
      </c>
      <c r="I1178" s="28" t="e">
        <f>VLOOKUP(F1178,표준용어사전!$B:$D,3,FALSE)</f>
        <v>#N/A</v>
      </c>
      <c r="J1178" s="33" t="s">
        <v>16</v>
      </c>
      <c r="K1178" s="34" t="s">
        <v>927</v>
      </c>
      <c r="L1178" s="29" t="s">
        <v>571</v>
      </c>
      <c r="M1178" s="29" t="s">
        <v>726</v>
      </c>
      <c r="N1178" s="32" t="s">
        <v>75</v>
      </c>
      <c r="O1178" s="31"/>
      <c r="P1178" s="31"/>
      <c r="Q1178" s="28" t="s">
        <v>76</v>
      </c>
      <c r="R1178" s="29"/>
      <c r="S1178" s="31"/>
      <c r="T1178" s="28" t="s">
        <v>574</v>
      </c>
      <c r="U1178" s="28" t="s">
        <v>75</v>
      </c>
      <c r="V1178" s="28" t="s">
        <v>75</v>
      </c>
      <c r="W1178" s="31"/>
    </row>
    <row r="1179" spans="1:23">
      <c r="A1179" s="46" t="s">
        <v>572</v>
      </c>
      <c r="B1179" s="28" t="s">
        <v>1337</v>
      </c>
      <c r="C1179" s="28" t="s">
        <v>978</v>
      </c>
      <c r="D1179" s="31" t="s">
        <v>1181</v>
      </c>
      <c r="E1179" s="31" t="s">
        <v>1320</v>
      </c>
      <c r="F1179" s="28" t="s">
        <v>1132</v>
      </c>
      <c r="G1179" s="28" t="s">
        <v>1132</v>
      </c>
      <c r="H1179" s="35" t="s">
        <v>1129</v>
      </c>
      <c r="I1179" s="28" t="e">
        <f>VLOOKUP(F1179,표준용어사전!$B:$D,3,FALSE)</f>
        <v>#N/A</v>
      </c>
      <c r="J1179" s="33" t="s">
        <v>16</v>
      </c>
      <c r="K1179" s="34" t="s">
        <v>927</v>
      </c>
      <c r="L1179" s="29" t="s">
        <v>571</v>
      </c>
      <c r="M1179" s="29" t="s">
        <v>726</v>
      </c>
      <c r="N1179" s="32" t="s">
        <v>75</v>
      </c>
      <c r="O1179" s="31"/>
      <c r="P1179" s="31"/>
      <c r="Q1179" s="28" t="s">
        <v>76</v>
      </c>
      <c r="R1179" s="29"/>
      <c r="S1179" s="31"/>
      <c r="T1179" s="28" t="s">
        <v>574</v>
      </c>
      <c r="U1179" s="28" t="s">
        <v>75</v>
      </c>
      <c r="V1179" s="28" t="s">
        <v>75</v>
      </c>
      <c r="W1179" s="31"/>
    </row>
    <row r="1180" spans="1:23">
      <c r="A1180" s="46" t="s">
        <v>572</v>
      </c>
      <c r="B1180" s="28" t="s">
        <v>1337</v>
      </c>
      <c r="C1180" s="28" t="s">
        <v>978</v>
      </c>
      <c r="D1180" s="31" t="s">
        <v>1181</v>
      </c>
      <c r="E1180" s="31" t="s">
        <v>1292</v>
      </c>
      <c r="F1180" s="28" t="s">
        <v>1625</v>
      </c>
      <c r="G1180" s="28" t="s">
        <v>1625</v>
      </c>
      <c r="H1180" s="35" t="s">
        <v>1129</v>
      </c>
      <c r="I1180" s="28" t="e">
        <f>VLOOKUP(F1180,표준용어사전!$B:$D,3,FALSE)</f>
        <v>#N/A</v>
      </c>
      <c r="J1180" s="33" t="s">
        <v>78</v>
      </c>
      <c r="K1180" s="34" t="s">
        <v>1073</v>
      </c>
      <c r="L1180" s="29" t="s">
        <v>571</v>
      </c>
      <c r="M1180" s="29" t="s">
        <v>788</v>
      </c>
      <c r="N1180" s="32" t="s">
        <v>75</v>
      </c>
      <c r="O1180" s="31"/>
      <c r="P1180" s="31"/>
      <c r="Q1180" s="28" t="s">
        <v>76</v>
      </c>
      <c r="R1180" s="29"/>
      <c r="S1180" s="31"/>
      <c r="T1180" s="31"/>
      <c r="U1180" s="28" t="s">
        <v>75</v>
      </c>
      <c r="V1180" s="28" t="s">
        <v>75</v>
      </c>
      <c r="W1180" s="31"/>
    </row>
    <row r="1181" spans="1:23">
      <c r="A1181" s="46" t="s">
        <v>572</v>
      </c>
      <c r="B1181" s="28" t="s">
        <v>1337</v>
      </c>
      <c r="C1181" s="28" t="s">
        <v>978</v>
      </c>
      <c r="D1181" s="31" t="s">
        <v>1181</v>
      </c>
      <c r="E1181" s="31" t="s">
        <v>1291</v>
      </c>
      <c r="F1181" s="28" t="s">
        <v>787</v>
      </c>
      <c r="G1181" s="28" t="s">
        <v>787</v>
      </c>
      <c r="H1181" s="35" t="s">
        <v>1129</v>
      </c>
      <c r="I1181" s="28" t="str">
        <f>VLOOKUP(F1181,표준용어사전!$B:$D,3,FALSE)</f>
        <v>명V20</v>
      </c>
      <c r="J1181" s="33" t="s">
        <v>78</v>
      </c>
      <c r="K1181" s="34" t="s">
        <v>986</v>
      </c>
      <c r="L1181" s="29" t="s">
        <v>571</v>
      </c>
      <c r="M1181" s="29" t="s">
        <v>727</v>
      </c>
      <c r="N1181" s="32" t="s">
        <v>75</v>
      </c>
      <c r="O1181" s="31"/>
      <c r="P1181" s="31"/>
      <c r="Q1181" s="28" t="s">
        <v>76</v>
      </c>
      <c r="R1181" s="29"/>
      <c r="S1181" s="31"/>
      <c r="T1181" s="31"/>
      <c r="U1181" s="28" t="s">
        <v>75</v>
      </c>
      <c r="V1181" s="28" t="s">
        <v>75</v>
      </c>
      <c r="W1181" s="31"/>
    </row>
    <row r="1182" spans="1:23">
      <c r="A1182" s="46" t="s">
        <v>572</v>
      </c>
      <c r="B1182" s="28" t="s">
        <v>1337</v>
      </c>
      <c r="C1182" s="28" t="s">
        <v>978</v>
      </c>
      <c r="D1182" s="31" t="s">
        <v>1181</v>
      </c>
      <c r="E1182" s="31" t="s">
        <v>1321</v>
      </c>
      <c r="F1182" s="28" t="s">
        <v>1133</v>
      </c>
      <c r="G1182" s="28" t="s">
        <v>1133</v>
      </c>
      <c r="H1182" s="35" t="s">
        <v>1129</v>
      </c>
      <c r="I1182" s="28" t="e">
        <f>VLOOKUP(F1182,표준용어사전!$B:$D,3,FALSE)</f>
        <v>#N/A</v>
      </c>
      <c r="J1182" s="33" t="s">
        <v>78</v>
      </c>
      <c r="K1182" s="34" t="s">
        <v>1064</v>
      </c>
      <c r="L1182" s="29" t="s">
        <v>571</v>
      </c>
      <c r="M1182" s="29" t="s">
        <v>732</v>
      </c>
      <c r="N1182" s="32" t="s">
        <v>75</v>
      </c>
      <c r="O1182" s="31"/>
      <c r="P1182" s="31"/>
      <c r="Q1182" s="28" t="s">
        <v>76</v>
      </c>
      <c r="R1182" s="29"/>
      <c r="S1182" s="31"/>
      <c r="T1182" s="31"/>
      <c r="U1182" s="28" t="s">
        <v>75</v>
      </c>
      <c r="V1182" s="28" t="s">
        <v>75</v>
      </c>
      <c r="W1182" s="31"/>
    </row>
    <row r="1183" spans="1:23">
      <c r="A1183" s="46" t="s">
        <v>572</v>
      </c>
      <c r="B1183" s="28" t="s">
        <v>1337</v>
      </c>
      <c r="C1183" s="28" t="s">
        <v>978</v>
      </c>
      <c r="D1183" s="31" t="s">
        <v>1181</v>
      </c>
      <c r="E1183" s="31" t="s">
        <v>1461</v>
      </c>
      <c r="F1183" s="28" t="s">
        <v>1526</v>
      </c>
      <c r="G1183" s="28" t="s">
        <v>1462</v>
      </c>
      <c r="H1183" s="35" t="s">
        <v>1129</v>
      </c>
      <c r="I1183" s="28" t="e">
        <f>VLOOKUP(F1183,표준용어사전!$B:$D,3,FALSE)</f>
        <v>#N/A</v>
      </c>
      <c r="J1183" s="33" t="s">
        <v>78</v>
      </c>
      <c r="K1183" s="34" t="s">
        <v>1064</v>
      </c>
      <c r="L1183" s="29" t="s">
        <v>571</v>
      </c>
      <c r="M1183" s="29" t="s">
        <v>732</v>
      </c>
      <c r="N1183" s="32" t="s">
        <v>75</v>
      </c>
      <c r="O1183" s="31"/>
      <c r="P1183" s="31"/>
      <c r="Q1183" s="28" t="s">
        <v>76</v>
      </c>
      <c r="R1183" s="29"/>
      <c r="S1183" s="31"/>
      <c r="T1183" s="31"/>
      <c r="U1183" s="28" t="s">
        <v>75</v>
      </c>
      <c r="V1183" s="28" t="s">
        <v>75</v>
      </c>
      <c r="W1183" s="31"/>
    </row>
    <row r="1184" spans="1:23">
      <c r="A1184" s="46" t="s">
        <v>572</v>
      </c>
      <c r="B1184" s="28" t="s">
        <v>1337</v>
      </c>
      <c r="C1184" s="28" t="s">
        <v>978</v>
      </c>
      <c r="D1184" s="31" t="s">
        <v>1181</v>
      </c>
      <c r="E1184" s="31" t="s">
        <v>1322</v>
      </c>
      <c r="F1184" s="28" t="s">
        <v>1134</v>
      </c>
      <c r="G1184" s="28" t="s">
        <v>1134</v>
      </c>
      <c r="H1184" s="35" t="s">
        <v>1129</v>
      </c>
      <c r="I1184" s="28" t="e">
        <f>VLOOKUP(F1184,표준용어사전!$B:$D,3,FALSE)</f>
        <v>#N/A</v>
      </c>
      <c r="J1184" s="33" t="s">
        <v>78</v>
      </c>
      <c r="K1184" s="34" t="s">
        <v>982</v>
      </c>
      <c r="L1184" s="29" t="s">
        <v>571</v>
      </c>
      <c r="M1184" s="29" t="s">
        <v>983</v>
      </c>
      <c r="N1184" s="32" t="s">
        <v>75</v>
      </c>
      <c r="O1184" s="31"/>
      <c r="P1184" s="31"/>
      <c r="Q1184" s="28" t="s">
        <v>76</v>
      </c>
      <c r="R1184" s="29"/>
      <c r="S1184" s="31"/>
      <c r="T1184" s="31"/>
      <c r="U1184" s="28" t="s">
        <v>75</v>
      </c>
      <c r="V1184" s="28" t="s">
        <v>75</v>
      </c>
      <c r="W1184" s="31"/>
    </row>
    <row r="1185" spans="1:23">
      <c r="A1185" s="46" t="s">
        <v>572</v>
      </c>
      <c r="B1185" s="28" t="s">
        <v>1337</v>
      </c>
      <c r="C1185" s="28" t="s">
        <v>978</v>
      </c>
      <c r="D1185" s="31" t="s">
        <v>1181</v>
      </c>
      <c r="E1185" s="31" t="s">
        <v>1323</v>
      </c>
      <c r="F1185" s="28" t="s">
        <v>1527</v>
      </c>
      <c r="G1185" s="28" t="s">
        <v>1496</v>
      </c>
      <c r="H1185" s="35" t="s">
        <v>1129</v>
      </c>
      <c r="I1185" s="28" t="e">
        <f>VLOOKUP(F1185,표준용어사전!$B:$D,3,FALSE)</f>
        <v>#N/A</v>
      </c>
      <c r="J1185" s="33" t="s">
        <v>570</v>
      </c>
      <c r="K1185" s="34" t="s">
        <v>980</v>
      </c>
      <c r="L1185" s="29" t="s">
        <v>571</v>
      </c>
      <c r="M1185" s="29" t="s">
        <v>981</v>
      </c>
      <c r="N1185" s="32" t="s">
        <v>75</v>
      </c>
      <c r="O1185" s="31"/>
      <c r="P1185" s="31"/>
      <c r="Q1185" s="28" t="s">
        <v>76</v>
      </c>
      <c r="R1185" s="29"/>
      <c r="S1185" s="31"/>
      <c r="T1185" s="31"/>
      <c r="U1185" s="28" t="s">
        <v>75</v>
      </c>
      <c r="V1185" s="28" t="s">
        <v>75</v>
      </c>
      <c r="W1185" s="31"/>
    </row>
    <row r="1186" spans="1:23">
      <c r="A1186" s="46" t="s">
        <v>572</v>
      </c>
      <c r="B1186" s="28" t="s">
        <v>1337</v>
      </c>
      <c r="C1186" s="28" t="s">
        <v>978</v>
      </c>
      <c r="D1186" s="31" t="s">
        <v>1181</v>
      </c>
      <c r="E1186" s="31" t="s">
        <v>1324</v>
      </c>
      <c r="F1186" s="28" t="s">
        <v>1448</v>
      </c>
      <c r="G1186" s="28" t="s">
        <v>1135</v>
      </c>
      <c r="H1186" s="35" t="s">
        <v>1129</v>
      </c>
      <c r="I1186" s="28" t="e">
        <f>VLOOKUP(F1186,표준용어사전!$B:$D,3,FALSE)</f>
        <v>#N/A</v>
      </c>
      <c r="J1186" s="33" t="s">
        <v>63</v>
      </c>
      <c r="K1186" s="34" t="s">
        <v>1061</v>
      </c>
      <c r="L1186" s="29" t="s">
        <v>571</v>
      </c>
      <c r="M1186" s="29">
        <v>9999999999</v>
      </c>
      <c r="N1186" s="32" t="s">
        <v>75</v>
      </c>
      <c r="O1186" s="31"/>
      <c r="P1186" s="31"/>
      <c r="Q1186" s="28" t="s">
        <v>76</v>
      </c>
      <c r="R1186" s="29"/>
      <c r="S1186" s="31"/>
      <c r="T1186" s="31"/>
      <c r="U1186" s="28" t="s">
        <v>75</v>
      </c>
      <c r="V1186" s="28" t="s">
        <v>75</v>
      </c>
      <c r="W1186" s="31"/>
    </row>
    <row r="1187" spans="1:23">
      <c r="A1187" s="46" t="s">
        <v>572</v>
      </c>
      <c r="B1187" s="28" t="s">
        <v>1337</v>
      </c>
      <c r="C1187" s="28" t="s">
        <v>978</v>
      </c>
      <c r="D1187" s="31" t="s">
        <v>1181</v>
      </c>
      <c r="E1187" s="31" t="s">
        <v>1325</v>
      </c>
      <c r="F1187" s="28" t="s">
        <v>1136</v>
      </c>
      <c r="G1187" s="28" t="s">
        <v>1136</v>
      </c>
      <c r="H1187" s="35" t="s">
        <v>1129</v>
      </c>
      <c r="I1187" s="28" t="e">
        <f>VLOOKUP(F1187,표준용어사전!$B:$D,3,FALSE)</f>
        <v>#N/A</v>
      </c>
      <c r="J1187" s="33" t="s">
        <v>78</v>
      </c>
      <c r="K1187" s="34" t="s">
        <v>1137</v>
      </c>
      <c r="L1187" s="29" t="s">
        <v>571</v>
      </c>
      <c r="M1187" s="29" t="s">
        <v>1138</v>
      </c>
      <c r="N1187" s="32" t="s">
        <v>75</v>
      </c>
      <c r="O1187" s="31"/>
      <c r="P1187" s="31"/>
      <c r="Q1187" s="28" t="s">
        <v>76</v>
      </c>
      <c r="R1187" s="29"/>
      <c r="S1187" s="31"/>
      <c r="T1187" s="31"/>
      <c r="U1187" s="28" t="s">
        <v>75</v>
      </c>
      <c r="V1187" s="28" t="s">
        <v>75</v>
      </c>
      <c r="W1187" s="31"/>
    </row>
    <row r="1188" spans="1:23">
      <c r="A1188" s="46" t="s">
        <v>572</v>
      </c>
      <c r="B1188" s="28" t="s">
        <v>1337</v>
      </c>
      <c r="C1188" s="28" t="s">
        <v>978</v>
      </c>
      <c r="D1188" s="31" t="s">
        <v>1181</v>
      </c>
      <c r="E1188" s="31" t="s">
        <v>1326</v>
      </c>
      <c r="F1188" s="28" t="s">
        <v>1528</v>
      </c>
      <c r="G1188" s="28" t="s">
        <v>1497</v>
      </c>
      <c r="H1188" s="35" t="s">
        <v>1129</v>
      </c>
      <c r="I1188" s="28" t="e">
        <f>VLOOKUP(F1188,표준용어사전!$B:$D,3,FALSE)</f>
        <v>#N/A</v>
      </c>
      <c r="J1188" s="33" t="s">
        <v>570</v>
      </c>
      <c r="K1188" s="34" t="s">
        <v>980</v>
      </c>
      <c r="L1188" s="29" t="s">
        <v>571</v>
      </c>
      <c r="M1188" s="29" t="s">
        <v>981</v>
      </c>
      <c r="N1188" s="32" t="s">
        <v>75</v>
      </c>
      <c r="O1188" s="31"/>
      <c r="P1188" s="31"/>
      <c r="Q1188" s="28" t="s">
        <v>76</v>
      </c>
      <c r="R1188" s="29"/>
      <c r="S1188" s="31"/>
      <c r="T1188" s="31"/>
      <c r="U1188" s="28" t="s">
        <v>75</v>
      </c>
      <c r="V1188" s="28" t="s">
        <v>75</v>
      </c>
      <c r="W1188" s="31"/>
    </row>
    <row r="1189" spans="1:23">
      <c r="A1189" s="46" t="s">
        <v>572</v>
      </c>
      <c r="B1189" s="28" t="s">
        <v>1337</v>
      </c>
      <c r="C1189" s="28" t="s">
        <v>978</v>
      </c>
      <c r="D1189" s="31" t="s">
        <v>1181</v>
      </c>
      <c r="E1189" s="31" t="s">
        <v>1327</v>
      </c>
      <c r="F1189" s="28" t="s">
        <v>1464</v>
      </c>
      <c r="G1189" s="28" t="s">
        <v>1139</v>
      </c>
      <c r="H1189" s="35" t="s">
        <v>1129</v>
      </c>
      <c r="I1189" s="28" t="e">
        <f>VLOOKUP(F1189,표준용어사전!$B:$D,3,FALSE)</f>
        <v>#N/A</v>
      </c>
      <c r="J1189" s="33" t="s">
        <v>570</v>
      </c>
      <c r="K1189" s="34" t="s">
        <v>985</v>
      </c>
      <c r="L1189" s="29" t="s">
        <v>571</v>
      </c>
      <c r="M1189" s="29" t="s">
        <v>722</v>
      </c>
      <c r="N1189" s="32" t="s">
        <v>75</v>
      </c>
      <c r="O1189" s="31"/>
      <c r="P1189" s="31"/>
      <c r="Q1189" s="28" t="s">
        <v>76</v>
      </c>
      <c r="R1189" s="29"/>
      <c r="S1189" s="31"/>
      <c r="T1189" s="31"/>
      <c r="U1189" s="28" t="s">
        <v>75</v>
      </c>
      <c r="V1189" s="28" t="s">
        <v>75</v>
      </c>
      <c r="W1189" s="31"/>
    </row>
    <row r="1190" spans="1:23">
      <c r="A1190" s="46" t="s">
        <v>572</v>
      </c>
      <c r="B1190" s="28" t="s">
        <v>1337</v>
      </c>
      <c r="C1190" s="28" t="s">
        <v>978</v>
      </c>
      <c r="D1190" s="31" t="s">
        <v>1181</v>
      </c>
      <c r="E1190" s="31" t="s">
        <v>1328</v>
      </c>
      <c r="F1190" s="28" t="s">
        <v>1465</v>
      </c>
      <c r="G1190" s="28" t="s">
        <v>1140</v>
      </c>
      <c r="H1190" s="35" t="s">
        <v>1129</v>
      </c>
      <c r="I1190" s="28" t="e">
        <f>VLOOKUP(F1190,표준용어사전!$B:$D,3,FALSE)</f>
        <v>#N/A</v>
      </c>
      <c r="J1190" s="33" t="s">
        <v>63</v>
      </c>
      <c r="K1190" s="34" t="s">
        <v>1061</v>
      </c>
      <c r="L1190" s="29" t="s">
        <v>571</v>
      </c>
      <c r="M1190" s="29">
        <v>9999999999</v>
      </c>
      <c r="N1190" s="32" t="s">
        <v>75</v>
      </c>
      <c r="O1190" s="31"/>
      <c r="P1190" s="31"/>
      <c r="Q1190" s="28" t="s">
        <v>76</v>
      </c>
      <c r="R1190" s="29"/>
      <c r="S1190" s="31"/>
      <c r="T1190" s="31"/>
      <c r="U1190" s="28" t="s">
        <v>75</v>
      </c>
      <c r="V1190" s="28" t="s">
        <v>75</v>
      </c>
      <c r="W1190" s="31"/>
    </row>
    <row r="1191" spans="1:23">
      <c r="A1191" s="46" t="s">
        <v>572</v>
      </c>
      <c r="B1191" s="28" t="s">
        <v>1337</v>
      </c>
      <c r="C1191" s="28" t="s">
        <v>978</v>
      </c>
      <c r="D1191" s="31" t="s">
        <v>1181</v>
      </c>
      <c r="E1191" s="31" t="s">
        <v>1268</v>
      </c>
      <c r="F1191" s="28" t="s">
        <v>1534</v>
      </c>
      <c r="G1191" s="28" t="s">
        <v>1489</v>
      </c>
      <c r="H1191" s="35" t="s">
        <v>1129</v>
      </c>
      <c r="I1191" s="28" t="e">
        <f>VLOOKUP(F1191,표준용어사전!$B:$D,3,FALSE)</f>
        <v>#N/A</v>
      </c>
      <c r="J1191" s="33" t="s">
        <v>570</v>
      </c>
      <c r="K1191" s="34" t="s">
        <v>980</v>
      </c>
      <c r="L1191" s="29" t="s">
        <v>571</v>
      </c>
      <c r="M1191" s="29" t="s">
        <v>981</v>
      </c>
      <c r="N1191" s="32" t="s">
        <v>75</v>
      </c>
      <c r="O1191" s="31"/>
      <c r="P1191" s="31"/>
      <c r="Q1191" s="28" t="s">
        <v>76</v>
      </c>
      <c r="R1191" s="29"/>
      <c r="S1191" s="31"/>
      <c r="T1191" s="31"/>
      <c r="U1191" s="28" t="s">
        <v>75</v>
      </c>
      <c r="V1191" s="28" t="s">
        <v>75</v>
      </c>
      <c r="W1191" s="31"/>
    </row>
    <row r="1192" spans="1:23">
      <c r="A1192" s="46" t="s">
        <v>572</v>
      </c>
      <c r="B1192" s="28" t="s">
        <v>1337</v>
      </c>
      <c r="C1192" s="28" t="s">
        <v>978</v>
      </c>
      <c r="D1192" s="31" t="s">
        <v>1182</v>
      </c>
      <c r="E1192" s="31" t="s">
        <v>1317</v>
      </c>
      <c r="F1192" s="28" t="s">
        <v>1128</v>
      </c>
      <c r="G1192" s="28" t="s">
        <v>1128</v>
      </c>
      <c r="H1192" s="35" t="s">
        <v>1141</v>
      </c>
      <c r="I1192" s="28" t="e">
        <f>VLOOKUP(F1192,표준용어사전!$B:$D,3,FALSE)</f>
        <v>#N/A</v>
      </c>
      <c r="J1192" s="33" t="s">
        <v>78</v>
      </c>
      <c r="K1192" s="34" t="s">
        <v>986</v>
      </c>
      <c r="L1192" s="29" t="s">
        <v>571</v>
      </c>
      <c r="M1192" s="29" t="s">
        <v>727</v>
      </c>
      <c r="N1192" s="32" t="s">
        <v>973</v>
      </c>
      <c r="O1192" s="31" t="s">
        <v>641</v>
      </c>
      <c r="P1192" s="31"/>
      <c r="Q1192" s="28" t="s">
        <v>76</v>
      </c>
      <c r="R1192" s="29"/>
      <c r="S1192" s="31"/>
      <c r="T1192" s="31"/>
      <c r="U1192" s="28" t="s">
        <v>75</v>
      </c>
      <c r="V1192" s="28" t="s">
        <v>75</v>
      </c>
      <c r="W1192" s="31"/>
    </row>
    <row r="1193" spans="1:23">
      <c r="A1193" s="46" t="s">
        <v>572</v>
      </c>
      <c r="B1193" s="28" t="s">
        <v>1337</v>
      </c>
      <c r="C1193" s="28" t="s">
        <v>978</v>
      </c>
      <c r="D1193" s="31" t="s">
        <v>1182</v>
      </c>
      <c r="E1193" s="31" t="s">
        <v>1290</v>
      </c>
      <c r="F1193" s="28" t="s">
        <v>1098</v>
      </c>
      <c r="G1193" s="28" t="s">
        <v>1098</v>
      </c>
      <c r="H1193" s="35" t="s">
        <v>1141</v>
      </c>
      <c r="I1193" s="28" t="e">
        <f>VLOOKUP(F1193,표준용어사전!$B:$D,3,FALSE)</f>
        <v>#N/A</v>
      </c>
      <c r="J1193" s="33" t="s">
        <v>16</v>
      </c>
      <c r="K1193" s="34" t="s">
        <v>927</v>
      </c>
      <c r="L1193" s="29" t="s">
        <v>571</v>
      </c>
      <c r="M1193" s="29" t="s">
        <v>726</v>
      </c>
      <c r="N1193" s="32" t="s">
        <v>75</v>
      </c>
      <c r="O1193" s="31"/>
      <c r="P1193" s="31"/>
      <c r="Q1193" s="28" t="s">
        <v>76</v>
      </c>
      <c r="R1193" s="29"/>
      <c r="S1193" s="31"/>
      <c r="T1193" s="28" t="s">
        <v>574</v>
      </c>
      <c r="U1193" s="28" t="s">
        <v>75</v>
      </c>
      <c r="V1193" s="28" t="s">
        <v>75</v>
      </c>
      <c r="W1193" s="31"/>
    </row>
    <row r="1194" spans="1:23">
      <c r="A1194" s="46" t="s">
        <v>572</v>
      </c>
      <c r="B1194" s="28" t="s">
        <v>1337</v>
      </c>
      <c r="C1194" s="28" t="s">
        <v>978</v>
      </c>
      <c r="D1194" s="31" t="s">
        <v>1182</v>
      </c>
      <c r="E1194" s="31" t="s">
        <v>1320</v>
      </c>
      <c r="F1194" s="28" t="s">
        <v>1132</v>
      </c>
      <c r="G1194" s="28" t="s">
        <v>1132</v>
      </c>
      <c r="H1194" s="35" t="s">
        <v>1141</v>
      </c>
      <c r="I1194" s="28" t="e">
        <f>VLOOKUP(F1194,표준용어사전!$B:$D,3,FALSE)</f>
        <v>#N/A</v>
      </c>
      <c r="J1194" s="33" t="s">
        <v>16</v>
      </c>
      <c r="K1194" s="34" t="s">
        <v>927</v>
      </c>
      <c r="L1194" s="29" t="s">
        <v>571</v>
      </c>
      <c r="M1194" s="29" t="s">
        <v>726</v>
      </c>
      <c r="N1194" s="32" t="s">
        <v>75</v>
      </c>
      <c r="O1194" s="31"/>
      <c r="P1194" s="31"/>
      <c r="Q1194" s="28" t="s">
        <v>76</v>
      </c>
      <c r="R1194" s="29"/>
      <c r="S1194" s="31"/>
      <c r="T1194" s="28" t="s">
        <v>574</v>
      </c>
      <c r="U1194" s="28" t="s">
        <v>75</v>
      </c>
      <c r="V1194" s="28" t="s">
        <v>75</v>
      </c>
      <c r="W1194" s="31"/>
    </row>
    <row r="1195" spans="1:23">
      <c r="A1195" s="46" t="s">
        <v>572</v>
      </c>
      <c r="B1195" s="28" t="s">
        <v>1337</v>
      </c>
      <c r="C1195" s="28" t="s">
        <v>978</v>
      </c>
      <c r="D1195" s="31" t="s">
        <v>1182</v>
      </c>
      <c r="E1195" s="31" t="s">
        <v>1099</v>
      </c>
      <c r="F1195" s="28" t="s">
        <v>1099</v>
      </c>
      <c r="G1195" s="28" t="s">
        <v>1099</v>
      </c>
      <c r="H1195" s="35" t="s">
        <v>1141</v>
      </c>
      <c r="I1195" s="28" t="e">
        <f>VLOOKUP(F1195,표준용어사전!$B:$D,3,FALSE)</f>
        <v>#N/A</v>
      </c>
      <c r="J1195" s="33" t="s">
        <v>78</v>
      </c>
      <c r="K1195" s="34" t="s">
        <v>1026</v>
      </c>
      <c r="L1195" s="29" t="s">
        <v>571</v>
      </c>
      <c r="M1195" s="29" t="s">
        <v>729</v>
      </c>
      <c r="N1195" s="32" t="s">
        <v>75</v>
      </c>
      <c r="O1195" s="31"/>
      <c r="P1195" s="31"/>
      <c r="Q1195" s="28" t="s">
        <v>76</v>
      </c>
      <c r="R1195" s="29"/>
      <c r="S1195" s="31"/>
      <c r="T1195" s="31"/>
      <c r="U1195" s="28" t="s">
        <v>75</v>
      </c>
      <c r="V1195" s="28" t="s">
        <v>75</v>
      </c>
      <c r="W1195" s="31"/>
    </row>
    <row r="1196" spans="1:23">
      <c r="A1196" s="46" t="s">
        <v>572</v>
      </c>
      <c r="B1196" s="28" t="s">
        <v>1337</v>
      </c>
      <c r="C1196" s="28" t="s">
        <v>978</v>
      </c>
      <c r="D1196" s="31" t="s">
        <v>1182</v>
      </c>
      <c r="E1196" s="31" t="s">
        <v>1291</v>
      </c>
      <c r="F1196" s="28" t="s">
        <v>787</v>
      </c>
      <c r="G1196" s="28" t="s">
        <v>787</v>
      </c>
      <c r="H1196" s="35" t="s">
        <v>1141</v>
      </c>
      <c r="I1196" s="28" t="str">
        <f>VLOOKUP(F1196,표준용어사전!$B:$D,3,FALSE)</f>
        <v>명V20</v>
      </c>
      <c r="J1196" s="33" t="s">
        <v>78</v>
      </c>
      <c r="K1196" s="34" t="s">
        <v>986</v>
      </c>
      <c r="L1196" s="29" t="s">
        <v>571</v>
      </c>
      <c r="M1196" s="29" t="s">
        <v>727</v>
      </c>
      <c r="N1196" s="32" t="s">
        <v>75</v>
      </c>
      <c r="O1196" s="31"/>
      <c r="P1196" s="31"/>
      <c r="Q1196" s="28" t="s">
        <v>76</v>
      </c>
      <c r="R1196" s="29"/>
      <c r="S1196" s="31"/>
      <c r="T1196" s="31"/>
      <c r="U1196" s="28" t="s">
        <v>75</v>
      </c>
      <c r="V1196" s="28" t="s">
        <v>75</v>
      </c>
      <c r="W1196" s="31"/>
    </row>
    <row r="1197" spans="1:23">
      <c r="A1197" s="46" t="s">
        <v>572</v>
      </c>
      <c r="B1197" s="28" t="s">
        <v>1337</v>
      </c>
      <c r="C1197" s="28" t="s">
        <v>978</v>
      </c>
      <c r="D1197" s="31" t="s">
        <v>1182</v>
      </c>
      <c r="E1197" s="31" t="s">
        <v>1292</v>
      </c>
      <c r="F1197" s="38" t="s">
        <v>1625</v>
      </c>
      <c r="G1197" s="38" t="s">
        <v>1625</v>
      </c>
      <c r="H1197" s="37" t="s">
        <v>1141</v>
      </c>
      <c r="I1197" s="28" t="e">
        <f>VLOOKUP(F1197,표준용어사전!$B:$D,3,FALSE)</f>
        <v>#N/A</v>
      </c>
      <c r="J1197" s="33" t="s">
        <v>78</v>
      </c>
      <c r="K1197" s="34" t="s">
        <v>1073</v>
      </c>
      <c r="L1197" s="29" t="s">
        <v>571</v>
      </c>
      <c r="M1197" s="29" t="s">
        <v>788</v>
      </c>
      <c r="N1197" s="32" t="s">
        <v>75</v>
      </c>
      <c r="O1197" s="31"/>
      <c r="P1197" s="31"/>
      <c r="Q1197" s="28" t="s">
        <v>76</v>
      </c>
      <c r="R1197" s="29"/>
      <c r="S1197" s="31"/>
      <c r="T1197" s="31"/>
      <c r="U1197" s="28" t="s">
        <v>75</v>
      </c>
      <c r="V1197" s="28" t="s">
        <v>75</v>
      </c>
      <c r="W1197" s="31"/>
    </row>
    <row r="1198" spans="1:23">
      <c r="A1198" s="46" t="s">
        <v>572</v>
      </c>
      <c r="B1198" s="28" t="s">
        <v>1337</v>
      </c>
      <c r="C1198" s="28" t="s">
        <v>978</v>
      </c>
      <c r="D1198" s="31" t="s">
        <v>1806</v>
      </c>
      <c r="E1198" s="31" t="s">
        <v>1221</v>
      </c>
      <c r="F1198" s="38" t="s">
        <v>1707</v>
      </c>
      <c r="G1198" s="38" t="s">
        <v>1040</v>
      </c>
      <c r="H1198" s="39" t="s">
        <v>1804</v>
      </c>
      <c r="I1198" s="28" t="str">
        <f>VLOOKUP(F1198,표준용어사전!$B:$D,3,FALSE)</f>
        <v>명V20</v>
      </c>
      <c r="J1198" s="33" t="s">
        <v>78</v>
      </c>
      <c r="K1198" s="34" t="s">
        <v>986</v>
      </c>
      <c r="L1198" s="29" t="s">
        <v>571</v>
      </c>
      <c r="M1198" s="29" t="s">
        <v>727</v>
      </c>
      <c r="N1198" s="32" t="s">
        <v>75</v>
      </c>
      <c r="O1198" s="31"/>
      <c r="P1198" s="31"/>
      <c r="Q1198" s="28" t="s">
        <v>76</v>
      </c>
      <c r="R1198" s="29"/>
      <c r="S1198" s="31"/>
      <c r="T1198" s="31"/>
      <c r="U1198" s="28" t="s">
        <v>75</v>
      </c>
      <c r="V1198" s="28" t="s">
        <v>75</v>
      </c>
      <c r="W1198" s="31"/>
    </row>
    <row r="1199" spans="1:23">
      <c r="A1199" s="46" t="s">
        <v>572</v>
      </c>
      <c r="B1199" s="28" t="s">
        <v>1337</v>
      </c>
      <c r="C1199" s="28" t="s">
        <v>978</v>
      </c>
      <c r="D1199" s="31" t="s">
        <v>1806</v>
      </c>
      <c r="E1199" s="31" t="s">
        <v>1329</v>
      </c>
      <c r="F1199" s="38" t="s">
        <v>1142</v>
      </c>
      <c r="G1199" s="38" t="s">
        <v>1142</v>
      </c>
      <c r="H1199" s="39" t="s">
        <v>1804</v>
      </c>
      <c r="I1199" s="28" t="str">
        <f>VLOOKUP(F1199,표준용어사전!$B:$D,3,FALSE)</f>
        <v>명V50</v>
      </c>
      <c r="J1199" s="33" t="s">
        <v>78</v>
      </c>
      <c r="K1199" s="41">
        <v>100</v>
      </c>
      <c r="L1199" s="29" t="s">
        <v>571</v>
      </c>
      <c r="M1199" s="29" t="s">
        <v>729</v>
      </c>
      <c r="N1199" s="32" t="s">
        <v>75</v>
      </c>
      <c r="O1199" s="31"/>
      <c r="P1199" s="31"/>
      <c r="Q1199" s="28" t="s">
        <v>76</v>
      </c>
      <c r="R1199" s="29"/>
      <c r="S1199" s="31"/>
      <c r="T1199" s="31"/>
      <c r="U1199" s="28" t="s">
        <v>75</v>
      </c>
      <c r="V1199" s="28" t="s">
        <v>75</v>
      </c>
      <c r="W1199" s="31"/>
    </row>
    <row r="1200" spans="1:23">
      <c r="A1200" s="46" t="s">
        <v>572</v>
      </c>
      <c r="B1200" s="28" t="s">
        <v>1337</v>
      </c>
      <c r="C1200" s="28" t="s">
        <v>978</v>
      </c>
      <c r="D1200" s="31" t="s">
        <v>1806</v>
      </c>
      <c r="E1200" s="31" t="s">
        <v>1783</v>
      </c>
      <c r="F1200" s="38" t="s">
        <v>1795</v>
      </c>
      <c r="G1200" s="38" t="s">
        <v>1143</v>
      </c>
      <c r="H1200" s="39" t="s">
        <v>1804</v>
      </c>
      <c r="I1200" s="28" t="str">
        <f>VLOOKUP(F1200,표준용어사전!$B:$D,3,FALSE)</f>
        <v>내용V1000</v>
      </c>
      <c r="J1200" s="33" t="s">
        <v>78</v>
      </c>
      <c r="K1200" s="34">
        <v>254</v>
      </c>
      <c r="L1200" s="29" t="s">
        <v>571</v>
      </c>
      <c r="M1200" s="29" t="s">
        <v>928</v>
      </c>
      <c r="N1200" s="32" t="s">
        <v>75</v>
      </c>
      <c r="O1200" s="31"/>
      <c r="P1200" s="31"/>
      <c r="Q1200" s="28" t="s">
        <v>76</v>
      </c>
      <c r="R1200" s="29"/>
      <c r="S1200" s="31"/>
      <c r="T1200" s="31"/>
      <c r="U1200" s="28" t="s">
        <v>75</v>
      </c>
      <c r="V1200" s="28" t="s">
        <v>75</v>
      </c>
      <c r="W1200" s="31"/>
    </row>
    <row r="1201" spans="1:23">
      <c r="A1201" s="46" t="s">
        <v>572</v>
      </c>
      <c r="B1201" s="28" t="s">
        <v>1337</v>
      </c>
      <c r="C1201" s="28" t="s">
        <v>978</v>
      </c>
      <c r="D1201" s="31" t="s">
        <v>1806</v>
      </c>
      <c r="E1201" s="31" t="s">
        <v>1235</v>
      </c>
      <c r="F1201" s="38" t="s">
        <v>1034</v>
      </c>
      <c r="G1201" s="38" t="s">
        <v>1144</v>
      </c>
      <c r="H1201" s="39" t="s">
        <v>1804</v>
      </c>
      <c r="I1201" s="28" t="str">
        <f>VLOOKUP(F1201,표준용어사전!$B:$D,3,FALSE)</f>
        <v>명V40</v>
      </c>
      <c r="J1201" s="33" t="s">
        <v>78</v>
      </c>
      <c r="K1201" s="34">
        <v>50</v>
      </c>
      <c r="L1201" s="29" t="s">
        <v>571</v>
      </c>
      <c r="M1201" s="29" t="s">
        <v>720</v>
      </c>
      <c r="N1201" s="32" t="s">
        <v>75</v>
      </c>
      <c r="O1201" s="31"/>
      <c r="P1201" s="31"/>
      <c r="Q1201" s="28" t="s">
        <v>76</v>
      </c>
      <c r="R1201" s="29"/>
      <c r="S1201" s="31"/>
      <c r="T1201" s="31"/>
      <c r="U1201" s="28" t="s">
        <v>75</v>
      </c>
      <c r="V1201" s="28" t="s">
        <v>75</v>
      </c>
      <c r="W1201" s="31"/>
    </row>
    <row r="1202" spans="1:23">
      <c r="A1202" s="46" t="s">
        <v>572</v>
      </c>
      <c r="B1202" s="28" t="s">
        <v>1337</v>
      </c>
      <c r="C1202" s="28" t="s">
        <v>978</v>
      </c>
      <c r="D1202" s="31" t="s">
        <v>1806</v>
      </c>
      <c r="E1202" s="31" t="s">
        <v>1784</v>
      </c>
      <c r="F1202" s="38" t="s">
        <v>1796</v>
      </c>
      <c r="G1202" s="38" t="s">
        <v>1145</v>
      </c>
      <c r="H1202" s="39" t="s">
        <v>1804</v>
      </c>
      <c r="I1202" s="28" t="str">
        <f>VLOOKUP(F1202,표준용어사전!$B:$D,3,FALSE)</f>
        <v>내용V1000</v>
      </c>
      <c r="J1202" s="33" t="s">
        <v>78</v>
      </c>
      <c r="K1202" s="34">
        <v>254</v>
      </c>
      <c r="L1202" s="29" t="s">
        <v>571</v>
      </c>
      <c r="M1202" s="29" t="s">
        <v>928</v>
      </c>
      <c r="N1202" s="32" t="s">
        <v>75</v>
      </c>
      <c r="O1202" s="31"/>
      <c r="P1202" s="31"/>
      <c r="Q1202" s="28" t="s">
        <v>76</v>
      </c>
      <c r="R1202" s="29"/>
      <c r="S1202" s="31"/>
      <c r="T1202" s="31"/>
      <c r="U1202" s="28" t="s">
        <v>75</v>
      </c>
      <c r="V1202" s="28" t="s">
        <v>75</v>
      </c>
      <c r="W1202" s="31"/>
    </row>
    <row r="1203" spans="1:23">
      <c r="A1203" s="46" t="s">
        <v>572</v>
      </c>
      <c r="B1203" s="28" t="s">
        <v>1337</v>
      </c>
      <c r="C1203" s="28" t="s">
        <v>978</v>
      </c>
      <c r="D1203" s="31" t="s">
        <v>1806</v>
      </c>
      <c r="E1203" s="31" t="s">
        <v>1218</v>
      </c>
      <c r="F1203" s="38" t="s">
        <v>1039</v>
      </c>
      <c r="G1203" s="38" t="s">
        <v>1039</v>
      </c>
      <c r="H1203" s="39" t="s">
        <v>1804</v>
      </c>
      <c r="I1203" s="28" t="str">
        <f>VLOOKUP(F1203,표준용어사전!$B:$D,3,FALSE)</f>
        <v>명V20</v>
      </c>
      <c r="J1203" s="33" t="s">
        <v>570</v>
      </c>
      <c r="K1203" s="34">
        <v>20</v>
      </c>
      <c r="L1203" s="29" t="s">
        <v>571</v>
      </c>
      <c r="M1203" s="29" t="s">
        <v>961</v>
      </c>
      <c r="N1203" s="32" t="s">
        <v>75</v>
      </c>
      <c r="O1203" s="31"/>
      <c r="P1203" s="31"/>
      <c r="Q1203" s="28" t="s">
        <v>76</v>
      </c>
      <c r="R1203" s="29"/>
      <c r="S1203" s="31"/>
      <c r="T1203" s="31"/>
      <c r="U1203" s="28" t="s">
        <v>75</v>
      </c>
      <c r="V1203" s="28" t="s">
        <v>75</v>
      </c>
      <c r="W1203" s="31"/>
    </row>
    <row r="1204" spans="1:23">
      <c r="A1204" s="46" t="s">
        <v>572</v>
      </c>
      <c r="B1204" s="28" t="s">
        <v>1337</v>
      </c>
      <c r="C1204" s="28" t="s">
        <v>978</v>
      </c>
      <c r="D1204" s="31" t="s">
        <v>1806</v>
      </c>
      <c r="E1204" s="31" t="s">
        <v>1785</v>
      </c>
      <c r="F1204" s="38" t="s">
        <v>1797</v>
      </c>
      <c r="G1204" s="38" t="s">
        <v>1146</v>
      </c>
      <c r="H1204" s="39" t="s">
        <v>1804</v>
      </c>
      <c r="I1204" s="28" t="str">
        <f>VLOOKUP(F1204,표준용어사전!$B:$D,3,FALSE)</f>
        <v>코드C3</v>
      </c>
      <c r="J1204" s="33" t="s">
        <v>78</v>
      </c>
      <c r="K1204" s="34">
        <v>3</v>
      </c>
      <c r="L1204" s="29" t="s">
        <v>571</v>
      </c>
      <c r="M1204" s="29" t="s">
        <v>1805</v>
      </c>
      <c r="N1204" s="32" t="s">
        <v>75</v>
      </c>
      <c r="O1204" s="31"/>
      <c r="P1204" s="31"/>
      <c r="Q1204" s="28" t="s">
        <v>76</v>
      </c>
      <c r="R1204" s="29"/>
      <c r="S1204" s="31"/>
      <c r="T1204" s="31"/>
      <c r="U1204" s="28" t="s">
        <v>75</v>
      </c>
      <c r="V1204" s="28" t="s">
        <v>75</v>
      </c>
      <c r="W1204" s="31"/>
    </row>
    <row r="1205" spans="1:23">
      <c r="A1205" s="46" t="s">
        <v>572</v>
      </c>
      <c r="B1205" s="28" t="s">
        <v>1337</v>
      </c>
      <c r="C1205" s="28" t="s">
        <v>978</v>
      </c>
      <c r="D1205" s="31" t="s">
        <v>1806</v>
      </c>
      <c r="E1205" s="31" t="s">
        <v>1786</v>
      </c>
      <c r="F1205" s="38" t="s">
        <v>1798</v>
      </c>
      <c r="G1205" s="38" t="s">
        <v>1485</v>
      </c>
      <c r="H1205" s="39" t="s">
        <v>1804</v>
      </c>
      <c r="I1205" s="28" t="str">
        <f>VLOOKUP(F1205,표준용어사전!$B:$D,3,FALSE)</f>
        <v>코드V15</v>
      </c>
      <c r="J1205" s="33" t="s">
        <v>78</v>
      </c>
      <c r="K1205" s="34">
        <v>15</v>
      </c>
      <c r="L1205" s="29" t="s">
        <v>571</v>
      </c>
      <c r="M1205" s="29" t="s">
        <v>769</v>
      </c>
      <c r="N1205" s="32" t="s">
        <v>75</v>
      </c>
      <c r="O1205" s="31"/>
      <c r="P1205" s="31"/>
      <c r="Q1205" s="28" t="s">
        <v>76</v>
      </c>
      <c r="R1205" s="29"/>
      <c r="S1205" s="31"/>
      <c r="T1205" s="31"/>
      <c r="U1205" s="28" t="s">
        <v>75</v>
      </c>
      <c r="V1205" s="28" t="s">
        <v>75</v>
      </c>
      <c r="W1205" s="31"/>
    </row>
    <row r="1206" spans="1:23">
      <c r="A1206" s="46" t="s">
        <v>572</v>
      </c>
      <c r="B1206" s="28" t="s">
        <v>1337</v>
      </c>
      <c r="C1206" s="28" t="s">
        <v>978</v>
      </c>
      <c r="D1206" s="31" t="s">
        <v>1806</v>
      </c>
      <c r="E1206" s="31" t="s">
        <v>1787</v>
      </c>
      <c r="F1206" s="38" t="s">
        <v>1013</v>
      </c>
      <c r="G1206" s="38" t="s">
        <v>1014</v>
      </c>
      <c r="H1206" s="39" t="s">
        <v>1804</v>
      </c>
      <c r="I1206" s="28" t="str">
        <f>VLOOKUP(F1206,표준용어사전!$B:$D,3,FALSE)</f>
        <v>명V20</v>
      </c>
      <c r="J1206" s="33" t="s">
        <v>78</v>
      </c>
      <c r="K1206" s="34">
        <v>20</v>
      </c>
      <c r="L1206" s="29" t="s">
        <v>571</v>
      </c>
      <c r="M1206" s="29" t="s">
        <v>727</v>
      </c>
      <c r="N1206" s="32" t="s">
        <v>75</v>
      </c>
      <c r="O1206" s="31"/>
      <c r="P1206" s="31"/>
      <c r="Q1206" s="28" t="s">
        <v>76</v>
      </c>
      <c r="R1206" s="29"/>
      <c r="S1206" s="31"/>
      <c r="T1206" s="31"/>
      <c r="U1206" s="28" t="s">
        <v>75</v>
      </c>
      <c r="V1206" s="28" t="s">
        <v>75</v>
      </c>
      <c r="W1206" s="31"/>
    </row>
    <row r="1207" spans="1:23">
      <c r="A1207" s="46" t="s">
        <v>572</v>
      </c>
      <c r="B1207" s="28" t="s">
        <v>1337</v>
      </c>
      <c r="C1207" s="28" t="s">
        <v>978</v>
      </c>
      <c r="D1207" s="31" t="s">
        <v>1806</v>
      </c>
      <c r="E1207" s="31" t="s">
        <v>1788</v>
      </c>
      <c r="F1207" s="38" t="s">
        <v>1799</v>
      </c>
      <c r="G1207" s="38" t="s">
        <v>1147</v>
      </c>
      <c r="H1207" s="39" t="s">
        <v>1804</v>
      </c>
      <c r="I1207" s="28" t="str">
        <f>VLOOKUP(F1207,표준용어사전!$B:$D,3,FALSE)</f>
        <v>내용V1000</v>
      </c>
      <c r="J1207" s="33" t="s">
        <v>78</v>
      </c>
      <c r="K1207" s="34">
        <v>254</v>
      </c>
      <c r="L1207" s="29" t="s">
        <v>571</v>
      </c>
      <c r="M1207" s="29" t="s">
        <v>928</v>
      </c>
      <c r="N1207" s="32" t="s">
        <v>75</v>
      </c>
      <c r="O1207" s="31"/>
      <c r="P1207" s="31"/>
      <c r="Q1207" s="28" t="s">
        <v>76</v>
      </c>
      <c r="R1207" s="29"/>
      <c r="S1207" s="31"/>
      <c r="T1207" s="31"/>
      <c r="U1207" s="28" t="s">
        <v>75</v>
      </c>
      <c r="V1207" s="28" t="s">
        <v>75</v>
      </c>
      <c r="W1207" s="31"/>
    </row>
    <row r="1208" spans="1:23">
      <c r="A1208" s="46" t="s">
        <v>572</v>
      </c>
      <c r="B1208" s="28" t="s">
        <v>1337</v>
      </c>
      <c r="C1208" s="28" t="s">
        <v>978</v>
      </c>
      <c r="D1208" s="31" t="s">
        <v>1806</v>
      </c>
      <c r="E1208" s="31" t="s">
        <v>1789</v>
      </c>
      <c r="F1208" s="38" t="s">
        <v>1800</v>
      </c>
      <c r="G1208" s="38" t="s">
        <v>1042</v>
      </c>
      <c r="H1208" s="39" t="s">
        <v>1804</v>
      </c>
      <c r="I1208" s="28" t="str">
        <f>VLOOKUP(F1208,표준용어사전!$B:$D,3,FALSE)</f>
        <v>수N10</v>
      </c>
      <c r="J1208" s="33" t="s">
        <v>63</v>
      </c>
      <c r="K1208" s="34">
        <v>10</v>
      </c>
      <c r="L1208" s="29" t="s">
        <v>571</v>
      </c>
      <c r="M1208" s="29">
        <v>9999999999</v>
      </c>
      <c r="N1208" s="32" t="s">
        <v>75</v>
      </c>
      <c r="O1208" s="31"/>
      <c r="P1208" s="31"/>
      <c r="Q1208" s="28" t="s">
        <v>76</v>
      </c>
      <c r="R1208" s="29"/>
      <c r="S1208" s="31"/>
      <c r="T1208" s="31"/>
      <c r="U1208" s="28" t="s">
        <v>75</v>
      </c>
      <c r="V1208" s="28" t="s">
        <v>75</v>
      </c>
      <c r="W1208" s="31"/>
    </row>
    <row r="1209" spans="1:23">
      <c r="A1209" s="46" t="s">
        <v>572</v>
      </c>
      <c r="B1209" s="28" t="s">
        <v>1337</v>
      </c>
      <c r="C1209" s="28" t="s">
        <v>978</v>
      </c>
      <c r="D1209" s="31" t="s">
        <v>1806</v>
      </c>
      <c r="E1209" s="31" t="s">
        <v>1790</v>
      </c>
      <c r="F1209" s="38" t="s">
        <v>1801</v>
      </c>
      <c r="G1209" s="38" t="s">
        <v>1148</v>
      </c>
      <c r="H1209" s="39" t="s">
        <v>1804</v>
      </c>
      <c r="I1209" s="28" t="str">
        <f>VLOOKUP(F1209,표준용어사전!$B:$D,3,FALSE)</f>
        <v>명V50</v>
      </c>
      <c r="J1209" s="33" t="s">
        <v>78</v>
      </c>
      <c r="K1209" s="34">
        <v>100</v>
      </c>
      <c r="L1209" s="29" t="s">
        <v>571</v>
      </c>
      <c r="M1209" s="29" t="s">
        <v>729</v>
      </c>
      <c r="N1209" s="32" t="s">
        <v>75</v>
      </c>
      <c r="O1209" s="31"/>
      <c r="P1209" s="31"/>
      <c r="Q1209" s="28" t="s">
        <v>76</v>
      </c>
      <c r="R1209" s="29"/>
      <c r="S1209" s="31"/>
      <c r="T1209" s="31"/>
      <c r="U1209" s="28" t="s">
        <v>75</v>
      </c>
      <c r="V1209" s="28" t="s">
        <v>75</v>
      </c>
      <c r="W1209" s="31"/>
    </row>
    <row r="1210" spans="1:23">
      <c r="A1210" s="46" t="s">
        <v>572</v>
      </c>
      <c r="B1210" s="28" t="s">
        <v>1337</v>
      </c>
      <c r="C1210" s="28" t="s">
        <v>978</v>
      </c>
      <c r="D1210" s="31" t="s">
        <v>1806</v>
      </c>
      <c r="E1210" s="31" t="s">
        <v>1791</v>
      </c>
      <c r="F1210" s="38" t="s">
        <v>1149</v>
      </c>
      <c r="G1210" s="38" t="s">
        <v>1149</v>
      </c>
      <c r="H1210" s="39" t="s">
        <v>1804</v>
      </c>
      <c r="I1210" s="28" t="str">
        <f>VLOOKUP(F1210,표준용어사전!$B:$D,3,FALSE)</f>
        <v>명V20</v>
      </c>
      <c r="J1210" s="33" t="s">
        <v>78</v>
      </c>
      <c r="K1210" s="34">
        <v>20</v>
      </c>
      <c r="L1210" s="29" t="s">
        <v>571</v>
      </c>
      <c r="M1210" s="29" t="s">
        <v>727</v>
      </c>
      <c r="N1210" s="32" t="s">
        <v>75</v>
      </c>
      <c r="O1210" s="31"/>
      <c r="P1210" s="31"/>
      <c r="Q1210" s="28" t="s">
        <v>76</v>
      </c>
      <c r="R1210" s="29"/>
      <c r="S1210" s="31"/>
      <c r="T1210" s="31"/>
      <c r="U1210" s="28" t="s">
        <v>75</v>
      </c>
      <c r="V1210" s="28" t="s">
        <v>75</v>
      </c>
      <c r="W1210" s="31"/>
    </row>
    <row r="1211" spans="1:23">
      <c r="A1211" s="46" t="s">
        <v>572</v>
      </c>
      <c r="B1211" s="28" t="s">
        <v>1337</v>
      </c>
      <c r="C1211" s="28" t="s">
        <v>978</v>
      </c>
      <c r="D1211" s="31" t="s">
        <v>1806</v>
      </c>
      <c r="E1211" s="31" t="s">
        <v>1792</v>
      </c>
      <c r="F1211" s="38" t="s">
        <v>1802</v>
      </c>
      <c r="G1211" s="38" t="s">
        <v>1048</v>
      </c>
      <c r="H1211" s="39" t="s">
        <v>1804</v>
      </c>
      <c r="I1211" s="28" t="str">
        <f>VLOOKUP(F1211,표준용어사전!$B:$D,3,FALSE)</f>
        <v>연월일시분초TS</v>
      </c>
      <c r="J1211" s="33" t="s">
        <v>719</v>
      </c>
      <c r="K1211" s="27" t="s">
        <v>927</v>
      </c>
      <c r="L1211" s="29" t="s">
        <v>571</v>
      </c>
      <c r="M1211" s="29" t="s">
        <v>726</v>
      </c>
      <c r="N1211" s="32" t="s">
        <v>75</v>
      </c>
      <c r="O1211" s="31"/>
      <c r="P1211" s="31"/>
      <c r="Q1211" s="28" t="s">
        <v>76</v>
      </c>
      <c r="R1211" s="29"/>
      <c r="S1211" s="31"/>
      <c r="T1211" s="28" t="s">
        <v>574</v>
      </c>
      <c r="U1211" s="28" t="s">
        <v>75</v>
      </c>
      <c r="V1211" s="28" t="s">
        <v>75</v>
      </c>
      <c r="W1211" s="31"/>
    </row>
    <row r="1212" spans="1:23">
      <c r="A1212" s="46" t="s">
        <v>572</v>
      </c>
      <c r="B1212" s="28" t="s">
        <v>1337</v>
      </c>
      <c r="C1212" s="28" t="s">
        <v>978</v>
      </c>
      <c r="D1212" s="31" t="s">
        <v>1806</v>
      </c>
      <c r="E1212" s="31" t="s">
        <v>1793</v>
      </c>
      <c r="F1212" s="38" t="s">
        <v>1045</v>
      </c>
      <c r="G1212" s="38" t="s">
        <v>1045</v>
      </c>
      <c r="H1212" s="39" t="s">
        <v>1804</v>
      </c>
      <c r="I1212" s="28" t="str">
        <f>VLOOKUP(F1212,표준용어사전!$B:$D,3,FALSE)</f>
        <v>연월일D</v>
      </c>
      <c r="J1212" s="33" t="s">
        <v>1046</v>
      </c>
      <c r="K1212" s="27" t="s">
        <v>927</v>
      </c>
      <c r="L1212" s="29" t="s">
        <v>571</v>
      </c>
      <c r="M1212" s="29" t="s">
        <v>1353</v>
      </c>
      <c r="N1212" s="32" t="s">
        <v>75</v>
      </c>
      <c r="O1212" s="31"/>
      <c r="P1212" s="31"/>
      <c r="Q1212" s="28" t="s">
        <v>76</v>
      </c>
      <c r="R1212" s="29"/>
      <c r="S1212" s="31"/>
      <c r="T1212" s="31"/>
      <c r="U1212" s="28" t="s">
        <v>75</v>
      </c>
      <c r="V1212" s="28" t="s">
        <v>75</v>
      </c>
      <c r="W1212" s="31"/>
    </row>
    <row r="1213" spans="1:23">
      <c r="A1213" s="46" t="s">
        <v>572</v>
      </c>
      <c r="B1213" s="28" t="s">
        <v>1337</v>
      </c>
      <c r="C1213" s="28" t="s">
        <v>978</v>
      </c>
      <c r="D1213" s="31" t="s">
        <v>1806</v>
      </c>
      <c r="E1213" s="31" t="s">
        <v>1794</v>
      </c>
      <c r="F1213" s="38" t="s">
        <v>1803</v>
      </c>
      <c r="G1213" s="38" t="s">
        <v>1456</v>
      </c>
      <c r="H1213" s="39" t="s">
        <v>1804</v>
      </c>
      <c r="I1213" s="28" t="str">
        <f>VLOOKUP(F1213,표준용어사전!$B:$D,3,FALSE)</f>
        <v>여부C1</v>
      </c>
      <c r="J1213" s="33" t="s">
        <v>709</v>
      </c>
      <c r="K1213" s="34">
        <v>1</v>
      </c>
      <c r="L1213" s="29" t="s">
        <v>571</v>
      </c>
      <c r="M1213" s="29" t="s">
        <v>722</v>
      </c>
      <c r="N1213" s="32" t="s">
        <v>75</v>
      </c>
      <c r="O1213" s="31"/>
      <c r="P1213" s="31"/>
      <c r="Q1213" s="28" t="s">
        <v>76</v>
      </c>
      <c r="R1213" s="29"/>
      <c r="S1213" s="31"/>
      <c r="T1213" s="31"/>
      <c r="U1213" s="28" t="s">
        <v>75</v>
      </c>
      <c r="V1213" s="28" t="s">
        <v>75</v>
      </c>
      <c r="W1213" s="31"/>
    </row>
    <row r="1214" spans="1:23" hidden="1">
      <c r="A1214" s="46" t="s">
        <v>572</v>
      </c>
      <c r="B1214" s="28" t="s">
        <v>1354</v>
      </c>
      <c r="C1214" s="42" t="s">
        <v>944</v>
      </c>
      <c r="D1214" s="43" t="s">
        <v>584</v>
      </c>
      <c r="E1214" s="40" t="s">
        <v>1431</v>
      </c>
      <c r="F1214" s="28" t="s">
        <v>1626</v>
      </c>
      <c r="G1214" s="28" t="s">
        <v>1626</v>
      </c>
      <c r="H1214" s="37" t="s">
        <v>1355</v>
      </c>
      <c r="I1214" s="28" t="e">
        <f>VLOOKUP(F1214,표준용어사전!$B:$D,3,FALSE)</f>
        <v>#N/A</v>
      </c>
      <c r="J1214" s="28" t="s">
        <v>1349</v>
      </c>
      <c r="K1214" s="27" t="s">
        <v>927</v>
      </c>
      <c r="L1214" s="29" t="s">
        <v>927</v>
      </c>
      <c r="M1214" s="29" t="s">
        <v>1353</v>
      </c>
      <c r="N1214" s="29" t="s">
        <v>572</v>
      </c>
      <c r="O1214" s="28"/>
      <c r="P1214" s="28"/>
      <c r="Q1214" s="28" t="s">
        <v>76</v>
      </c>
      <c r="R1214" s="29"/>
      <c r="S1214" s="28"/>
      <c r="T1214" s="28"/>
      <c r="U1214" s="28" t="s">
        <v>75</v>
      </c>
      <c r="V1214" s="28" t="s">
        <v>75</v>
      </c>
      <c r="W1214" s="28"/>
    </row>
    <row r="1215" spans="1:23" hidden="1">
      <c r="A1215" s="46" t="s">
        <v>572</v>
      </c>
      <c r="B1215" s="28" t="s">
        <v>1354</v>
      </c>
      <c r="C1215" s="42" t="s">
        <v>944</v>
      </c>
      <c r="D1215" s="43" t="s">
        <v>584</v>
      </c>
      <c r="E1215" s="40" t="s">
        <v>295</v>
      </c>
      <c r="F1215" s="38" t="s">
        <v>518</v>
      </c>
      <c r="G1215" s="38" t="s">
        <v>518</v>
      </c>
      <c r="H1215" s="37" t="s">
        <v>1355</v>
      </c>
      <c r="I1215" s="28" t="str">
        <f>VLOOKUP(F1215,표준용어사전!$B:$D,3,FALSE)</f>
        <v>명V50</v>
      </c>
      <c r="J1215" s="28" t="s">
        <v>718</v>
      </c>
      <c r="K1215" s="27">
        <v>20</v>
      </c>
      <c r="L1215" s="29" t="s">
        <v>571</v>
      </c>
      <c r="M1215" s="29" t="s">
        <v>720</v>
      </c>
      <c r="N1215" s="29" t="s">
        <v>572</v>
      </c>
      <c r="O1215" s="28"/>
      <c r="P1215" s="28"/>
      <c r="Q1215" s="28" t="s">
        <v>76</v>
      </c>
      <c r="R1215" s="29"/>
      <c r="S1215" s="28"/>
      <c r="T1215" s="28"/>
      <c r="U1215" s="28" t="s">
        <v>75</v>
      </c>
      <c r="V1215" s="28" t="s">
        <v>75</v>
      </c>
      <c r="W1215" s="28"/>
    </row>
    <row r="1216" spans="1:23" hidden="1">
      <c r="A1216" s="46" t="s">
        <v>572</v>
      </c>
      <c r="B1216" s="28" t="s">
        <v>1354</v>
      </c>
      <c r="C1216" s="42" t="s">
        <v>944</v>
      </c>
      <c r="D1216" s="43" t="s">
        <v>584</v>
      </c>
      <c r="E1216" s="40" t="s">
        <v>593</v>
      </c>
      <c r="F1216" s="28" t="s">
        <v>896</v>
      </c>
      <c r="G1216" s="38" t="s">
        <v>738</v>
      </c>
      <c r="H1216" s="37" t="s">
        <v>1355</v>
      </c>
      <c r="I1216" s="28" t="str">
        <f>VLOOKUP(F1216,표준용어사전!$B:$D,3,FALSE)</f>
        <v>코드C4</v>
      </c>
      <c r="J1216" s="28" t="s">
        <v>709</v>
      </c>
      <c r="K1216" s="27">
        <v>50</v>
      </c>
      <c r="L1216" s="29" t="s">
        <v>927</v>
      </c>
      <c r="M1216" s="29" t="s">
        <v>725</v>
      </c>
      <c r="N1216" s="29" t="s">
        <v>572</v>
      </c>
      <c r="O1216" s="28"/>
      <c r="P1216" s="28"/>
      <c r="Q1216" s="28" t="s">
        <v>76</v>
      </c>
      <c r="R1216" s="29"/>
      <c r="S1216" s="28"/>
      <c r="T1216" s="28"/>
      <c r="U1216" s="28" t="s">
        <v>75</v>
      </c>
      <c r="V1216" s="28" t="s">
        <v>75</v>
      </c>
      <c r="W1216" s="28"/>
    </row>
    <row r="1217" spans="1:23" hidden="1">
      <c r="A1217" s="46" t="s">
        <v>572</v>
      </c>
      <c r="B1217" s="28" t="s">
        <v>1354</v>
      </c>
      <c r="C1217" s="42" t="s">
        <v>944</v>
      </c>
      <c r="D1217" s="43" t="s">
        <v>584</v>
      </c>
      <c r="E1217" s="40" t="s">
        <v>578</v>
      </c>
      <c r="F1217" s="38" t="s">
        <v>580</v>
      </c>
      <c r="G1217" s="38" t="s">
        <v>580</v>
      </c>
      <c r="H1217" s="37" t="s">
        <v>1355</v>
      </c>
      <c r="I1217" s="28" t="str">
        <f>VLOOKUP(F1217,표준용어사전!$B:$D,3,FALSE)</f>
        <v>명V20</v>
      </c>
      <c r="J1217" s="28" t="s">
        <v>78</v>
      </c>
      <c r="K1217" s="27">
        <v>20</v>
      </c>
      <c r="L1217" s="29" t="s">
        <v>571</v>
      </c>
      <c r="M1217" s="29" t="s">
        <v>727</v>
      </c>
      <c r="N1217" s="29" t="s">
        <v>572</v>
      </c>
      <c r="O1217" s="28"/>
      <c r="P1217" s="28"/>
      <c r="Q1217" s="28" t="s">
        <v>76</v>
      </c>
      <c r="R1217" s="29"/>
      <c r="S1217" s="28"/>
      <c r="T1217" s="28"/>
      <c r="U1217" s="28" t="s">
        <v>75</v>
      </c>
      <c r="V1217" s="28" t="s">
        <v>75</v>
      </c>
      <c r="W1217" s="28"/>
    </row>
    <row r="1218" spans="1:23" hidden="1">
      <c r="A1218" s="46" t="s">
        <v>572</v>
      </c>
      <c r="B1218" s="28" t="s">
        <v>1354</v>
      </c>
      <c r="C1218" s="42" t="s">
        <v>944</v>
      </c>
      <c r="D1218" s="43" t="s">
        <v>584</v>
      </c>
      <c r="E1218" s="40" t="s">
        <v>90</v>
      </c>
      <c r="F1218" s="38" t="s">
        <v>14</v>
      </c>
      <c r="G1218" s="38" t="s">
        <v>14</v>
      </c>
      <c r="H1218" s="37" t="s">
        <v>1355</v>
      </c>
      <c r="I1218" s="28" t="str">
        <f>VLOOKUP(F1218,표준용어사전!$B:$D,3,FALSE)</f>
        <v>연월일시분초TS</v>
      </c>
      <c r="J1218" s="33" t="s">
        <v>16</v>
      </c>
      <c r="K1218" s="34" t="s">
        <v>927</v>
      </c>
      <c r="L1218" s="29" t="s">
        <v>571</v>
      </c>
      <c r="M1218" s="29" t="s">
        <v>726</v>
      </c>
      <c r="N1218" s="32" t="s">
        <v>75</v>
      </c>
      <c r="O1218" s="31"/>
      <c r="P1218" s="31"/>
      <c r="Q1218" s="28" t="s">
        <v>76</v>
      </c>
      <c r="R1218" s="29"/>
      <c r="S1218" s="31"/>
      <c r="T1218" s="28" t="s">
        <v>574</v>
      </c>
      <c r="U1218" s="28" t="s">
        <v>75</v>
      </c>
      <c r="V1218" s="28" t="s">
        <v>75</v>
      </c>
      <c r="W1218" s="31"/>
    </row>
    <row r="1219" spans="1:23" hidden="1">
      <c r="A1219" s="46" t="s">
        <v>572</v>
      </c>
      <c r="B1219" s="28" t="s">
        <v>1354</v>
      </c>
      <c r="C1219" s="42" t="s">
        <v>944</v>
      </c>
      <c r="D1219" s="43" t="s">
        <v>584</v>
      </c>
      <c r="E1219" s="40" t="s">
        <v>91</v>
      </c>
      <c r="F1219" s="38" t="s">
        <v>369</v>
      </c>
      <c r="G1219" s="38" t="s">
        <v>369</v>
      </c>
      <c r="H1219" s="37" t="s">
        <v>1355</v>
      </c>
      <c r="I1219" s="28" t="str">
        <f>VLOOKUP(F1219,표준용어사전!$B:$D,3,FALSE)</f>
        <v>명V20</v>
      </c>
      <c r="J1219" s="33" t="s">
        <v>78</v>
      </c>
      <c r="K1219" s="34">
        <v>20</v>
      </c>
      <c r="L1219" s="29" t="s">
        <v>571</v>
      </c>
      <c r="M1219" s="29" t="s">
        <v>727</v>
      </c>
      <c r="N1219" s="32" t="s">
        <v>75</v>
      </c>
      <c r="O1219" s="31"/>
      <c r="P1219" s="31"/>
      <c r="Q1219" s="28" t="s">
        <v>76</v>
      </c>
      <c r="R1219" s="29"/>
      <c r="S1219" s="31"/>
      <c r="T1219" s="31"/>
      <c r="U1219" s="28" t="s">
        <v>75</v>
      </c>
      <c r="V1219" s="28" t="s">
        <v>75</v>
      </c>
      <c r="W1219" s="31"/>
    </row>
    <row r="1220" spans="1:23" hidden="1">
      <c r="A1220" s="46" t="s">
        <v>572</v>
      </c>
      <c r="B1220" s="28" t="s">
        <v>1354</v>
      </c>
      <c r="C1220" s="42" t="s">
        <v>944</v>
      </c>
      <c r="D1220" s="43" t="s">
        <v>584</v>
      </c>
      <c r="E1220" s="40" t="s">
        <v>92</v>
      </c>
      <c r="F1220" s="38" t="s">
        <v>15</v>
      </c>
      <c r="G1220" s="38" t="s">
        <v>15</v>
      </c>
      <c r="H1220" s="37" t="s">
        <v>1355</v>
      </c>
      <c r="I1220" s="28" t="str">
        <f>VLOOKUP(F1220,표준용어사전!$B:$D,3,FALSE)</f>
        <v>연월일시분초TS</v>
      </c>
      <c r="J1220" s="33" t="s">
        <v>16</v>
      </c>
      <c r="K1220" s="34" t="s">
        <v>927</v>
      </c>
      <c r="L1220" s="29" t="s">
        <v>571</v>
      </c>
      <c r="M1220" s="29" t="s">
        <v>726</v>
      </c>
      <c r="N1220" s="32" t="s">
        <v>75</v>
      </c>
      <c r="O1220" s="31"/>
      <c r="P1220" s="31"/>
      <c r="Q1220" s="28" t="s">
        <v>76</v>
      </c>
      <c r="R1220" s="29"/>
      <c r="S1220" s="31"/>
      <c r="T1220" s="28" t="s">
        <v>574</v>
      </c>
      <c r="U1220" s="28" t="s">
        <v>75</v>
      </c>
      <c r="V1220" s="28" t="s">
        <v>75</v>
      </c>
      <c r="W1220" s="31"/>
    </row>
    <row r="1221" spans="1:23" hidden="1">
      <c r="A1221" s="46" t="s">
        <v>572</v>
      </c>
      <c r="B1221" s="28" t="s">
        <v>1354</v>
      </c>
      <c r="C1221" s="42" t="s">
        <v>944</v>
      </c>
      <c r="D1221" s="43" t="s">
        <v>584</v>
      </c>
      <c r="E1221" s="40" t="s">
        <v>93</v>
      </c>
      <c r="F1221" s="38" t="s">
        <v>370</v>
      </c>
      <c r="G1221" s="38" t="s">
        <v>370</v>
      </c>
      <c r="H1221" s="37" t="s">
        <v>1355</v>
      </c>
      <c r="I1221" s="28" t="str">
        <f>VLOOKUP(F1221,표준용어사전!$B:$D,3,FALSE)</f>
        <v>명V20</v>
      </c>
      <c r="J1221" s="33" t="s">
        <v>78</v>
      </c>
      <c r="K1221" s="34">
        <v>20</v>
      </c>
      <c r="L1221" s="29" t="s">
        <v>571</v>
      </c>
      <c r="M1221" s="29" t="s">
        <v>727</v>
      </c>
      <c r="N1221" s="32" t="s">
        <v>75</v>
      </c>
      <c r="O1221" s="31"/>
      <c r="P1221" s="31"/>
      <c r="Q1221" s="28" t="s">
        <v>76</v>
      </c>
      <c r="R1221" s="29"/>
      <c r="S1221" s="31"/>
      <c r="T1221" s="31"/>
      <c r="U1221" s="28" t="s">
        <v>75</v>
      </c>
      <c r="V1221" s="28" t="s">
        <v>75</v>
      </c>
      <c r="W1221" s="31"/>
    </row>
    <row r="1222" spans="1:23" hidden="1">
      <c r="A1222" s="46" t="s">
        <v>572</v>
      </c>
      <c r="B1222" s="28" t="s">
        <v>1354</v>
      </c>
      <c r="C1222" s="42" t="s">
        <v>944</v>
      </c>
      <c r="D1222" s="43" t="s">
        <v>584</v>
      </c>
      <c r="E1222" s="40" t="s">
        <v>1345</v>
      </c>
      <c r="F1222" s="38" t="s">
        <v>1346</v>
      </c>
      <c r="G1222" s="38" t="s">
        <v>1346</v>
      </c>
      <c r="H1222" s="37" t="s">
        <v>1355</v>
      </c>
      <c r="I1222" s="28" t="str">
        <f>VLOOKUP(F1222,표준용어사전!$B:$D,3,FALSE)</f>
        <v>수N10,3</v>
      </c>
      <c r="J1222" s="28" t="s">
        <v>748</v>
      </c>
      <c r="K1222" s="27">
        <v>10</v>
      </c>
      <c r="L1222" s="29">
        <v>3</v>
      </c>
      <c r="M1222" s="29" t="s">
        <v>775</v>
      </c>
      <c r="N1222" s="29" t="s">
        <v>75</v>
      </c>
      <c r="O1222" s="28"/>
      <c r="P1222" s="28"/>
      <c r="Q1222" s="28" t="s">
        <v>76</v>
      </c>
      <c r="R1222" s="29"/>
      <c r="S1222" s="28"/>
      <c r="T1222" s="28" t="s">
        <v>571</v>
      </c>
      <c r="U1222" s="28" t="s">
        <v>75</v>
      </c>
      <c r="V1222" s="28" t="s">
        <v>75</v>
      </c>
      <c r="W1222" s="28"/>
    </row>
    <row r="1223" spans="1:23" hidden="1">
      <c r="A1223" s="46" t="s">
        <v>572</v>
      </c>
      <c r="B1223" s="28" t="s">
        <v>1354</v>
      </c>
      <c r="C1223" s="42" t="s">
        <v>944</v>
      </c>
      <c r="D1223" s="43" t="s">
        <v>588</v>
      </c>
      <c r="E1223" s="40" t="s">
        <v>1431</v>
      </c>
      <c r="F1223" s="28" t="s">
        <v>1626</v>
      </c>
      <c r="G1223" s="28" t="s">
        <v>1626</v>
      </c>
      <c r="H1223" s="37" t="s">
        <v>1356</v>
      </c>
      <c r="I1223" s="28" t="e">
        <f>VLOOKUP(F1223,표준용어사전!$B:$D,3,FALSE)</f>
        <v>#N/A</v>
      </c>
      <c r="J1223" s="28" t="s">
        <v>1349</v>
      </c>
      <c r="K1223" s="27" t="s">
        <v>927</v>
      </c>
      <c r="L1223" s="29" t="s">
        <v>927</v>
      </c>
      <c r="M1223" s="29" t="s">
        <v>1353</v>
      </c>
      <c r="N1223" s="29" t="s">
        <v>572</v>
      </c>
      <c r="O1223" s="28"/>
      <c r="P1223" s="28"/>
      <c r="Q1223" s="28" t="s">
        <v>76</v>
      </c>
      <c r="R1223" s="29"/>
      <c r="S1223" s="28"/>
      <c r="T1223" s="28"/>
      <c r="U1223" s="28" t="s">
        <v>75</v>
      </c>
      <c r="V1223" s="28" t="s">
        <v>75</v>
      </c>
      <c r="W1223" s="28"/>
    </row>
    <row r="1224" spans="1:23" hidden="1">
      <c r="A1224" s="46" t="s">
        <v>572</v>
      </c>
      <c r="B1224" s="28" t="s">
        <v>1354</v>
      </c>
      <c r="C1224" s="42" t="s">
        <v>944</v>
      </c>
      <c r="D1224" s="43" t="s">
        <v>588</v>
      </c>
      <c r="E1224" s="40" t="s">
        <v>843</v>
      </c>
      <c r="F1224" s="28" t="s">
        <v>1548</v>
      </c>
      <c r="G1224" s="28" t="s">
        <v>1548</v>
      </c>
      <c r="H1224" s="37" t="s">
        <v>1356</v>
      </c>
      <c r="I1224" s="28" t="str">
        <f>VLOOKUP(F1224,표준용어사전!$B:$D,3,FALSE)</f>
        <v>명V50</v>
      </c>
      <c r="J1224" s="28" t="s">
        <v>718</v>
      </c>
      <c r="K1224" s="24">
        <v>50</v>
      </c>
      <c r="L1224" s="29" t="s">
        <v>571</v>
      </c>
      <c r="M1224" s="29" t="s">
        <v>720</v>
      </c>
      <c r="N1224" s="29" t="s">
        <v>572</v>
      </c>
      <c r="O1224" s="28"/>
      <c r="P1224" s="28"/>
      <c r="Q1224" s="28" t="s">
        <v>76</v>
      </c>
      <c r="R1224" s="29"/>
      <c r="S1224" s="28"/>
      <c r="T1224" s="28"/>
      <c r="U1224" s="28" t="s">
        <v>75</v>
      </c>
      <c r="V1224" s="28" t="s">
        <v>75</v>
      </c>
      <c r="W1224" s="28"/>
    </row>
    <row r="1225" spans="1:23" hidden="1">
      <c r="A1225" s="46" t="s">
        <v>572</v>
      </c>
      <c r="B1225" s="28" t="s">
        <v>1354</v>
      </c>
      <c r="C1225" s="42" t="s">
        <v>944</v>
      </c>
      <c r="D1225" s="43" t="s">
        <v>588</v>
      </c>
      <c r="E1225" s="40" t="s">
        <v>593</v>
      </c>
      <c r="F1225" s="28" t="s">
        <v>896</v>
      </c>
      <c r="G1225" s="38" t="s">
        <v>738</v>
      </c>
      <c r="H1225" s="37" t="s">
        <v>1356</v>
      </c>
      <c r="I1225" s="28" t="str">
        <f>VLOOKUP(F1225,표준용어사전!$B:$D,3,FALSE)</f>
        <v>코드C4</v>
      </c>
      <c r="J1225" s="28" t="s">
        <v>709</v>
      </c>
      <c r="K1225" s="27">
        <v>50</v>
      </c>
      <c r="L1225" s="29" t="s">
        <v>927</v>
      </c>
      <c r="M1225" s="29" t="s">
        <v>725</v>
      </c>
      <c r="N1225" s="29" t="s">
        <v>572</v>
      </c>
      <c r="O1225" s="28"/>
      <c r="P1225" s="28"/>
      <c r="Q1225" s="28" t="s">
        <v>76</v>
      </c>
      <c r="R1225" s="29"/>
      <c r="S1225" s="28"/>
      <c r="T1225" s="28"/>
      <c r="U1225" s="28" t="s">
        <v>75</v>
      </c>
      <c r="V1225" s="28" t="s">
        <v>75</v>
      </c>
      <c r="W1225" s="28"/>
    </row>
    <row r="1226" spans="1:23" hidden="1">
      <c r="A1226" s="46" t="s">
        <v>572</v>
      </c>
      <c r="B1226" s="28" t="s">
        <v>1354</v>
      </c>
      <c r="C1226" s="42" t="s">
        <v>944</v>
      </c>
      <c r="D1226" s="43" t="s">
        <v>588</v>
      </c>
      <c r="E1226" s="40" t="s">
        <v>578</v>
      </c>
      <c r="F1226" s="38" t="s">
        <v>580</v>
      </c>
      <c r="G1226" s="38" t="s">
        <v>580</v>
      </c>
      <c r="H1226" s="37" t="s">
        <v>1356</v>
      </c>
      <c r="I1226" s="28" t="str">
        <f>VLOOKUP(F1226,표준용어사전!$B:$D,3,FALSE)</f>
        <v>명V20</v>
      </c>
      <c r="J1226" s="28" t="s">
        <v>78</v>
      </c>
      <c r="K1226" s="27">
        <v>20</v>
      </c>
      <c r="L1226" s="29" t="s">
        <v>571</v>
      </c>
      <c r="M1226" s="29" t="s">
        <v>727</v>
      </c>
      <c r="N1226" s="29" t="s">
        <v>572</v>
      </c>
      <c r="O1226" s="28"/>
      <c r="P1226" s="28"/>
      <c r="Q1226" s="28" t="s">
        <v>76</v>
      </c>
      <c r="R1226" s="29"/>
      <c r="S1226" s="28"/>
      <c r="T1226" s="28"/>
      <c r="U1226" s="28" t="s">
        <v>75</v>
      </c>
      <c r="V1226" s="28" t="s">
        <v>75</v>
      </c>
      <c r="W1226" s="28"/>
    </row>
    <row r="1227" spans="1:23" hidden="1">
      <c r="A1227" s="46" t="s">
        <v>572</v>
      </c>
      <c r="B1227" s="28" t="s">
        <v>1354</v>
      </c>
      <c r="C1227" s="42" t="s">
        <v>944</v>
      </c>
      <c r="D1227" s="43" t="s">
        <v>588</v>
      </c>
      <c r="E1227" s="40" t="s">
        <v>90</v>
      </c>
      <c r="F1227" s="38" t="s">
        <v>14</v>
      </c>
      <c r="G1227" s="38" t="s">
        <v>14</v>
      </c>
      <c r="H1227" s="37" t="s">
        <v>1356</v>
      </c>
      <c r="I1227" s="28" t="str">
        <f>VLOOKUP(F1227,표준용어사전!$B:$D,3,FALSE)</f>
        <v>연월일시분초TS</v>
      </c>
      <c r="J1227" s="33" t="s">
        <v>16</v>
      </c>
      <c r="K1227" s="34" t="s">
        <v>927</v>
      </c>
      <c r="L1227" s="29" t="s">
        <v>571</v>
      </c>
      <c r="M1227" s="29" t="s">
        <v>726</v>
      </c>
      <c r="N1227" s="32" t="s">
        <v>75</v>
      </c>
      <c r="O1227" s="31"/>
      <c r="P1227" s="31"/>
      <c r="Q1227" s="28" t="s">
        <v>76</v>
      </c>
      <c r="R1227" s="29"/>
      <c r="S1227" s="31"/>
      <c r="T1227" s="28" t="s">
        <v>574</v>
      </c>
      <c r="U1227" s="28" t="s">
        <v>75</v>
      </c>
      <c r="V1227" s="28" t="s">
        <v>75</v>
      </c>
      <c r="W1227" s="31"/>
    </row>
    <row r="1228" spans="1:23" hidden="1">
      <c r="A1228" s="46" t="s">
        <v>572</v>
      </c>
      <c r="B1228" s="28" t="s">
        <v>1354</v>
      </c>
      <c r="C1228" s="42" t="s">
        <v>944</v>
      </c>
      <c r="D1228" s="43" t="s">
        <v>588</v>
      </c>
      <c r="E1228" s="40" t="s">
        <v>91</v>
      </c>
      <c r="F1228" s="38" t="s">
        <v>369</v>
      </c>
      <c r="G1228" s="38" t="s">
        <v>369</v>
      </c>
      <c r="H1228" s="37" t="s">
        <v>1356</v>
      </c>
      <c r="I1228" s="28" t="str">
        <f>VLOOKUP(F1228,표준용어사전!$B:$D,3,FALSE)</f>
        <v>명V20</v>
      </c>
      <c r="J1228" s="33" t="s">
        <v>78</v>
      </c>
      <c r="K1228" s="34">
        <v>20</v>
      </c>
      <c r="L1228" s="29" t="s">
        <v>571</v>
      </c>
      <c r="M1228" s="29" t="s">
        <v>727</v>
      </c>
      <c r="N1228" s="32" t="s">
        <v>75</v>
      </c>
      <c r="O1228" s="31"/>
      <c r="P1228" s="31"/>
      <c r="Q1228" s="28" t="s">
        <v>76</v>
      </c>
      <c r="R1228" s="29"/>
      <c r="S1228" s="31"/>
      <c r="T1228" s="31"/>
      <c r="U1228" s="28" t="s">
        <v>75</v>
      </c>
      <c r="V1228" s="28" t="s">
        <v>75</v>
      </c>
      <c r="W1228" s="31"/>
    </row>
    <row r="1229" spans="1:23" hidden="1">
      <c r="A1229" s="46" t="s">
        <v>572</v>
      </c>
      <c r="B1229" s="28" t="s">
        <v>1354</v>
      </c>
      <c r="C1229" s="42" t="s">
        <v>944</v>
      </c>
      <c r="D1229" s="43" t="s">
        <v>588</v>
      </c>
      <c r="E1229" s="40" t="s">
        <v>92</v>
      </c>
      <c r="F1229" s="38" t="s">
        <v>15</v>
      </c>
      <c r="G1229" s="38" t="s">
        <v>15</v>
      </c>
      <c r="H1229" s="37" t="s">
        <v>1356</v>
      </c>
      <c r="I1229" s="28" t="str">
        <f>VLOOKUP(F1229,표준용어사전!$B:$D,3,FALSE)</f>
        <v>연월일시분초TS</v>
      </c>
      <c r="J1229" s="33" t="s">
        <v>16</v>
      </c>
      <c r="K1229" s="34" t="s">
        <v>927</v>
      </c>
      <c r="L1229" s="29" t="s">
        <v>571</v>
      </c>
      <c r="M1229" s="29" t="s">
        <v>726</v>
      </c>
      <c r="N1229" s="32" t="s">
        <v>75</v>
      </c>
      <c r="O1229" s="31"/>
      <c r="P1229" s="31"/>
      <c r="Q1229" s="28" t="s">
        <v>76</v>
      </c>
      <c r="R1229" s="29"/>
      <c r="S1229" s="31"/>
      <c r="T1229" s="28" t="s">
        <v>574</v>
      </c>
      <c r="U1229" s="28" t="s">
        <v>75</v>
      </c>
      <c r="V1229" s="28" t="s">
        <v>75</v>
      </c>
      <c r="W1229" s="31"/>
    </row>
    <row r="1230" spans="1:23" hidden="1">
      <c r="A1230" s="46" t="s">
        <v>572</v>
      </c>
      <c r="B1230" s="28" t="s">
        <v>1354</v>
      </c>
      <c r="C1230" s="42" t="s">
        <v>944</v>
      </c>
      <c r="D1230" s="43" t="s">
        <v>588</v>
      </c>
      <c r="E1230" s="40" t="s">
        <v>93</v>
      </c>
      <c r="F1230" s="38" t="s">
        <v>370</v>
      </c>
      <c r="G1230" s="38" t="s">
        <v>370</v>
      </c>
      <c r="H1230" s="37" t="s">
        <v>1356</v>
      </c>
      <c r="I1230" s="28" t="str">
        <f>VLOOKUP(F1230,표준용어사전!$B:$D,3,FALSE)</f>
        <v>명V20</v>
      </c>
      <c r="J1230" s="33" t="s">
        <v>78</v>
      </c>
      <c r="K1230" s="34">
        <v>20</v>
      </c>
      <c r="L1230" s="29" t="s">
        <v>571</v>
      </c>
      <c r="M1230" s="29" t="s">
        <v>727</v>
      </c>
      <c r="N1230" s="32" t="s">
        <v>75</v>
      </c>
      <c r="O1230" s="31"/>
      <c r="P1230" s="31"/>
      <c r="Q1230" s="28" t="s">
        <v>76</v>
      </c>
      <c r="R1230" s="29"/>
      <c r="S1230" s="31"/>
      <c r="T1230" s="31"/>
      <c r="U1230" s="28" t="s">
        <v>75</v>
      </c>
      <c r="V1230" s="28" t="s">
        <v>75</v>
      </c>
      <c r="W1230" s="31"/>
    </row>
    <row r="1231" spans="1:23" hidden="1">
      <c r="A1231" s="46" t="s">
        <v>572</v>
      </c>
      <c r="B1231" s="28" t="s">
        <v>1354</v>
      </c>
      <c r="C1231" s="42" t="s">
        <v>944</v>
      </c>
      <c r="D1231" s="43" t="s">
        <v>588</v>
      </c>
      <c r="E1231" s="40" t="s">
        <v>1344</v>
      </c>
      <c r="F1231" s="38" t="s">
        <v>1416</v>
      </c>
      <c r="G1231" s="38" t="s">
        <v>1416</v>
      </c>
      <c r="H1231" s="37" t="s">
        <v>1356</v>
      </c>
      <c r="I1231" s="28" t="str">
        <f>VLOOKUP(F1231,표준용어사전!$B:$D,3,FALSE)</f>
        <v>수N10,3</v>
      </c>
      <c r="J1231" s="28" t="s">
        <v>748</v>
      </c>
      <c r="K1231" s="27">
        <v>10</v>
      </c>
      <c r="L1231" s="29">
        <v>3</v>
      </c>
      <c r="M1231" s="29" t="s">
        <v>775</v>
      </c>
      <c r="N1231" s="29" t="s">
        <v>75</v>
      </c>
      <c r="O1231" s="28"/>
      <c r="P1231" s="28"/>
      <c r="Q1231" s="28" t="s">
        <v>76</v>
      </c>
      <c r="R1231" s="29"/>
      <c r="S1231" s="28"/>
      <c r="T1231" s="28" t="s">
        <v>571</v>
      </c>
      <c r="U1231" s="28" t="s">
        <v>75</v>
      </c>
      <c r="V1231" s="28" t="s">
        <v>75</v>
      </c>
      <c r="W1231" s="28"/>
    </row>
    <row r="1232" spans="1:23" hidden="1">
      <c r="A1232" s="46" t="s">
        <v>572</v>
      </c>
      <c r="B1232" s="28" t="s">
        <v>1354</v>
      </c>
      <c r="C1232" s="42" t="s">
        <v>944</v>
      </c>
      <c r="D1232" s="43" t="s">
        <v>587</v>
      </c>
      <c r="E1232" s="40" t="s">
        <v>1431</v>
      </c>
      <c r="F1232" s="28" t="s">
        <v>1626</v>
      </c>
      <c r="G1232" s="28" t="s">
        <v>1626</v>
      </c>
      <c r="H1232" s="37" t="s">
        <v>1357</v>
      </c>
      <c r="I1232" s="28" t="e">
        <f>VLOOKUP(F1232,표준용어사전!$B:$D,3,FALSE)</f>
        <v>#N/A</v>
      </c>
      <c r="J1232" s="28" t="s">
        <v>1349</v>
      </c>
      <c r="K1232" s="27" t="s">
        <v>927</v>
      </c>
      <c r="L1232" s="29" t="s">
        <v>927</v>
      </c>
      <c r="M1232" s="29" t="s">
        <v>1353</v>
      </c>
      <c r="N1232" s="29" t="s">
        <v>572</v>
      </c>
      <c r="O1232" s="28"/>
      <c r="P1232" s="28"/>
      <c r="Q1232" s="28" t="s">
        <v>76</v>
      </c>
      <c r="R1232" s="29"/>
      <c r="S1232" s="28"/>
      <c r="T1232" s="28"/>
      <c r="U1232" s="28" t="s">
        <v>75</v>
      </c>
      <c r="V1232" s="28" t="s">
        <v>75</v>
      </c>
      <c r="W1232" s="28"/>
    </row>
    <row r="1233" spans="1:23" hidden="1">
      <c r="A1233" s="46" t="s">
        <v>572</v>
      </c>
      <c r="B1233" s="28" t="s">
        <v>1354</v>
      </c>
      <c r="C1233" s="42" t="s">
        <v>944</v>
      </c>
      <c r="D1233" s="43" t="s">
        <v>587</v>
      </c>
      <c r="E1233" s="40" t="s">
        <v>202</v>
      </c>
      <c r="F1233" s="38" t="s">
        <v>451</v>
      </c>
      <c r="G1233" s="38" t="s">
        <v>451</v>
      </c>
      <c r="H1233" s="37" t="s">
        <v>1357</v>
      </c>
      <c r="I1233" s="28" t="str">
        <f>VLOOKUP(F1233,표준용어사전!$B:$D,3,FALSE)</f>
        <v>명V20</v>
      </c>
      <c r="J1233" s="28" t="s">
        <v>718</v>
      </c>
      <c r="K1233" s="27">
        <v>50</v>
      </c>
      <c r="L1233" s="29" t="s">
        <v>571</v>
      </c>
      <c r="M1233" s="29" t="s">
        <v>720</v>
      </c>
      <c r="N1233" s="29" t="s">
        <v>572</v>
      </c>
      <c r="O1233" s="28"/>
      <c r="P1233" s="28"/>
      <c r="Q1233" s="28" t="s">
        <v>76</v>
      </c>
      <c r="R1233" s="29"/>
      <c r="S1233" s="28"/>
      <c r="T1233" s="28"/>
      <c r="U1233" s="28" t="s">
        <v>75</v>
      </c>
      <c r="V1233" s="28" t="s">
        <v>75</v>
      </c>
      <c r="W1233" s="28"/>
    </row>
    <row r="1234" spans="1:23" hidden="1">
      <c r="A1234" s="46" t="s">
        <v>572</v>
      </c>
      <c r="B1234" s="28" t="s">
        <v>1354</v>
      </c>
      <c r="C1234" s="42" t="s">
        <v>944</v>
      </c>
      <c r="D1234" s="43" t="s">
        <v>587</v>
      </c>
      <c r="E1234" s="40" t="s">
        <v>593</v>
      </c>
      <c r="F1234" s="28" t="s">
        <v>896</v>
      </c>
      <c r="G1234" s="38" t="s">
        <v>738</v>
      </c>
      <c r="H1234" s="37" t="s">
        <v>1357</v>
      </c>
      <c r="I1234" s="28" t="str">
        <f>VLOOKUP(F1234,표준용어사전!$B:$D,3,FALSE)</f>
        <v>코드C4</v>
      </c>
      <c r="J1234" s="28" t="s">
        <v>709</v>
      </c>
      <c r="K1234" s="27">
        <v>50</v>
      </c>
      <c r="L1234" s="29" t="s">
        <v>927</v>
      </c>
      <c r="M1234" s="29" t="s">
        <v>725</v>
      </c>
      <c r="N1234" s="29" t="s">
        <v>572</v>
      </c>
      <c r="O1234" s="28"/>
      <c r="P1234" s="28"/>
      <c r="Q1234" s="28" t="s">
        <v>76</v>
      </c>
      <c r="R1234" s="29"/>
      <c r="S1234" s="28"/>
      <c r="T1234" s="28"/>
      <c r="U1234" s="28" t="s">
        <v>75</v>
      </c>
      <c r="V1234" s="28" t="s">
        <v>75</v>
      </c>
      <c r="W1234" s="28"/>
    </row>
    <row r="1235" spans="1:23" hidden="1">
      <c r="A1235" s="46" t="s">
        <v>572</v>
      </c>
      <c r="B1235" s="28" t="s">
        <v>1354</v>
      </c>
      <c r="C1235" s="42" t="s">
        <v>944</v>
      </c>
      <c r="D1235" s="43" t="s">
        <v>587</v>
      </c>
      <c r="E1235" s="40" t="s">
        <v>578</v>
      </c>
      <c r="F1235" s="38" t="s">
        <v>580</v>
      </c>
      <c r="G1235" s="38" t="s">
        <v>580</v>
      </c>
      <c r="H1235" s="37" t="s">
        <v>1357</v>
      </c>
      <c r="I1235" s="28" t="str">
        <f>VLOOKUP(F1235,표준용어사전!$B:$D,3,FALSE)</f>
        <v>명V20</v>
      </c>
      <c r="J1235" s="28" t="s">
        <v>78</v>
      </c>
      <c r="K1235" s="27">
        <v>20</v>
      </c>
      <c r="L1235" s="29" t="s">
        <v>571</v>
      </c>
      <c r="M1235" s="29" t="s">
        <v>727</v>
      </c>
      <c r="N1235" s="29" t="s">
        <v>572</v>
      </c>
      <c r="O1235" s="28"/>
      <c r="P1235" s="28"/>
      <c r="Q1235" s="28" t="s">
        <v>76</v>
      </c>
      <c r="R1235" s="29"/>
      <c r="S1235" s="28"/>
      <c r="T1235" s="28"/>
      <c r="U1235" s="28" t="s">
        <v>75</v>
      </c>
      <c r="V1235" s="28" t="s">
        <v>75</v>
      </c>
      <c r="W1235" s="28"/>
    </row>
    <row r="1236" spans="1:23" hidden="1">
      <c r="A1236" s="46" t="s">
        <v>572</v>
      </c>
      <c r="B1236" s="28" t="s">
        <v>1354</v>
      </c>
      <c r="C1236" s="42" t="s">
        <v>944</v>
      </c>
      <c r="D1236" s="43" t="s">
        <v>587</v>
      </c>
      <c r="E1236" s="40" t="s">
        <v>90</v>
      </c>
      <c r="F1236" s="38" t="s">
        <v>14</v>
      </c>
      <c r="G1236" s="38" t="s">
        <v>14</v>
      </c>
      <c r="H1236" s="37" t="s">
        <v>1357</v>
      </c>
      <c r="I1236" s="28" t="str">
        <f>VLOOKUP(F1236,표준용어사전!$B:$D,3,FALSE)</f>
        <v>연월일시분초TS</v>
      </c>
      <c r="J1236" s="33" t="s">
        <v>16</v>
      </c>
      <c r="K1236" s="34" t="s">
        <v>927</v>
      </c>
      <c r="L1236" s="29" t="s">
        <v>571</v>
      </c>
      <c r="M1236" s="29" t="s">
        <v>726</v>
      </c>
      <c r="N1236" s="32" t="s">
        <v>75</v>
      </c>
      <c r="O1236" s="31"/>
      <c r="P1236" s="31"/>
      <c r="Q1236" s="28" t="s">
        <v>76</v>
      </c>
      <c r="R1236" s="29"/>
      <c r="S1236" s="31"/>
      <c r="T1236" s="28" t="s">
        <v>574</v>
      </c>
      <c r="U1236" s="28" t="s">
        <v>75</v>
      </c>
      <c r="V1236" s="28" t="s">
        <v>75</v>
      </c>
      <c r="W1236" s="31"/>
    </row>
    <row r="1237" spans="1:23" hidden="1">
      <c r="A1237" s="46" t="s">
        <v>572</v>
      </c>
      <c r="B1237" s="28" t="s">
        <v>1354</v>
      </c>
      <c r="C1237" s="42" t="s">
        <v>944</v>
      </c>
      <c r="D1237" s="43" t="s">
        <v>587</v>
      </c>
      <c r="E1237" s="40" t="s">
        <v>91</v>
      </c>
      <c r="F1237" s="38" t="s">
        <v>369</v>
      </c>
      <c r="G1237" s="38" t="s">
        <v>369</v>
      </c>
      <c r="H1237" s="37" t="s">
        <v>1357</v>
      </c>
      <c r="I1237" s="28" t="str">
        <f>VLOOKUP(F1237,표준용어사전!$B:$D,3,FALSE)</f>
        <v>명V20</v>
      </c>
      <c r="J1237" s="33" t="s">
        <v>78</v>
      </c>
      <c r="K1237" s="34">
        <v>20</v>
      </c>
      <c r="L1237" s="29" t="s">
        <v>571</v>
      </c>
      <c r="M1237" s="29" t="s">
        <v>727</v>
      </c>
      <c r="N1237" s="32" t="s">
        <v>75</v>
      </c>
      <c r="O1237" s="31"/>
      <c r="P1237" s="31"/>
      <c r="Q1237" s="28" t="s">
        <v>76</v>
      </c>
      <c r="R1237" s="29"/>
      <c r="S1237" s="31"/>
      <c r="T1237" s="31"/>
      <c r="U1237" s="28" t="s">
        <v>75</v>
      </c>
      <c r="V1237" s="28" t="s">
        <v>75</v>
      </c>
      <c r="W1237" s="31"/>
    </row>
    <row r="1238" spans="1:23" hidden="1">
      <c r="A1238" s="46" t="s">
        <v>572</v>
      </c>
      <c r="B1238" s="28" t="s">
        <v>1354</v>
      </c>
      <c r="C1238" s="42" t="s">
        <v>944</v>
      </c>
      <c r="D1238" s="43" t="s">
        <v>587</v>
      </c>
      <c r="E1238" s="40" t="s">
        <v>92</v>
      </c>
      <c r="F1238" s="38" t="s">
        <v>15</v>
      </c>
      <c r="G1238" s="38" t="s">
        <v>15</v>
      </c>
      <c r="H1238" s="37" t="s">
        <v>1357</v>
      </c>
      <c r="I1238" s="28" t="str">
        <f>VLOOKUP(F1238,표준용어사전!$B:$D,3,FALSE)</f>
        <v>연월일시분초TS</v>
      </c>
      <c r="J1238" s="33" t="s">
        <v>16</v>
      </c>
      <c r="K1238" s="34" t="s">
        <v>927</v>
      </c>
      <c r="L1238" s="29" t="s">
        <v>571</v>
      </c>
      <c r="M1238" s="29" t="s">
        <v>726</v>
      </c>
      <c r="N1238" s="32" t="s">
        <v>75</v>
      </c>
      <c r="O1238" s="31"/>
      <c r="P1238" s="31"/>
      <c r="Q1238" s="28" t="s">
        <v>76</v>
      </c>
      <c r="R1238" s="29"/>
      <c r="S1238" s="31"/>
      <c r="T1238" s="28" t="s">
        <v>574</v>
      </c>
      <c r="U1238" s="28" t="s">
        <v>75</v>
      </c>
      <c r="V1238" s="28" t="s">
        <v>75</v>
      </c>
      <c r="W1238" s="31"/>
    </row>
    <row r="1239" spans="1:23" hidden="1">
      <c r="A1239" s="46" t="s">
        <v>572</v>
      </c>
      <c r="B1239" s="28" t="s">
        <v>1354</v>
      </c>
      <c r="C1239" s="42" t="s">
        <v>944</v>
      </c>
      <c r="D1239" s="43" t="s">
        <v>587</v>
      </c>
      <c r="E1239" s="40" t="s">
        <v>93</v>
      </c>
      <c r="F1239" s="38" t="s">
        <v>370</v>
      </c>
      <c r="G1239" s="38" t="s">
        <v>370</v>
      </c>
      <c r="H1239" s="37" t="s">
        <v>1357</v>
      </c>
      <c r="I1239" s="28" t="str">
        <f>VLOOKUP(F1239,표준용어사전!$B:$D,3,FALSE)</f>
        <v>명V20</v>
      </c>
      <c r="J1239" s="33" t="s">
        <v>78</v>
      </c>
      <c r="K1239" s="34">
        <v>20</v>
      </c>
      <c r="L1239" s="29" t="s">
        <v>571</v>
      </c>
      <c r="M1239" s="29" t="s">
        <v>727</v>
      </c>
      <c r="N1239" s="32" t="s">
        <v>75</v>
      </c>
      <c r="O1239" s="31"/>
      <c r="P1239" s="31"/>
      <c r="Q1239" s="28" t="s">
        <v>76</v>
      </c>
      <c r="R1239" s="29"/>
      <c r="S1239" s="31"/>
      <c r="T1239" s="31"/>
      <c r="U1239" s="28" t="s">
        <v>75</v>
      </c>
      <c r="V1239" s="28" t="s">
        <v>75</v>
      </c>
      <c r="W1239" s="31"/>
    </row>
    <row r="1240" spans="1:23" hidden="1">
      <c r="A1240" s="46" t="s">
        <v>572</v>
      </c>
      <c r="B1240" s="28" t="s">
        <v>1354</v>
      </c>
      <c r="C1240" s="42" t="s">
        <v>944</v>
      </c>
      <c r="D1240" s="43" t="s">
        <v>587</v>
      </c>
      <c r="E1240" s="40" t="s">
        <v>1343</v>
      </c>
      <c r="F1240" s="38" t="s">
        <v>1415</v>
      </c>
      <c r="G1240" s="38" t="s">
        <v>1415</v>
      </c>
      <c r="H1240" s="37" t="s">
        <v>1357</v>
      </c>
      <c r="I1240" s="28" t="str">
        <f>VLOOKUP(F1240,표준용어사전!$B:$D,3,FALSE)</f>
        <v>수N10,3</v>
      </c>
      <c r="J1240" s="28" t="s">
        <v>748</v>
      </c>
      <c r="K1240" s="27">
        <v>10</v>
      </c>
      <c r="L1240" s="29">
        <v>3</v>
      </c>
      <c r="M1240" s="29" t="s">
        <v>1342</v>
      </c>
      <c r="N1240" s="29" t="s">
        <v>75</v>
      </c>
      <c r="O1240" s="28"/>
      <c r="P1240" s="28"/>
      <c r="Q1240" s="28" t="s">
        <v>76</v>
      </c>
      <c r="R1240" s="29"/>
      <c r="S1240" s="28"/>
      <c r="T1240" s="28" t="s">
        <v>571</v>
      </c>
      <c r="U1240" s="28" t="s">
        <v>75</v>
      </c>
      <c r="V1240" s="28" t="s">
        <v>75</v>
      </c>
      <c r="W1240" s="28"/>
    </row>
    <row r="1241" spans="1:23" hidden="1">
      <c r="A1241" s="46" t="s">
        <v>572</v>
      </c>
      <c r="B1241" s="28" t="s">
        <v>1354</v>
      </c>
      <c r="C1241" s="42" t="s">
        <v>944</v>
      </c>
      <c r="D1241" s="43" t="s">
        <v>585</v>
      </c>
      <c r="E1241" s="40" t="s">
        <v>1431</v>
      </c>
      <c r="F1241" s="28" t="s">
        <v>1626</v>
      </c>
      <c r="G1241" s="28" t="s">
        <v>1626</v>
      </c>
      <c r="H1241" s="37" t="s">
        <v>1358</v>
      </c>
      <c r="I1241" s="28" t="e">
        <f>VLOOKUP(F1241,표준용어사전!$B:$D,3,FALSE)</f>
        <v>#N/A</v>
      </c>
      <c r="J1241" s="28" t="s">
        <v>1349</v>
      </c>
      <c r="K1241" s="27" t="s">
        <v>927</v>
      </c>
      <c r="L1241" s="29" t="s">
        <v>927</v>
      </c>
      <c r="M1241" s="29" t="s">
        <v>1353</v>
      </c>
      <c r="N1241" s="29" t="s">
        <v>572</v>
      </c>
      <c r="O1241" s="28"/>
      <c r="P1241" s="28"/>
      <c r="Q1241" s="28" t="s">
        <v>76</v>
      </c>
      <c r="R1241" s="29"/>
      <c r="S1241" s="28"/>
      <c r="T1241" s="28"/>
      <c r="U1241" s="28" t="s">
        <v>75</v>
      </c>
      <c r="V1241" s="28" t="s">
        <v>75</v>
      </c>
      <c r="W1241" s="28"/>
    </row>
    <row r="1242" spans="1:23" hidden="1">
      <c r="A1242" s="46" t="s">
        <v>572</v>
      </c>
      <c r="B1242" s="28" t="s">
        <v>1354</v>
      </c>
      <c r="C1242" s="42" t="s">
        <v>944</v>
      </c>
      <c r="D1242" s="43" t="s">
        <v>585</v>
      </c>
      <c r="E1242" s="40" t="s">
        <v>217</v>
      </c>
      <c r="F1242" s="38" t="s">
        <v>459</v>
      </c>
      <c r="G1242" s="38" t="s">
        <v>459</v>
      </c>
      <c r="H1242" s="37" t="s">
        <v>1358</v>
      </c>
      <c r="I1242" s="28" t="str">
        <f>VLOOKUP(F1242,표준용어사전!$B:$D,3,FALSE)</f>
        <v>명V20</v>
      </c>
      <c r="J1242" s="28" t="s">
        <v>718</v>
      </c>
      <c r="K1242" s="27">
        <v>50</v>
      </c>
      <c r="L1242" s="29" t="s">
        <v>927</v>
      </c>
      <c r="M1242" s="29" t="s">
        <v>720</v>
      </c>
      <c r="N1242" s="29" t="s">
        <v>572</v>
      </c>
      <c r="O1242" s="28"/>
      <c r="P1242" s="28"/>
      <c r="Q1242" s="28" t="s">
        <v>76</v>
      </c>
      <c r="R1242" s="29"/>
      <c r="S1242" s="28"/>
      <c r="T1242" s="28"/>
      <c r="U1242" s="28" t="s">
        <v>75</v>
      </c>
      <c r="V1242" s="28" t="s">
        <v>75</v>
      </c>
      <c r="W1242" s="28"/>
    </row>
    <row r="1243" spans="1:23" hidden="1">
      <c r="A1243" s="46" t="s">
        <v>572</v>
      </c>
      <c r="B1243" s="28" t="s">
        <v>1354</v>
      </c>
      <c r="C1243" s="42" t="s">
        <v>944</v>
      </c>
      <c r="D1243" s="43" t="s">
        <v>585</v>
      </c>
      <c r="E1243" s="40" t="s">
        <v>593</v>
      </c>
      <c r="F1243" s="28" t="s">
        <v>896</v>
      </c>
      <c r="G1243" s="38" t="s">
        <v>738</v>
      </c>
      <c r="H1243" s="37" t="s">
        <v>1358</v>
      </c>
      <c r="I1243" s="28" t="str">
        <f>VLOOKUP(F1243,표준용어사전!$B:$D,3,FALSE)</f>
        <v>코드C4</v>
      </c>
      <c r="J1243" s="28" t="s">
        <v>709</v>
      </c>
      <c r="K1243" s="27">
        <v>50</v>
      </c>
      <c r="L1243" s="29" t="s">
        <v>927</v>
      </c>
      <c r="M1243" s="29" t="s">
        <v>725</v>
      </c>
      <c r="N1243" s="29" t="s">
        <v>572</v>
      </c>
      <c r="O1243" s="28"/>
      <c r="P1243" s="28"/>
      <c r="Q1243" s="28" t="s">
        <v>76</v>
      </c>
      <c r="R1243" s="29"/>
      <c r="S1243" s="28"/>
      <c r="T1243" s="28"/>
      <c r="U1243" s="28" t="s">
        <v>75</v>
      </c>
      <c r="V1243" s="28" t="s">
        <v>75</v>
      </c>
      <c r="W1243" s="28"/>
    </row>
    <row r="1244" spans="1:23" hidden="1">
      <c r="A1244" s="46" t="s">
        <v>572</v>
      </c>
      <c r="B1244" s="28" t="s">
        <v>1354</v>
      </c>
      <c r="C1244" s="42" t="s">
        <v>944</v>
      </c>
      <c r="D1244" s="43" t="s">
        <v>585</v>
      </c>
      <c r="E1244" s="40" t="s">
        <v>578</v>
      </c>
      <c r="F1244" s="38" t="s">
        <v>580</v>
      </c>
      <c r="G1244" s="38" t="s">
        <v>580</v>
      </c>
      <c r="H1244" s="37" t="s">
        <v>1358</v>
      </c>
      <c r="I1244" s="28" t="str">
        <f>VLOOKUP(F1244,표준용어사전!$B:$D,3,FALSE)</f>
        <v>명V20</v>
      </c>
      <c r="J1244" s="28" t="s">
        <v>78</v>
      </c>
      <c r="K1244" s="27">
        <v>20</v>
      </c>
      <c r="L1244" s="29" t="s">
        <v>571</v>
      </c>
      <c r="M1244" s="29" t="s">
        <v>727</v>
      </c>
      <c r="N1244" s="29" t="s">
        <v>572</v>
      </c>
      <c r="O1244" s="28"/>
      <c r="P1244" s="28"/>
      <c r="Q1244" s="28" t="s">
        <v>76</v>
      </c>
      <c r="R1244" s="29"/>
      <c r="S1244" s="28"/>
      <c r="T1244" s="28"/>
      <c r="U1244" s="28" t="s">
        <v>75</v>
      </c>
      <c r="V1244" s="28" t="s">
        <v>75</v>
      </c>
      <c r="W1244" s="28"/>
    </row>
    <row r="1245" spans="1:23" hidden="1">
      <c r="A1245" s="46" t="s">
        <v>572</v>
      </c>
      <c r="B1245" s="28" t="s">
        <v>1354</v>
      </c>
      <c r="C1245" s="42" t="s">
        <v>944</v>
      </c>
      <c r="D1245" s="43" t="s">
        <v>585</v>
      </c>
      <c r="E1245" s="40" t="s">
        <v>90</v>
      </c>
      <c r="F1245" s="38" t="s">
        <v>14</v>
      </c>
      <c r="G1245" s="38" t="s">
        <v>14</v>
      </c>
      <c r="H1245" s="37" t="s">
        <v>1358</v>
      </c>
      <c r="I1245" s="28" t="str">
        <f>VLOOKUP(F1245,표준용어사전!$B:$D,3,FALSE)</f>
        <v>연월일시분초TS</v>
      </c>
      <c r="J1245" s="33" t="s">
        <v>16</v>
      </c>
      <c r="K1245" s="34" t="s">
        <v>927</v>
      </c>
      <c r="L1245" s="29" t="s">
        <v>571</v>
      </c>
      <c r="M1245" s="29" t="s">
        <v>726</v>
      </c>
      <c r="N1245" s="32" t="s">
        <v>75</v>
      </c>
      <c r="O1245" s="31"/>
      <c r="P1245" s="31"/>
      <c r="Q1245" s="28" t="s">
        <v>76</v>
      </c>
      <c r="R1245" s="29"/>
      <c r="S1245" s="31"/>
      <c r="T1245" s="28" t="s">
        <v>574</v>
      </c>
      <c r="U1245" s="28" t="s">
        <v>75</v>
      </c>
      <c r="V1245" s="28" t="s">
        <v>75</v>
      </c>
      <c r="W1245" s="31"/>
    </row>
    <row r="1246" spans="1:23" hidden="1">
      <c r="A1246" s="46" t="s">
        <v>572</v>
      </c>
      <c r="B1246" s="28" t="s">
        <v>1354</v>
      </c>
      <c r="C1246" s="42" t="s">
        <v>944</v>
      </c>
      <c r="D1246" s="43" t="s">
        <v>585</v>
      </c>
      <c r="E1246" s="40" t="s">
        <v>91</v>
      </c>
      <c r="F1246" s="38" t="s">
        <v>369</v>
      </c>
      <c r="G1246" s="38" t="s">
        <v>369</v>
      </c>
      <c r="H1246" s="37" t="s">
        <v>1358</v>
      </c>
      <c r="I1246" s="28" t="str">
        <f>VLOOKUP(F1246,표준용어사전!$B:$D,3,FALSE)</f>
        <v>명V20</v>
      </c>
      <c r="J1246" s="33" t="s">
        <v>78</v>
      </c>
      <c r="K1246" s="34">
        <v>20</v>
      </c>
      <c r="L1246" s="29" t="s">
        <v>571</v>
      </c>
      <c r="M1246" s="29" t="s">
        <v>727</v>
      </c>
      <c r="N1246" s="32" t="s">
        <v>75</v>
      </c>
      <c r="O1246" s="31"/>
      <c r="P1246" s="31"/>
      <c r="Q1246" s="28" t="s">
        <v>76</v>
      </c>
      <c r="R1246" s="29"/>
      <c r="S1246" s="31"/>
      <c r="T1246" s="31"/>
      <c r="U1246" s="28" t="s">
        <v>75</v>
      </c>
      <c r="V1246" s="28" t="s">
        <v>75</v>
      </c>
      <c r="W1246" s="31"/>
    </row>
    <row r="1247" spans="1:23" hidden="1">
      <c r="A1247" s="46" t="s">
        <v>572</v>
      </c>
      <c r="B1247" s="28" t="s">
        <v>1354</v>
      </c>
      <c r="C1247" s="42" t="s">
        <v>944</v>
      </c>
      <c r="D1247" s="43" t="s">
        <v>585</v>
      </c>
      <c r="E1247" s="40" t="s">
        <v>92</v>
      </c>
      <c r="F1247" s="38" t="s">
        <v>15</v>
      </c>
      <c r="G1247" s="38" t="s">
        <v>15</v>
      </c>
      <c r="H1247" s="37" t="s">
        <v>1358</v>
      </c>
      <c r="I1247" s="28" t="str">
        <f>VLOOKUP(F1247,표준용어사전!$B:$D,3,FALSE)</f>
        <v>연월일시분초TS</v>
      </c>
      <c r="J1247" s="33" t="s">
        <v>16</v>
      </c>
      <c r="K1247" s="34" t="s">
        <v>927</v>
      </c>
      <c r="L1247" s="29" t="s">
        <v>571</v>
      </c>
      <c r="M1247" s="29" t="s">
        <v>726</v>
      </c>
      <c r="N1247" s="32" t="s">
        <v>75</v>
      </c>
      <c r="O1247" s="31"/>
      <c r="P1247" s="31"/>
      <c r="Q1247" s="28" t="s">
        <v>76</v>
      </c>
      <c r="R1247" s="29"/>
      <c r="S1247" s="31"/>
      <c r="T1247" s="28" t="s">
        <v>574</v>
      </c>
      <c r="U1247" s="28" t="s">
        <v>75</v>
      </c>
      <c r="V1247" s="28" t="s">
        <v>75</v>
      </c>
      <c r="W1247" s="31"/>
    </row>
    <row r="1248" spans="1:23" hidden="1">
      <c r="A1248" s="46" t="s">
        <v>572</v>
      </c>
      <c r="B1248" s="28" t="s">
        <v>1354</v>
      </c>
      <c r="C1248" s="42" t="s">
        <v>944</v>
      </c>
      <c r="D1248" s="43" t="s">
        <v>585</v>
      </c>
      <c r="E1248" s="40" t="s">
        <v>93</v>
      </c>
      <c r="F1248" s="38" t="s">
        <v>370</v>
      </c>
      <c r="G1248" s="38" t="s">
        <v>370</v>
      </c>
      <c r="H1248" s="37" t="s">
        <v>1358</v>
      </c>
      <c r="I1248" s="28" t="str">
        <f>VLOOKUP(F1248,표준용어사전!$B:$D,3,FALSE)</f>
        <v>명V20</v>
      </c>
      <c r="J1248" s="33" t="s">
        <v>78</v>
      </c>
      <c r="K1248" s="34">
        <v>20</v>
      </c>
      <c r="L1248" s="29" t="s">
        <v>571</v>
      </c>
      <c r="M1248" s="29" t="s">
        <v>727</v>
      </c>
      <c r="N1248" s="32" t="s">
        <v>75</v>
      </c>
      <c r="O1248" s="31"/>
      <c r="P1248" s="31"/>
      <c r="Q1248" s="28" t="s">
        <v>76</v>
      </c>
      <c r="R1248" s="29"/>
      <c r="S1248" s="31"/>
      <c r="T1248" s="31"/>
      <c r="U1248" s="28" t="s">
        <v>75</v>
      </c>
      <c r="V1248" s="28" t="s">
        <v>75</v>
      </c>
      <c r="W1248" s="31"/>
    </row>
    <row r="1249" spans="1:23" hidden="1">
      <c r="A1249" s="46" t="s">
        <v>572</v>
      </c>
      <c r="B1249" s="28" t="s">
        <v>1354</v>
      </c>
      <c r="C1249" s="42" t="s">
        <v>944</v>
      </c>
      <c r="D1249" s="43" t="s">
        <v>585</v>
      </c>
      <c r="E1249" s="40" t="s">
        <v>1340</v>
      </c>
      <c r="F1249" s="38" t="s">
        <v>1341</v>
      </c>
      <c r="G1249" s="38" t="s">
        <v>1341</v>
      </c>
      <c r="H1249" s="37" t="s">
        <v>1358</v>
      </c>
      <c r="I1249" s="28" t="str">
        <f>VLOOKUP(F1249,표준용어사전!$B:$D,3,FALSE)</f>
        <v>수N10,3</v>
      </c>
      <c r="J1249" s="28" t="s">
        <v>748</v>
      </c>
      <c r="K1249" s="27">
        <v>10</v>
      </c>
      <c r="L1249" s="29">
        <v>3</v>
      </c>
      <c r="M1249" s="29" t="s">
        <v>1342</v>
      </c>
      <c r="N1249" s="29" t="s">
        <v>75</v>
      </c>
      <c r="O1249" s="28"/>
      <c r="P1249" s="28"/>
      <c r="Q1249" s="28" t="s">
        <v>76</v>
      </c>
      <c r="R1249" s="29"/>
      <c r="S1249" s="28"/>
      <c r="T1249" s="28" t="s">
        <v>571</v>
      </c>
      <c r="U1249" s="28" t="s">
        <v>75</v>
      </c>
      <c r="V1249" s="28" t="s">
        <v>75</v>
      </c>
      <c r="W1249" s="28"/>
    </row>
    <row r="1250" spans="1:23" hidden="1">
      <c r="A1250" s="46" t="s">
        <v>711</v>
      </c>
      <c r="B1250" s="28" t="s">
        <v>1582</v>
      </c>
      <c r="C1250" s="28" t="s">
        <v>740</v>
      </c>
      <c r="D1250" s="28" t="s">
        <v>1583</v>
      </c>
      <c r="E1250" s="28" t="s">
        <v>295</v>
      </c>
      <c r="F1250" s="45" t="s">
        <v>1551</v>
      </c>
      <c r="G1250" s="45" t="s">
        <v>1551</v>
      </c>
      <c r="H1250" s="44" t="s">
        <v>1552</v>
      </c>
      <c r="I1250" s="28" t="str">
        <f>VLOOKUP(F1250,표준용어사전!$B:$D,3,FALSE)</f>
        <v>명V50</v>
      </c>
      <c r="J1250" s="28" t="s">
        <v>78</v>
      </c>
      <c r="K1250" s="27">
        <v>20</v>
      </c>
      <c r="L1250" s="29" t="s">
        <v>571</v>
      </c>
      <c r="M1250" s="29" t="s">
        <v>727</v>
      </c>
      <c r="N1250" s="29" t="s">
        <v>711</v>
      </c>
      <c r="O1250" s="44" t="s">
        <v>641</v>
      </c>
      <c r="P1250" s="28"/>
      <c r="Q1250" s="28"/>
      <c r="R1250" s="29"/>
      <c r="S1250" s="28"/>
      <c r="T1250" s="28"/>
      <c r="U1250" s="28" t="s">
        <v>75</v>
      </c>
      <c r="V1250" s="28" t="s">
        <v>75</v>
      </c>
      <c r="W1250" s="28"/>
    </row>
    <row r="1251" spans="1:23" hidden="1">
      <c r="A1251" s="46" t="s">
        <v>711</v>
      </c>
      <c r="B1251" s="28" t="s">
        <v>1582</v>
      </c>
      <c r="C1251" s="28" t="s">
        <v>740</v>
      </c>
      <c r="D1251" s="28" t="s">
        <v>1583</v>
      </c>
      <c r="E1251" s="28" t="s">
        <v>1570</v>
      </c>
      <c r="F1251" s="45" t="s">
        <v>1553</v>
      </c>
      <c r="G1251" s="45" t="s">
        <v>1553</v>
      </c>
      <c r="H1251" s="44" t="s">
        <v>1552</v>
      </c>
      <c r="I1251" s="28" t="str">
        <f>VLOOKUP(F1251,표준용어사전!$B:$D,3,FALSE)</f>
        <v>코드C3</v>
      </c>
      <c r="J1251" s="28" t="s">
        <v>709</v>
      </c>
      <c r="K1251" s="44">
        <v>3</v>
      </c>
      <c r="L1251" s="29" t="s">
        <v>571</v>
      </c>
      <c r="M1251" s="29" t="s">
        <v>981</v>
      </c>
      <c r="N1251" s="29" t="s">
        <v>711</v>
      </c>
      <c r="O1251" s="44"/>
      <c r="P1251" s="44"/>
      <c r="Q1251" s="44"/>
      <c r="R1251" s="32"/>
      <c r="S1251" s="44"/>
      <c r="T1251" s="44"/>
      <c r="U1251" s="28" t="s">
        <v>75</v>
      </c>
      <c r="V1251" s="28" t="s">
        <v>75</v>
      </c>
      <c r="W1251" s="44"/>
    </row>
    <row r="1252" spans="1:23" hidden="1">
      <c r="A1252" s="46" t="s">
        <v>711</v>
      </c>
      <c r="B1252" s="28" t="s">
        <v>1582</v>
      </c>
      <c r="C1252" s="28" t="s">
        <v>740</v>
      </c>
      <c r="D1252" s="28" t="s">
        <v>1583</v>
      </c>
      <c r="E1252" s="28" t="s">
        <v>1571</v>
      </c>
      <c r="F1252" s="45" t="s">
        <v>1554</v>
      </c>
      <c r="G1252" s="45" t="s">
        <v>1554</v>
      </c>
      <c r="H1252" s="44" t="s">
        <v>1552</v>
      </c>
      <c r="I1252" s="28" t="str">
        <f>VLOOKUP(F1252,표준용어사전!$B:$D,3,FALSE)</f>
        <v>명V512</v>
      </c>
      <c r="J1252" s="28" t="s">
        <v>78</v>
      </c>
      <c r="K1252" s="44">
        <v>512</v>
      </c>
      <c r="L1252" s="29" t="s">
        <v>571</v>
      </c>
      <c r="M1252" s="29" t="s">
        <v>721</v>
      </c>
      <c r="N1252" s="29" t="s">
        <v>572</v>
      </c>
      <c r="O1252" s="44"/>
      <c r="P1252" s="44"/>
      <c r="Q1252" s="44"/>
      <c r="R1252" s="32"/>
      <c r="S1252" s="44"/>
      <c r="T1252" s="44"/>
      <c r="U1252" s="28" t="s">
        <v>75</v>
      </c>
      <c r="V1252" s="28" t="s">
        <v>75</v>
      </c>
      <c r="W1252" s="44"/>
    </row>
    <row r="1253" spans="1:23" hidden="1">
      <c r="A1253" s="46" t="s">
        <v>711</v>
      </c>
      <c r="B1253" s="28" t="s">
        <v>1582</v>
      </c>
      <c r="C1253" s="28" t="s">
        <v>740</v>
      </c>
      <c r="D1253" s="28" t="s">
        <v>1583</v>
      </c>
      <c r="E1253" s="28" t="s">
        <v>1572</v>
      </c>
      <c r="F1253" s="45" t="s">
        <v>1555</v>
      </c>
      <c r="G1253" s="45" t="s">
        <v>1555</v>
      </c>
      <c r="H1253" s="44" t="s">
        <v>1552</v>
      </c>
      <c r="I1253" s="28" t="str">
        <f>VLOOKUP(F1253,표준용어사전!$B:$D,3,FALSE)</f>
        <v>내용V2000</v>
      </c>
      <c r="J1253" s="28" t="s">
        <v>78</v>
      </c>
      <c r="K1253" s="44">
        <v>2000</v>
      </c>
      <c r="L1253" s="29" t="s">
        <v>571</v>
      </c>
      <c r="M1253" s="29" t="s">
        <v>728</v>
      </c>
      <c r="N1253" s="29" t="s">
        <v>572</v>
      </c>
      <c r="O1253" s="44"/>
      <c r="P1253" s="44"/>
      <c r="Q1253" s="44"/>
      <c r="R1253" s="32"/>
      <c r="S1253" s="44"/>
      <c r="T1253" s="44"/>
      <c r="U1253" s="28" t="s">
        <v>75</v>
      </c>
      <c r="V1253" s="28" t="s">
        <v>75</v>
      </c>
      <c r="W1253" s="44"/>
    </row>
    <row r="1254" spans="1:23" hidden="1">
      <c r="A1254" s="46" t="s">
        <v>711</v>
      </c>
      <c r="B1254" s="28" t="s">
        <v>1582</v>
      </c>
      <c r="C1254" s="28" t="s">
        <v>740</v>
      </c>
      <c r="D1254" s="28" t="s">
        <v>1583</v>
      </c>
      <c r="E1254" s="28" t="s">
        <v>1573</v>
      </c>
      <c r="F1254" s="45" t="s">
        <v>1566</v>
      </c>
      <c r="G1254" s="45" t="s">
        <v>1566</v>
      </c>
      <c r="H1254" s="44" t="s">
        <v>1552</v>
      </c>
      <c r="I1254" s="28" t="e">
        <f>VLOOKUP(F1254,표준용어사전!$B:$D,3,FALSE)</f>
        <v>#N/A</v>
      </c>
      <c r="J1254" s="28" t="s">
        <v>78</v>
      </c>
      <c r="K1254" s="44">
        <v>2000</v>
      </c>
      <c r="L1254" s="29" t="s">
        <v>571</v>
      </c>
      <c r="M1254" s="29" t="s">
        <v>728</v>
      </c>
      <c r="N1254" s="29" t="s">
        <v>572</v>
      </c>
      <c r="O1254" s="44"/>
      <c r="P1254" s="44"/>
      <c r="Q1254" s="44"/>
      <c r="R1254" s="32"/>
      <c r="S1254" s="44"/>
      <c r="T1254" s="44"/>
      <c r="U1254" s="28" t="s">
        <v>75</v>
      </c>
      <c r="V1254" s="28" t="s">
        <v>75</v>
      </c>
      <c r="W1254" s="44"/>
    </row>
    <row r="1255" spans="1:23" hidden="1">
      <c r="A1255" s="46" t="s">
        <v>711</v>
      </c>
      <c r="B1255" s="28" t="s">
        <v>1582</v>
      </c>
      <c r="C1255" s="28" t="s">
        <v>740</v>
      </c>
      <c r="D1255" s="28" t="s">
        <v>1583</v>
      </c>
      <c r="E1255" s="28" t="s">
        <v>1574</v>
      </c>
      <c r="F1255" s="45" t="s">
        <v>1567</v>
      </c>
      <c r="G1255" s="45" t="s">
        <v>1567</v>
      </c>
      <c r="H1255" s="44" t="s">
        <v>1552</v>
      </c>
      <c r="I1255" s="28" t="e">
        <f>VLOOKUP(F1255,표준용어사전!$B:$D,3,FALSE)</f>
        <v>#N/A</v>
      </c>
      <c r="J1255" s="28" t="s">
        <v>78</v>
      </c>
      <c r="K1255" s="44">
        <v>2000</v>
      </c>
      <c r="L1255" s="29" t="s">
        <v>571</v>
      </c>
      <c r="M1255" s="29" t="s">
        <v>728</v>
      </c>
      <c r="N1255" s="29" t="s">
        <v>572</v>
      </c>
      <c r="O1255" s="44"/>
      <c r="P1255" s="44"/>
      <c r="Q1255" s="44"/>
      <c r="R1255" s="32"/>
      <c r="S1255" s="44"/>
      <c r="T1255" s="44"/>
      <c r="U1255" s="28" t="s">
        <v>75</v>
      </c>
      <c r="V1255" s="28" t="s">
        <v>75</v>
      </c>
      <c r="W1255" s="44"/>
    </row>
    <row r="1256" spans="1:23" hidden="1">
      <c r="A1256" s="46" t="s">
        <v>711</v>
      </c>
      <c r="B1256" s="28" t="s">
        <v>1582</v>
      </c>
      <c r="C1256" s="28" t="s">
        <v>740</v>
      </c>
      <c r="D1256" s="28" t="s">
        <v>1583</v>
      </c>
      <c r="E1256" s="28" t="s">
        <v>1575</v>
      </c>
      <c r="F1256" s="45" t="s">
        <v>1568</v>
      </c>
      <c r="G1256" s="45" t="s">
        <v>1568</v>
      </c>
      <c r="H1256" s="44" t="s">
        <v>1552</v>
      </c>
      <c r="I1256" s="28" t="e">
        <f>VLOOKUP(F1256,표준용어사전!$B:$D,3,FALSE)</f>
        <v>#N/A</v>
      </c>
      <c r="J1256" s="28" t="s">
        <v>78</v>
      </c>
      <c r="K1256" s="44">
        <v>2000</v>
      </c>
      <c r="L1256" s="29" t="s">
        <v>571</v>
      </c>
      <c r="M1256" s="29" t="s">
        <v>728</v>
      </c>
      <c r="N1256" s="29" t="s">
        <v>572</v>
      </c>
      <c r="O1256" s="44"/>
      <c r="P1256" s="44"/>
      <c r="Q1256" s="44"/>
      <c r="R1256" s="32"/>
      <c r="S1256" s="44"/>
      <c r="T1256" s="44"/>
      <c r="U1256" s="28" t="s">
        <v>75</v>
      </c>
      <c r="V1256" s="28" t="s">
        <v>75</v>
      </c>
      <c r="W1256" s="44"/>
    </row>
    <row r="1257" spans="1:23" hidden="1">
      <c r="A1257" s="46" t="s">
        <v>711</v>
      </c>
      <c r="B1257" s="28" t="s">
        <v>1582</v>
      </c>
      <c r="C1257" s="28" t="s">
        <v>740</v>
      </c>
      <c r="D1257" s="28" t="s">
        <v>1583</v>
      </c>
      <c r="E1257" s="28" t="s">
        <v>1576</v>
      </c>
      <c r="F1257" s="45" t="s">
        <v>1569</v>
      </c>
      <c r="G1257" s="45" t="s">
        <v>1569</v>
      </c>
      <c r="H1257" s="44" t="s">
        <v>1552</v>
      </c>
      <c r="I1257" s="28" t="e">
        <f>VLOOKUP(F1257,표준용어사전!$B:$D,3,FALSE)</f>
        <v>#N/A</v>
      </c>
      <c r="J1257" s="28" t="s">
        <v>78</v>
      </c>
      <c r="K1257" s="44">
        <v>2000</v>
      </c>
      <c r="L1257" s="29" t="s">
        <v>571</v>
      </c>
      <c r="M1257" s="29" t="s">
        <v>728</v>
      </c>
      <c r="N1257" s="29" t="s">
        <v>572</v>
      </c>
      <c r="O1257" s="44"/>
      <c r="P1257" s="44"/>
      <c r="Q1257" s="44"/>
      <c r="R1257" s="32"/>
      <c r="S1257" s="44"/>
      <c r="T1257" s="44"/>
      <c r="U1257" s="28" t="s">
        <v>75</v>
      </c>
      <c r="V1257" s="28" t="s">
        <v>75</v>
      </c>
      <c r="W1257" s="44"/>
    </row>
    <row r="1258" spans="1:23" hidden="1">
      <c r="A1258" s="46" t="s">
        <v>711</v>
      </c>
      <c r="B1258" s="28" t="s">
        <v>1582</v>
      </c>
      <c r="C1258" s="28" t="s">
        <v>740</v>
      </c>
      <c r="D1258" s="28" t="s">
        <v>1583</v>
      </c>
      <c r="E1258" s="28" t="s">
        <v>1577</v>
      </c>
      <c r="F1258" s="45" t="s">
        <v>1556</v>
      </c>
      <c r="G1258" s="45" t="s">
        <v>1556</v>
      </c>
      <c r="H1258" s="44" t="s">
        <v>1552</v>
      </c>
      <c r="I1258" s="28" t="e">
        <f>VLOOKUP(F1258,표준용어사전!$B:$D,3,FALSE)</f>
        <v>#N/A</v>
      </c>
      <c r="J1258" s="28" t="s">
        <v>78</v>
      </c>
      <c r="K1258" s="27">
        <v>20</v>
      </c>
      <c r="L1258" s="29" t="s">
        <v>571</v>
      </c>
      <c r="M1258" s="29" t="s">
        <v>727</v>
      </c>
      <c r="N1258" s="29" t="s">
        <v>572</v>
      </c>
      <c r="O1258" s="44"/>
      <c r="P1258" s="44"/>
      <c r="Q1258" s="44"/>
      <c r="R1258" s="32"/>
      <c r="S1258" s="44"/>
      <c r="T1258" s="44"/>
      <c r="U1258" s="28" t="s">
        <v>75</v>
      </c>
      <c r="V1258" s="28" t="s">
        <v>75</v>
      </c>
      <c r="W1258" s="44"/>
    </row>
    <row r="1259" spans="1:23" hidden="1">
      <c r="A1259" s="46" t="s">
        <v>711</v>
      </c>
      <c r="B1259" s="28" t="s">
        <v>1582</v>
      </c>
      <c r="C1259" s="28" t="s">
        <v>740</v>
      </c>
      <c r="D1259" s="28" t="s">
        <v>1583</v>
      </c>
      <c r="E1259" s="28" t="s">
        <v>1578</v>
      </c>
      <c r="F1259" s="45" t="s">
        <v>1557</v>
      </c>
      <c r="G1259" s="45" t="s">
        <v>1557</v>
      </c>
      <c r="H1259" s="44" t="s">
        <v>1552</v>
      </c>
      <c r="I1259" s="28" t="str">
        <f>VLOOKUP(F1259,표준용어사전!$B:$D,3,FALSE)</f>
        <v>명V20</v>
      </c>
      <c r="J1259" s="28" t="s">
        <v>78</v>
      </c>
      <c r="K1259" s="27">
        <v>20</v>
      </c>
      <c r="L1259" s="29" t="s">
        <v>571</v>
      </c>
      <c r="M1259" s="29" t="s">
        <v>727</v>
      </c>
      <c r="N1259" s="29" t="s">
        <v>572</v>
      </c>
      <c r="O1259" s="44"/>
      <c r="P1259" s="44"/>
      <c r="Q1259" s="44"/>
      <c r="R1259" s="32"/>
      <c r="S1259" s="44"/>
      <c r="T1259" s="44"/>
      <c r="U1259" s="28" t="s">
        <v>75</v>
      </c>
      <c r="V1259" s="28" t="s">
        <v>75</v>
      </c>
      <c r="W1259" s="44"/>
    </row>
    <row r="1260" spans="1:23" hidden="1">
      <c r="A1260" s="46" t="s">
        <v>711</v>
      </c>
      <c r="B1260" s="28" t="s">
        <v>1582</v>
      </c>
      <c r="C1260" s="28" t="s">
        <v>740</v>
      </c>
      <c r="D1260" s="28" t="s">
        <v>1583</v>
      </c>
      <c r="E1260" s="28" t="s">
        <v>89</v>
      </c>
      <c r="F1260" s="45" t="s">
        <v>760</v>
      </c>
      <c r="G1260" s="45" t="s">
        <v>760</v>
      </c>
      <c r="H1260" s="44" t="s">
        <v>1552</v>
      </c>
      <c r="I1260" s="28" t="str">
        <f>VLOOKUP(F1260,표준용어사전!$B:$D,3,FALSE)</f>
        <v>명V20</v>
      </c>
      <c r="J1260" s="28" t="s">
        <v>78</v>
      </c>
      <c r="K1260" s="27">
        <v>50</v>
      </c>
      <c r="L1260" s="29" t="s">
        <v>571</v>
      </c>
      <c r="M1260" s="29" t="s">
        <v>727</v>
      </c>
      <c r="N1260" s="29" t="s">
        <v>711</v>
      </c>
      <c r="O1260" s="44"/>
      <c r="P1260" s="44"/>
      <c r="Q1260" s="44"/>
      <c r="R1260" s="32"/>
      <c r="S1260" s="44"/>
      <c r="T1260" s="44"/>
      <c r="U1260" s="28" t="s">
        <v>75</v>
      </c>
      <c r="V1260" s="28" t="s">
        <v>75</v>
      </c>
      <c r="W1260" s="44"/>
    </row>
    <row r="1261" spans="1:23" hidden="1">
      <c r="A1261" s="46" t="s">
        <v>711</v>
      </c>
      <c r="B1261" s="28" t="s">
        <v>1582</v>
      </c>
      <c r="C1261" s="28" t="s">
        <v>740</v>
      </c>
      <c r="D1261" s="28" t="s">
        <v>1583</v>
      </c>
      <c r="E1261" s="28" t="s">
        <v>1579</v>
      </c>
      <c r="F1261" s="45" t="s">
        <v>1558</v>
      </c>
      <c r="G1261" s="45" t="s">
        <v>1558</v>
      </c>
      <c r="H1261" s="44" t="s">
        <v>1552</v>
      </c>
      <c r="I1261" s="28" t="str">
        <f>VLOOKUP(F1261,표준용어사전!$B:$D,3,FALSE)</f>
        <v>코드C3</v>
      </c>
      <c r="J1261" s="28" t="s">
        <v>709</v>
      </c>
      <c r="K1261" s="44">
        <v>1</v>
      </c>
      <c r="L1261" s="29" t="s">
        <v>571</v>
      </c>
      <c r="M1261" s="29" t="s">
        <v>722</v>
      </c>
      <c r="N1261" s="29" t="s">
        <v>711</v>
      </c>
      <c r="O1261" s="44"/>
      <c r="P1261" s="44"/>
      <c r="Q1261" s="44"/>
      <c r="R1261" s="32"/>
      <c r="S1261" s="44"/>
      <c r="T1261" s="44"/>
      <c r="U1261" s="28" t="s">
        <v>75</v>
      </c>
      <c r="V1261" s="28" t="s">
        <v>75</v>
      </c>
      <c r="W1261" s="44"/>
    </row>
    <row r="1262" spans="1:23" hidden="1">
      <c r="A1262" s="46" t="s">
        <v>711</v>
      </c>
      <c r="B1262" s="28" t="s">
        <v>1582</v>
      </c>
      <c r="C1262" s="28" t="s">
        <v>740</v>
      </c>
      <c r="D1262" s="28" t="s">
        <v>1583</v>
      </c>
      <c r="E1262" s="28" t="s">
        <v>91</v>
      </c>
      <c r="F1262" s="45" t="s">
        <v>1559</v>
      </c>
      <c r="G1262" s="45" t="s">
        <v>1559</v>
      </c>
      <c r="H1262" s="44" t="s">
        <v>1552</v>
      </c>
      <c r="I1262" s="28" t="str">
        <f>VLOOKUP(F1262,표준용어사전!$B:$D,3,FALSE)</f>
        <v>명V20</v>
      </c>
      <c r="J1262" s="33" t="s">
        <v>78</v>
      </c>
      <c r="K1262" s="34">
        <v>20</v>
      </c>
      <c r="L1262" s="29" t="s">
        <v>571</v>
      </c>
      <c r="M1262" s="29" t="s">
        <v>727</v>
      </c>
      <c r="N1262" s="32" t="s">
        <v>75</v>
      </c>
      <c r="O1262" s="44"/>
      <c r="P1262" s="44"/>
      <c r="Q1262" s="44"/>
      <c r="R1262" s="32"/>
      <c r="S1262" s="44"/>
      <c r="T1262" s="44"/>
      <c r="U1262" s="28" t="s">
        <v>75</v>
      </c>
      <c r="V1262" s="28" t="s">
        <v>75</v>
      </c>
      <c r="W1262" s="44"/>
    </row>
    <row r="1263" spans="1:23" hidden="1">
      <c r="A1263" s="46" t="s">
        <v>711</v>
      </c>
      <c r="B1263" s="28" t="s">
        <v>1582</v>
      </c>
      <c r="C1263" s="28" t="s">
        <v>740</v>
      </c>
      <c r="D1263" s="28" t="s">
        <v>1583</v>
      </c>
      <c r="E1263" s="28" t="s">
        <v>90</v>
      </c>
      <c r="F1263" s="45" t="s">
        <v>1425</v>
      </c>
      <c r="G1263" s="45" t="s">
        <v>1425</v>
      </c>
      <c r="H1263" s="44" t="s">
        <v>1552</v>
      </c>
      <c r="I1263" s="28" t="str">
        <f>VLOOKUP(F1263,표준용어사전!$B:$D,3,FALSE)</f>
        <v>연월일시분초TS</v>
      </c>
      <c r="J1263" s="33" t="s">
        <v>16</v>
      </c>
      <c r="K1263" s="34" t="s">
        <v>927</v>
      </c>
      <c r="L1263" s="29" t="s">
        <v>571</v>
      </c>
      <c r="M1263" s="29" t="s">
        <v>726</v>
      </c>
      <c r="N1263" s="29" t="s">
        <v>711</v>
      </c>
      <c r="O1263" s="44"/>
      <c r="P1263" s="44"/>
      <c r="Q1263" s="44"/>
      <c r="R1263" s="32"/>
      <c r="S1263" s="44"/>
      <c r="T1263" s="28" t="s">
        <v>574</v>
      </c>
      <c r="U1263" s="28" t="s">
        <v>75</v>
      </c>
      <c r="V1263" s="28" t="s">
        <v>75</v>
      </c>
      <c r="W1263" s="44"/>
    </row>
    <row r="1264" spans="1:23" hidden="1">
      <c r="A1264" s="46" t="s">
        <v>711</v>
      </c>
      <c r="B1264" s="28" t="s">
        <v>1582</v>
      </c>
      <c r="C1264" s="28" t="s">
        <v>740</v>
      </c>
      <c r="D1264" s="28" t="s">
        <v>1583</v>
      </c>
      <c r="E1264" s="28" t="s">
        <v>92</v>
      </c>
      <c r="F1264" s="45" t="s">
        <v>1411</v>
      </c>
      <c r="G1264" s="45" t="s">
        <v>1411</v>
      </c>
      <c r="H1264" s="44" t="s">
        <v>1552</v>
      </c>
      <c r="I1264" s="28" t="str">
        <f>VLOOKUP(F1264,표준용어사전!$B:$D,3,FALSE)</f>
        <v>연월일시분초TS</v>
      </c>
      <c r="J1264" s="33" t="s">
        <v>16</v>
      </c>
      <c r="K1264" s="34" t="s">
        <v>927</v>
      </c>
      <c r="L1264" s="29" t="s">
        <v>571</v>
      </c>
      <c r="M1264" s="29" t="s">
        <v>726</v>
      </c>
      <c r="N1264" s="32" t="s">
        <v>75</v>
      </c>
      <c r="O1264" s="44"/>
      <c r="P1264" s="44"/>
      <c r="Q1264" s="44"/>
      <c r="R1264" s="32"/>
      <c r="S1264" s="44"/>
      <c r="T1264" s="28" t="s">
        <v>574</v>
      </c>
      <c r="U1264" s="28" t="s">
        <v>75</v>
      </c>
      <c r="V1264" s="28" t="s">
        <v>75</v>
      </c>
      <c r="W1264" s="44"/>
    </row>
    <row r="1265" spans="1:23" hidden="1">
      <c r="A1265" s="46" t="s">
        <v>711</v>
      </c>
      <c r="B1265" s="28" t="s">
        <v>1582</v>
      </c>
      <c r="C1265" s="28" t="s">
        <v>740</v>
      </c>
      <c r="D1265" s="28" t="s">
        <v>1583</v>
      </c>
      <c r="E1265" s="28" t="s">
        <v>93</v>
      </c>
      <c r="F1265" s="45" t="s">
        <v>1560</v>
      </c>
      <c r="G1265" s="45" t="s">
        <v>1560</v>
      </c>
      <c r="H1265" s="44" t="s">
        <v>1552</v>
      </c>
      <c r="I1265" s="28" t="str">
        <f>VLOOKUP(F1265,표준용어사전!$B:$D,3,FALSE)</f>
        <v>명V20</v>
      </c>
      <c r="J1265" s="33" t="s">
        <v>78</v>
      </c>
      <c r="K1265" s="34">
        <v>20</v>
      </c>
      <c r="L1265" s="29" t="s">
        <v>571</v>
      </c>
      <c r="M1265" s="29" t="s">
        <v>727</v>
      </c>
      <c r="N1265" s="32" t="s">
        <v>75</v>
      </c>
      <c r="O1265" s="44"/>
      <c r="P1265" s="44"/>
      <c r="Q1265" s="44"/>
      <c r="R1265" s="32"/>
      <c r="S1265" s="44"/>
      <c r="T1265" s="44"/>
      <c r="U1265" s="28" t="s">
        <v>75</v>
      </c>
      <c r="V1265" s="28" t="s">
        <v>75</v>
      </c>
      <c r="W1265" s="44"/>
    </row>
    <row r="1266" spans="1:23" hidden="1">
      <c r="A1266" s="46" t="s">
        <v>711</v>
      </c>
      <c r="B1266" s="28" t="s">
        <v>1582</v>
      </c>
      <c r="C1266" s="28" t="s">
        <v>740</v>
      </c>
      <c r="D1266" s="44" t="s">
        <v>1584</v>
      </c>
      <c r="E1266" s="44" t="s">
        <v>295</v>
      </c>
      <c r="F1266" s="45" t="s">
        <v>1551</v>
      </c>
      <c r="G1266" s="45" t="s">
        <v>1551</v>
      </c>
      <c r="H1266" s="44" t="s">
        <v>1594</v>
      </c>
      <c r="I1266" s="28" t="str">
        <f>VLOOKUP(F1266,표준용어사전!$B:$D,3,FALSE)</f>
        <v>명V50</v>
      </c>
      <c r="J1266" s="28" t="s">
        <v>78</v>
      </c>
      <c r="K1266" s="27">
        <v>20</v>
      </c>
      <c r="L1266" s="29" t="s">
        <v>571</v>
      </c>
      <c r="M1266" s="29" t="s">
        <v>727</v>
      </c>
      <c r="N1266" s="29" t="s">
        <v>711</v>
      </c>
      <c r="O1266" s="44" t="s">
        <v>641</v>
      </c>
      <c r="P1266" s="44"/>
      <c r="Q1266" s="44"/>
      <c r="R1266" s="32"/>
      <c r="S1266" s="44"/>
      <c r="T1266" s="44"/>
      <c r="U1266" s="28" t="s">
        <v>75</v>
      </c>
      <c r="V1266" s="28" t="s">
        <v>75</v>
      </c>
      <c r="W1266" s="44"/>
    </row>
    <row r="1267" spans="1:23" hidden="1">
      <c r="A1267" s="46" t="s">
        <v>711</v>
      </c>
      <c r="B1267" s="28" t="s">
        <v>1582</v>
      </c>
      <c r="C1267" s="28" t="s">
        <v>740</v>
      </c>
      <c r="D1267" s="44" t="s">
        <v>1584</v>
      </c>
      <c r="E1267" s="44" t="s">
        <v>1580</v>
      </c>
      <c r="F1267" s="45" t="s">
        <v>1595</v>
      </c>
      <c r="G1267" s="45" t="s">
        <v>1595</v>
      </c>
      <c r="H1267" s="44" t="s">
        <v>1594</v>
      </c>
      <c r="I1267" s="28" t="e">
        <f>VLOOKUP(F1267,표준용어사전!$B:$D,3,FALSE)</f>
        <v>#N/A</v>
      </c>
      <c r="J1267" s="28" t="s">
        <v>78</v>
      </c>
      <c r="K1267" s="27">
        <v>2000</v>
      </c>
      <c r="L1267" s="29" t="s">
        <v>571</v>
      </c>
      <c r="M1267" s="29" t="s">
        <v>728</v>
      </c>
      <c r="N1267" s="29" t="s">
        <v>711</v>
      </c>
      <c r="O1267" s="44" t="s">
        <v>573</v>
      </c>
      <c r="P1267" s="44"/>
      <c r="Q1267" s="44"/>
      <c r="R1267" s="32"/>
      <c r="S1267" s="44"/>
      <c r="T1267" s="44"/>
      <c r="U1267" s="28" t="s">
        <v>75</v>
      </c>
      <c r="V1267" s="28" t="s">
        <v>75</v>
      </c>
      <c r="W1267" s="44"/>
    </row>
    <row r="1268" spans="1:23" hidden="1">
      <c r="A1268" s="46" t="s">
        <v>711</v>
      </c>
      <c r="B1268" s="28" t="s">
        <v>1582</v>
      </c>
      <c r="C1268" s="28" t="s">
        <v>740</v>
      </c>
      <c r="D1268" s="44" t="s">
        <v>1584</v>
      </c>
      <c r="E1268" s="44" t="s">
        <v>91</v>
      </c>
      <c r="F1268" s="45" t="s">
        <v>1559</v>
      </c>
      <c r="G1268" s="45" t="s">
        <v>1559</v>
      </c>
      <c r="H1268" s="44" t="s">
        <v>1594</v>
      </c>
      <c r="I1268" s="28" t="str">
        <f>VLOOKUP(F1268,표준용어사전!$B:$D,3,FALSE)</f>
        <v>명V20</v>
      </c>
      <c r="J1268" s="33" t="s">
        <v>78</v>
      </c>
      <c r="K1268" s="34">
        <v>20</v>
      </c>
      <c r="L1268" s="29" t="s">
        <v>571</v>
      </c>
      <c r="M1268" s="29" t="s">
        <v>727</v>
      </c>
      <c r="N1268" s="32" t="s">
        <v>75</v>
      </c>
      <c r="O1268" s="44"/>
      <c r="P1268" s="44"/>
      <c r="Q1268" s="44"/>
      <c r="R1268" s="32"/>
      <c r="S1268" s="44"/>
      <c r="T1268" s="44"/>
      <c r="U1268" s="28" t="s">
        <v>75</v>
      </c>
      <c r="V1268" s="28" t="s">
        <v>75</v>
      </c>
      <c r="W1268" s="44"/>
    </row>
    <row r="1269" spans="1:23" hidden="1">
      <c r="A1269" s="46" t="s">
        <v>711</v>
      </c>
      <c r="B1269" s="28" t="s">
        <v>1582</v>
      </c>
      <c r="C1269" s="28" t="s">
        <v>740</v>
      </c>
      <c r="D1269" s="44" t="s">
        <v>1584</v>
      </c>
      <c r="E1269" s="44" t="s">
        <v>90</v>
      </c>
      <c r="F1269" s="45" t="s">
        <v>1425</v>
      </c>
      <c r="G1269" s="45" t="s">
        <v>1425</v>
      </c>
      <c r="H1269" s="44" t="s">
        <v>1594</v>
      </c>
      <c r="I1269" s="28" t="str">
        <f>VLOOKUP(F1269,표준용어사전!$B:$D,3,FALSE)</f>
        <v>연월일시분초TS</v>
      </c>
      <c r="J1269" s="33" t="s">
        <v>16</v>
      </c>
      <c r="K1269" s="34" t="s">
        <v>927</v>
      </c>
      <c r="L1269" s="29" t="s">
        <v>571</v>
      </c>
      <c r="M1269" s="29" t="s">
        <v>726</v>
      </c>
      <c r="N1269" s="29" t="s">
        <v>711</v>
      </c>
      <c r="O1269" s="44"/>
      <c r="P1269" s="44"/>
      <c r="Q1269" s="44"/>
      <c r="R1269" s="32"/>
      <c r="S1269" s="44"/>
      <c r="T1269" s="28" t="s">
        <v>574</v>
      </c>
      <c r="U1269" s="28" t="s">
        <v>75</v>
      </c>
      <c r="V1269" s="28" t="s">
        <v>75</v>
      </c>
      <c r="W1269" s="44"/>
    </row>
    <row r="1270" spans="1:23" hidden="1">
      <c r="A1270" s="46" t="s">
        <v>711</v>
      </c>
      <c r="B1270" s="28" t="s">
        <v>1582</v>
      </c>
      <c r="C1270" s="28" t="s">
        <v>740</v>
      </c>
      <c r="D1270" s="28" t="s">
        <v>1585</v>
      </c>
      <c r="E1270" s="28" t="s">
        <v>295</v>
      </c>
      <c r="F1270" s="45" t="s">
        <v>1551</v>
      </c>
      <c r="G1270" s="45" t="s">
        <v>1551</v>
      </c>
      <c r="H1270" s="44" t="s">
        <v>1561</v>
      </c>
      <c r="I1270" s="28" t="str">
        <f>VLOOKUP(F1270,표준용어사전!$B:$D,3,FALSE)</f>
        <v>명V50</v>
      </c>
      <c r="J1270" s="33" t="s">
        <v>78</v>
      </c>
      <c r="K1270" s="34">
        <v>20</v>
      </c>
      <c r="L1270" s="29" t="s">
        <v>571</v>
      </c>
      <c r="M1270" s="29" t="s">
        <v>727</v>
      </c>
      <c r="N1270" s="29" t="s">
        <v>711</v>
      </c>
      <c r="O1270" s="44" t="s">
        <v>641</v>
      </c>
      <c r="P1270" s="44"/>
      <c r="Q1270" s="44"/>
      <c r="R1270" s="32"/>
      <c r="S1270" s="44"/>
      <c r="T1270" s="44"/>
      <c r="U1270" s="28" t="s">
        <v>75</v>
      </c>
      <c r="V1270" s="28" t="s">
        <v>75</v>
      </c>
      <c r="W1270" s="44"/>
    </row>
    <row r="1271" spans="1:23" hidden="1">
      <c r="A1271" s="46" t="s">
        <v>711</v>
      </c>
      <c r="B1271" s="28" t="s">
        <v>1582</v>
      </c>
      <c r="C1271" s="28" t="s">
        <v>740</v>
      </c>
      <c r="D1271" s="28" t="s">
        <v>1585</v>
      </c>
      <c r="E1271" s="28" t="s">
        <v>1581</v>
      </c>
      <c r="F1271" s="45" t="s">
        <v>1562</v>
      </c>
      <c r="G1271" s="45" t="s">
        <v>1562</v>
      </c>
      <c r="H1271" s="44" t="s">
        <v>1561</v>
      </c>
      <c r="I1271" s="28" t="str">
        <f>VLOOKUP(F1271,표준용어사전!$B:$D,3,FALSE)</f>
        <v>명V20</v>
      </c>
      <c r="J1271" s="33" t="s">
        <v>78</v>
      </c>
      <c r="K1271" s="34">
        <v>20</v>
      </c>
      <c r="L1271" s="29" t="s">
        <v>571</v>
      </c>
      <c r="M1271" s="29" t="s">
        <v>727</v>
      </c>
      <c r="N1271" s="29" t="s">
        <v>711</v>
      </c>
      <c r="O1271" s="44" t="s">
        <v>573</v>
      </c>
      <c r="P1271" s="44"/>
      <c r="Q1271" s="44"/>
      <c r="R1271" s="32"/>
      <c r="S1271" s="44"/>
      <c r="T1271" s="44"/>
      <c r="U1271" s="28" t="s">
        <v>75</v>
      </c>
      <c r="V1271" s="28" t="s">
        <v>75</v>
      </c>
      <c r="W1271" s="44"/>
    </row>
    <row r="1272" spans="1:23" hidden="1">
      <c r="A1272" s="46" t="s">
        <v>711</v>
      </c>
      <c r="B1272" s="28" t="s">
        <v>1582</v>
      </c>
      <c r="C1272" s="28" t="s">
        <v>740</v>
      </c>
      <c r="D1272" s="28" t="s">
        <v>1585</v>
      </c>
      <c r="E1272" s="28" t="s">
        <v>91</v>
      </c>
      <c r="F1272" s="45" t="s">
        <v>1559</v>
      </c>
      <c r="G1272" s="45" t="s">
        <v>1559</v>
      </c>
      <c r="H1272" s="44" t="s">
        <v>1561</v>
      </c>
      <c r="I1272" s="28" t="str">
        <f>VLOOKUP(F1272,표준용어사전!$B:$D,3,FALSE)</f>
        <v>명V20</v>
      </c>
      <c r="J1272" s="33" t="s">
        <v>78</v>
      </c>
      <c r="K1272" s="34">
        <v>20</v>
      </c>
      <c r="L1272" s="29" t="s">
        <v>571</v>
      </c>
      <c r="M1272" s="29" t="s">
        <v>727</v>
      </c>
      <c r="N1272" s="32" t="s">
        <v>75</v>
      </c>
      <c r="O1272" s="44"/>
      <c r="P1272" s="44"/>
      <c r="Q1272" s="44"/>
      <c r="R1272" s="32"/>
      <c r="S1272" s="44"/>
      <c r="T1272" s="44"/>
      <c r="U1272" s="28" t="s">
        <v>75</v>
      </c>
      <c r="V1272" s="28" t="s">
        <v>75</v>
      </c>
      <c r="W1272" s="44"/>
    </row>
    <row r="1273" spans="1:23" hidden="1">
      <c r="A1273" s="46" t="s">
        <v>711</v>
      </c>
      <c r="B1273" s="28" t="s">
        <v>1582</v>
      </c>
      <c r="C1273" s="28" t="s">
        <v>740</v>
      </c>
      <c r="D1273" s="28" t="s">
        <v>1585</v>
      </c>
      <c r="E1273" s="28" t="s">
        <v>90</v>
      </c>
      <c r="F1273" s="45" t="s">
        <v>1425</v>
      </c>
      <c r="G1273" s="45" t="s">
        <v>1425</v>
      </c>
      <c r="H1273" s="44" t="s">
        <v>1561</v>
      </c>
      <c r="I1273" s="28" t="str">
        <f>VLOOKUP(F1273,표준용어사전!$B:$D,3,FALSE)</f>
        <v>연월일시분초TS</v>
      </c>
      <c r="J1273" s="33" t="s">
        <v>16</v>
      </c>
      <c r="K1273" s="34" t="s">
        <v>927</v>
      </c>
      <c r="L1273" s="29" t="s">
        <v>571</v>
      </c>
      <c r="M1273" s="29" t="s">
        <v>726</v>
      </c>
      <c r="N1273" s="29" t="s">
        <v>711</v>
      </c>
      <c r="O1273" s="44"/>
      <c r="P1273" s="44"/>
      <c r="Q1273" s="44"/>
      <c r="R1273" s="32"/>
      <c r="S1273" s="44"/>
      <c r="T1273" s="28" t="s">
        <v>574</v>
      </c>
      <c r="U1273" s="28" t="s">
        <v>75</v>
      </c>
      <c r="V1273" s="28" t="s">
        <v>75</v>
      </c>
      <c r="W1273" s="44"/>
    </row>
    <row r="1274" spans="1:23" hidden="1">
      <c r="A1274" s="46" t="s">
        <v>711</v>
      </c>
      <c r="B1274" s="28" t="s">
        <v>1582</v>
      </c>
      <c r="C1274" s="28" t="s">
        <v>740</v>
      </c>
      <c r="D1274" s="28" t="s">
        <v>1586</v>
      </c>
      <c r="E1274" s="28" t="s">
        <v>1581</v>
      </c>
      <c r="F1274" s="45" t="s">
        <v>1562</v>
      </c>
      <c r="G1274" s="45" t="s">
        <v>1562</v>
      </c>
      <c r="H1274" s="44" t="s">
        <v>1563</v>
      </c>
      <c r="I1274" s="28" t="str">
        <f>VLOOKUP(F1274,표준용어사전!$B:$D,3,FALSE)</f>
        <v>명V20</v>
      </c>
      <c r="J1274" s="33" t="s">
        <v>78</v>
      </c>
      <c r="K1274" s="34">
        <v>20</v>
      </c>
      <c r="L1274" s="29" t="s">
        <v>571</v>
      </c>
      <c r="M1274" s="29" t="s">
        <v>727</v>
      </c>
      <c r="N1274" s="29" t="s">
        <v>711</v>
      </c>
      <c r="O1274" s="44" t="s">
        <v>641</v>
      </c>
      <c r="P1274" s="44"/>
      <c r="Q1274" s="44"/>
      <c r="R1274" s="32"/>
      <c r="S1274" s="44"/>
      <c r="T1274" s="44"/>
      <c r="U1274" s="28" t="s">
        <v>75</v>
      </c>
      <c r="V1274" s="28" t="s">
        <v>75</v>
      </c>
      <c r="W1274" s="44"/>
    </row>
    <row r="1275" spans="1:23" hidden="1">
      <c r="A1275" s="46" t="s">
        <v>711</v>
      </c>
      <c r="B1275" s="28" t="s">
        <v>1582</v>
      </c>
      <c r="C1275" s="28" t="s">
        <v>740</v>
      </c>
      <c r="D1275" s="28" t="s">
        <v>1586</v>
      </c>
      <c r="E1275" s="28" t="s">
        <v>1629</v>
      </c>
      <c r="F1275" s="45" t="s">
        <v>1630</v>
      </c>
      <c r="G1275" s="45" t="s">
        <v>1630</v>
      </c>
      <c r="H1275" s="44" t="s">
        <v>1563</v>
      </c>
      <c r="I1275" s="28" t="str">
        <f>VLOOKUP(F1275,표준용어사전!$B:$D,3,FALSE)</f>
        <v>명V256</v>
      </c>
      <c r="J1275" s="28" t="s">
        <v>78</v>
      </c>
      <c r="K1275" s="34">
        <v>256</v>
      </c>
      <c r="L1275" s="29" t="s">
        <v>571</v>
      </c>
      <c r="M1275" s="29" t="s">
        <v>730</v>
      </c>
      <c r="N1275" s="29" t="s">
        <v>75</v>
      </c>
      <c r="O1275" s="44"/>
      <c r="P1275" s="44"/>
      <c r="Q1275" s="44"/>
      <c r="R1275" s="32"/>
      <c r="S1275" s="44"/>
      <c r="T1275" s="44"/>
      <c r="U1275" s="28" t="s">
        <v>75</v>
      </c>
      <c r="V1275" s="28" t="s">
        <v>75</v>
      </c>
      <c r="W1275" s="44"/>
    </row>
    <row r="1276" spans="1:23" hidden="1">
      <c r="A1276" s="46" t="s">
        <v>711</v>
      </c>
      <c r="B1276" s="28" t="s">
        <v>1582</v>
      </c>
      <c r="C1276" s="28" t="s">
        <v>740</v>
      </c>
      <c r="D1276" s="28" t="s">
        <v>1586</v>
      </c>
      <c r="E1276" s="28" t="s">
        <v>91</v>
      </c>
      <c r="F1276" s="45" t="s">
        <v>1559</v>
      </c>
      <c r="G1276" s="45" t="s">
        <v>1559</v>
      </c>
      <c r="H1276" s="44" t="s">
        <v>1563</v>
      </c>
      <c r="I1276" s="28" t="str">
        <f>VLOOKUP(F1276,표준용어사전!$B:$D,3,FALSE)</f>
        <v>명V20</v>
      </c>
      <c r="J1276" s="33" t="s">
        <v>78</v>
      </c>
      <c r="K1276" s="34">
        <v>20</v>
      </c>
      <c r="L1276" s="29" t="s">
        <v>571</v>
      </c>
      <c r="M1276" s="29" t="s">
        <v>727</v>
      </c>
      <c r="N1276" s="32" t="s">
        <v>75</v>
      </c>
      <c r="O1276" s="44"/>
      <c r="P1276" s="44"/>
      <c r="Q1276" s="44"/>
      <c r="R1276" s="32"/>
      <c r="S1276" s="44"/>
      <c r="T1276" s="44"/>
      <c r="U1276" s="28" t="s">
        <v>75</v>
      </c>
      <c r="V1276" s="28" t="s">
        <v>75</v>
      </c>
      <c r="W1276" s="44"/>
    </row>
    <row r="1277" spans="1:23" hidden="1">
      <c r="A1277" s="46" t="s">
        <v>711</v>
      </c>
      <c r="B1277" s="28" t="s">
        <v>1582</v>
      </c>
      <c r="C1277" s="28" t="s">
        <v>740</v>
      </c>
      <c r="D1277" s="28" t="s">
        <v>1586</v>
      </c>
      <c r="E1277" s="28" t="s">
        <v>90</v>
      </c>
      <c r="F1277" s="45" t="s">
        <v>1425</v>
      </c>
      <c r="G1277" s="45" t="s">
        <v>1425</v>
      </c>
      <c r="H1277" s="44" t="s">
        <v>1563</v>
      </c>
      <c r="I1277" s="28" t="str">
        <f>VLOOKUP(F1277,표준용어사전!$B:$D,3,FALSE)</f>
        <v>연월일시분초TS</v>
      </c>
      <c r="J1277" s="33" t="s">
        <v>16</v>
      </c>
      <c r="K1277" s="34" t="s">
        <v>927</v>
      </c>
      <c r="L1277" s="29" t="s">
        <v>571</v>
      </c>
      <c r="M1277" s="29" t="s">
        <v>726</v>
      </c>
      <c r="N1277" s="29" t="s">
        <v>711</v>
      </c>
      <c r="O1277" s="44"/>
      <c r="P1277" s="44"/>
      <c r="Q1277" s="44"/>
      <c r="R1277" s="32"/>
      <c r="S1277" s="44"/>
      <c r="T1277" s="28" t="s">
        <v>574</v>
      </c>
      <c r="U1277" s="28" t="s">
        <v>75</v>
      </c>
      <c r="V1277" s="28" t="s">
        <v>75</v>
      </c>
      <c r="W1277" s="44"/>
    </row>
    <row r="1278" spans="1:23" hidden="1">
      <c r="A1278" s="46" t="s">
        <v>711</v>
      </c>
      <c r="B1278" s="28" t="s">
        <v>1582</v>
      </c>
      <c r="C1278" s="28" t="s">
        <v>740</v>
      </c>
      <c r="D1278" s="28" t="s">
        <v>1587</v>
      </c>
      <c r="E1278" s="28" t="s">
        <v>295</v>
      </c>
      <c r="F1278" s="45" t="s">
        <v>1551</v>
      </c>
      <c r="G1278" s="45" t="s">
        <v>1551</v>
      </c>
      <c r="H1278" s="44" t="s">
        <v>1564</v>
      </c>
      <c r="I1278" s="28" t="str">
        <f>VLOOKUP(F1278,표준용어사전!$B:$D,3,FALSE)</f>
        <v>명V50</v>
      </c>
      <c r="J1278" s="33" t="s">
        <v>78</v>
      </c>
      <c r="K1278" s="34">
        <v>20</v>
      </c>
      <c r="L1278" s="29" t="s">
        <v>571</v>
      </c>
      <c r="M1278" s="29" t="s">
        <v>727</v>
      </c>
      <c r="N1278" s="29" t="s">
        <v>711</v>
      </c>
      <c r="O1278" s="44" t="s">
        <v>641</v>
      </c>
      <c r="P1278" s="44"/>
      <c r="Q1278" s="44"/>
      <c r="R1278" s="32"/>
      <c r="S1278" s="44"/>
      <c r="T1278" s="44"/>
      <c r="U1278" s="28" t="s">
        <v>75</v>
      </c>
      <c r="V1278" s="28" t="s">
        <v>75</v>
      </c>
      <c r="W1278" s="44"/>
    </row>
    <row r="1279" spans="1:23" hidden="1">
      <c r="A1279" s="46" t="s">
        <v>711</v>
      </c>
      <c r="B1279" s="28" t="s">
        <v>1582</v>
      </c>
      <c r="C1279" s="28" t="s">
        <v>740</v>
      </c>
      <c r="D1279" s="28" t="s">
        <v>1587</v>
      </c>
      <c r="E1279" s="28" t="s">
        <v>593</v>
      </c>
      <c r="F1279" s="28" t="s">
        <v>896</v>
      </c>
      <c r="G1279" s="38" t="s">
        <v>738</v>
      </c>
      <c r="H1279" s="44" t="s">
        <v>1564</v>
      </c>
      <c r="I1279" s="28" t="str">
        <f>VLOOKUP(F1279,표준용어사전!$B:$D,3,FALSE)</f>
        <v>코드C4</v>
      </c>
      <c r="J1279" s="28" t="s">
        <v>709</v>
      </c>
      <c r="K1279" s="27">
        <v>50</v>
      </c>
      <c r="L1279" s="29" t="s">
        <v>927</v>
      </c>
      <c r="M1279" s="29" t="s">
        <v>725</v>
      </c>
      <c r="N1279" s="29" t="s">
        <v>711</v>
      </c>
      <c r="O1279" s="44" t="s">
        <v>573</v>
      </c>
      <c r="P1279" s="44"/>
      <c r="Q1279" s="44"/>
      <c r="R1279" s="32"/>
      <c r="S1279" s="44"/>
      <c r="T1279" s="44"/>
      <c r="U1279" s="28" t="s">
        <v>75</v>
      </c>
      <c r="V1279" s="28" t="s">
        <v>75</v>
      </c>
      <c r="W1279" s="44"/>
    </row>
    <row r="1280" spans="1:23" hidden="1">
      <c r="A1280" s="46" t="s">
        <v>711</v>
      </c>
      <c r="B1280" s="28" t="s">
        <v>1582</v>
      </c>
      <c r="C1280" s="28" t="s">
        <v>740</v>
      </c>
      <c r="D1280" s="28" t="s">
        <v>1587</v>
      </c>
      <c r="E1280" s="28" t="s">
        <v>578</v>
      </c>
      <c r="F1280" s="45" t="s">
        <v>1565</v>
      </c>
      <c r="G1280" s="45" t="s">
        <v>1565</v>
      </c>
      <c r="H1280" s="44" t="s">
        <v>1564</v>
      </c>
      <c r="I1280" s="28" t="str">
        <f>VLOOKUP(F1280,표준용어사전!$B:$D,3,FALSE)</f>
        <v>명V20</v>
      </c>
      <c r="J1280" s="28" t="s">
        <v>78</v>
      </c>
      <c r="K1280" s="27">
        <v>20</v>
      </c>
      <c r="L1280" s="29" t="s">
        <v>571</v>
      </c>
      <c r="M1280" s="29" t="s">
        <v>727</v>
      </c>
      <c r="N1280" s="29" t="s">
        <v>711</v>
      </c>
      <c r="O1280" s="44" t="s">
        <v>754</v>
      </c>
      <c r="P1280" s="44"/>
      <c r="Q1280" s="44"/>
      <c r="R1280" s="32"/>
      <c r="S1280" s="44"/>
      <c r="T1280" s="44"/>
      <c r="U1280" s="28" t="s">
        <v>75</v>
      </c>
      <c r="V1280" s="28" t="s">
        <v>75</v>
      </c>
      <c r="W1280" s="44"/>
    </row>
    <row r="1281" spans="1:23" hidden="1">
      <c r="A1281" s="46" t="s">
        <v>711</v>
      </c>
      <c r="B1281" s="28" t="s">
        <v>1582</v>
      </c>
      <c r="C1281" s="28" t="s">
        <v>740</v>
      </c>
      <c r="D1281" s="28" t="s">
        <v>1587</v>
      </c>
      <c r="E1281" s="28" t="s">
        <v>91</v>
      </c>
      <c r="F1281" s="45" t="s">
        <v>369</v>
      </c>
      <c r="G1281" s="45" t="s">
        <v>369</v>
      </c>
      <c r="H1281" s="44" t="s">
        <v>1564</v>
      </c>
      <c r="I1281" s="28" t="str">
        <f>VLOOKUP(F1281,표준용어사전!$B:$D,3,FALSE)</f>
        <v>명V20</v>
      </c>
      <c r="J1281" s="33" t="s">
        <v>78</v>
      </c>
      <c r="K1281" s="34">
        <v>20</v>
      </c>
      <c r="L1281" s="29" t="s">
        <v>571</v>
      </c>
      <c r="M1281" s="29" t="s">
        <v>727</v>
      </c>
      <c r="N1281" s="32" t="s">
        <v>75</v>
      </c>
      <c r="O1281" s="44"/>
      <c r="P1281" s="44"/>
      <c r="Q1281" s="44"/>
      <c r="R1281" s="32"/>
      <c r="S1281" s="44"/>
      <c r="T1281" s="28" t="s">
        <v>574</v>
      </c>
      <c r="U1281" s="28" t="s">
        <v>75</v>
      </c>
      <c r="V1281" s="28" t="s">
        <v>75</v>
      </c>
      <c r="W1281" s="44"/>
    </row>
    <row r="1282" spans="1:23" hidden="1">
      <c r="A1282" s="46" t="s">
        <v>711</v>
      </c>
      <c r="B1282" s="28" t="s">
        <v>1582</v>
      </c>
      <c r="C1282" s="28" t="s">
        <v>740</v>
      </c>
      <c r="D1282" s="28" t="s">
        <v>1587</v>
      </c>
      <c r="E1282" s="28" t="s">
        <v>90</v>
      </c>
      <c r="F1282" s="45" t="s">
        <v>1425</v>
      </c>
      <c r="G1282" s="45" t="s">
        <v>1425</v>
      </c>
      <c r="H1282" s="44" t="s">
        <v>1564</v>
      </c>
      <c r="I1282" s="28" t="str">
        <f>VLOOKUP(F1282,표준용어사전!$B:$D,3,FALSE)</f>
        <v>연월일시분초TS</v>
      </c>
      <c r="J1282" s="33" t="s">
        <v>16</v>
      </c>
      <c r="K1282" s="34" t="s">
        <v>927</v>
      </c>
      <c r="L1282" s="29" t="s">
        <v>571</v>
      </c>
      <c r="M1282" s="29" t="s">
        <v>726</v>
      </c>
      <c r="N1282" s="32" t="s">
        <v>711</v>
      </c>
      <c r="O1282" s="44"/>
      <c r="P1282" s="44"/>
      <c r="Q1282" s="44"/>
      <c r="R1282" s="32"/>
      <c r="S1282" s="44"/>
      <c r="T1282" s="44"/>
      <c r="U1282" s="28" t="s">
        <v>75</v>
      </c>
      <c r="V1282" s="28" t="s">
        <v>75</v>
      </c>
      <c r="W1282" s="44"/>
    </row>
    <row r="1283" spans="1:23">
      <c r="A1283" s="46" t="s">
        <v>711</v>
      </c>
      <c r="B1283" s="28" t="s">
        <v>1637</v>
      </c>
      <c r="C1283" s="44" t="s">
        <v>978</v>
      </c>
      <c r="D1283" s="44" t="s">
        <v>1807</v>
      </c>
      <c r="E1283" s="44" t="s">
        <v>1808</v>
      </c>
      <c r="F1283" s="44" t="s">
        <v>1509</v>
      </c>
      <c r="G1283" s="44" t="s">
        <v>1509</v>
      </c>
      <c r="H1283" s="44" t="s">
        <v>1813</v>
      </c>
      <c r="I1283" s="28" t="str">
        <f>VLOOKUP(F1283,표준용어사전!$B:$D,3,FALSE)</f>
        <v>코드V30</v>
      </c>
      <c r="J1283" s="44" t="s">
        <v>718</v>
      </c>
      <c r="K1283" s="44">
        <v>30</v>
      </c>
      <c r="L1283" s="29" t="s">
        <v>571</v>
      </c>
      <c r="M1283" s="32" t="s">
        <v>1018</v>
      </c>
      <c r="N1283" s="32" t="s">
        <v>711</v>
      </c>
      <c r="O1283" s="31"/>
      <c r="P1283" s="31"/>
      <c r="Q1283" s="28" t="s">
        <v>76</v>
      </c>
      <c r="R1283" s="29"/>
      <c r="S1283" s="31"/>
      <c r="T1283" s="31"/>
      <c r="U1283" s="28" t="s">
        <v>75</v>
      </c>
      <c r="V1283" s="28" t="s">
        <v>75</v>
      </c>
      <c r="W1283" s="31"/>
    </row>
    <row r="1284" spans="1:23">
      <c r="A1284" s="46" t="s">
        <v>711</v>
      </c>
      <c r="B1284" s="28" t="s">
        <v>1637</v>
      </c>
      <c r="C1284" s="44" t="s">
        <v>978</v>
      </c>
      <c r="D1284" s="44" t="s">
        <v>1807</v>
      </c>
      <c r="E1284" s="44" t="s">
        <v>1809</v>
      </c>
      <c r="F1284" s="44" t="s">
        <v>1028</v>
      </c>
      <c r="G1284" s="44" t="s">
        <v>1028</v>
      </c>
      <c r="H1284" s="44" t="s">
        <v>1813</v>
      </c>
      <c r="I1284" s="28" t="str">
        <f>VLOOKUP(F1284,표준용어사전!$B:$D,3,FALSE)</f>
        <v>명V20</v>
      </c>
      <c r="J1284" s="44" t="s">
        <v>718</v>
      </c>
      <c r="K1284" s="44">
        <v>20</v>
      </c>
      <c r="L1284" s="29" t="s">
        <v>571</v>
      </c>
      <c r="M1284" s="32" t="s">
        <v>727</v>
      </c>
      <c r="N1284" s="32" t="s">
        <v>711</v>
      </c>
      <c r="O1284" s="31"/>
      <c r="P1284" s="31"/>
      <c r="Q1284" s="28" t="s">
        <v>76</v>
      </c>
      <c r="R1284" s="29"/>
      <c r="S1284" s="31"/>
      <c r="T1284" s="31"/>
      <c r="U1284" s="28" t="s">
        <v>75</v>
      </c>
      <c r="V1284" s="28" t="s">
        <v>75</v>
      </c>
      <c r="W1284" s="31"/>
    </row>
    <row r="1285" spans="1:23">
      <c r="A1285" s="46" t="s">
        <v>711</v>
      </c>
      <c r="B1285" s="28" t="s">
        <v>1637</v>
      </c>
      <c r="C1285" s="44" t="s">
        <v>978</v>
      </c>
      <c r="D1285" s="44" t="s">
        <v>1807</v>
      </c>
      <c r="E1285" s="44" t="s">
        <v>1810</v>
      </c>
      <c r="F1285" s="44" t="s">
        <v>1029</v>
      </c>
      <c r="G1285" s="44" t="s">
        <v>1029</v>
      </c>
      <c r="H1285" s="44" t="s">
        <v>1813</v>
      </c>
      <c r="I1285" s="28" t="str">
        <f>VLOOKUP(F1285,표준용어사전!$B:$D,3,FALSE)</f>
        <v>내용V2000</v>
      </c>
      <c r="J1285" s="44" t="s">
        <v>718</v>
      </c>
      <c r="K1285" s="44">
        <v>2000</v>
      </c>
      <c r="L1285" s="29" t="s">
        <v>571</v>
      </c>
      <c r="M1285" s="32" t="s">
        <v>728</v>
      </c>
      <c r="N1285" s="32" t="s">
        <v>572</v>
      </c>
      <c r="O1285" s="31"/>
      <c r="P1285" s="31"/>
      <c r="Q1285" s="28" t="s">
        <v>76</v>
      </c>
      <c r="R1285" s="29"/>
      <c r="S1285" s="31"/>
      <c r="T1285" s="31"/>
      <c r="U1285" s="28" t="s">
        <v>75</v>
      </c>
      <c r="V1285" s="28" t="s">
        <v>75</v>
      </c>
      <c r="W1285" s="31"/>
    </row>
    <row r="1286" spans="1:23">
      <c r="A1286" s="46" t="s">
        <v>711</v>
      </c>
      <c r="B1286" s="28" t="s">
        <v>1637</v>
      </c>
      <c r="C1286" s="44" t="s">
        <v>978</v>
      </c>
      <c r="D1286" s="44" t="s">
        <v>1807</v>
      </c>
      <c r="E1286" s="44" t="s">
        <v>1811</v>
      </c>
      <c r="F1286" s="44" t="s">
        <v>1812</v>
      </c>
      <c r="G1286" s="44" t="s">
        <v>1444</v>
      </c>
      <c r="H1286" s="44" t="s">
        <v>1813</v>
      </c>
      <c r="I1286" s="28" t="str">
        <f>VLOOKUP(F1286,표준용어사전!$B:$D,3,FALSE)</f>
        <v>연월일시분초TS</v>
      </c>
      <c r="J1286" s="44" t="s">
        <v>719</v>
      </c>
      <c r="K1286" s="44"/>
      <c r="L1286" s="29" t="s">
        <v>571</v>
      </c>
      <c r="M1286" s="29" t="s">
        <v>726</v>
      </c>
      <c r="N1286" s="32" t="s">
        <v>572</v>
      </c>
      <c r="O1286" s="31"/>
      <c r="P1286" s="31"/>
      <c r="Q1286" s="28" t="s">
        <v>76</v>
      </c>
      <c r="R1286" s="29"/>
      <c r="S1286" s="31"/>
      <c r="T1286" s="28" t="s">
        <v>574</v>
      </c>
      <c r="U1286" s="28" t="s">
        <v>75</v>
      </c>
      <c r="V1286" s="28" t="s">
        <v>75</v>
      </c>
      <c r="W1286" s="31"/>
    </row>
    <row r="1287" spans="1:23" hidden="1">
      <c r="A1287" s="46" t="s">
        <v>711</v>
      </c>
      <c r="B1287" s="28" t="s">
        <v>1639</v>
      </c>
      <c r="C1287" s="44" t="s">
        <v>740</v>
      </c>
      <c r="D1287" s="44" t="s">
        <v>1640</v>
      </c>
      <c r="E1287" s="44" t="s">
        <v>1692</v>
      </c>
      <c r="F1287" s="44" t="s">
        <v>1642</v>
      </c>
      <c r="G1287" s="44" t="s">
        <v>1642</v>
      </c>
      <c r="H1287" s="44" t="s">
        <v>1643</v>
      </c>
      <c r="I1287" s="28" t="str">
        <f>VLOOKUP(F1287,표준용어사전!$B:$D,3,FALSE)</f>
        <v>명V20</v>
      </c>
      <c r="J1287" s="44" t="s">
        <v>718</v>
      </c>
      <c r="K1287" s="44">
        <v>20</v>
      </c>
      <c r="L1287" s="29" t="s">
        <v>571</v>
      </c>
      <c r="M1287" s="29" t="s">
        <v>727</v>
      </c>
      <c r="N1287" s="32" t="s">
        <v>711</v>
      </c>
      <c r="O1287" s="31" t="s">
        <v>641</v>
      </c>
      <c r="P1287" s="31"/>
      <c r="Q1287" s="28" t="s">
        <v>76</v>
      </c>
      <c r="R1287" s="29"/>
      <c r="S1287" s="31"/>
      <c r="T1287" s="31"/>
      <c r="U1287" s="28" t="s">
        <v>75</v>
      </c>
      <c r="V1287" s="28" t="s">
        <v>75</v>
      </c>
      <c r="W1287" s="31"/>
    </row>
    <row r="1288" spans="1:23" hidden="1">
      <c r="A1288" s="46" t="s">
        <v>711</v>
      </c>
      <c r="B1288" s="28" t="s">
        <v>1639</v>
      </c>
      <c r="C1288" s="44" t="s">
        <v>740</v>
      </c>
      <c r="D1288" s="44" t="s">
        <v>1640</v>
      </c>
      <c r="E1288" s="44" t="s">
        <v>1685</v>
      </c>
      <c r="F1288" s="44" t="s">
        <v>1645</v>
      </c>
      <c r="G1288" s="44" t="s">
        <v>1645</v>
      </c>
      <c r="H1288" s="44" t="s">
        <v>1643</v>
      </c>
      <c r="I1288" s="28" t="str">
        <f>VLOOKUP(F1288,표준용어사전!$B:$D,3,FALSE)</f>
        <v>명V256</v>
      </c>
      <c r="J1288" s="44" t="s">
        <v>718</v>
      </c>
      <c r="K1288" s="44">
        <v>254</v>
      </c>
      <c r="L1288" s="29" t="s">
        <v>571</v>
      </c>
      <c r="M1288" s="29" t="s">
        <v>928</v>
      </c>
      <c r="N1288" s="32" t="s">
        <v>711</v>
      </c>
      <c r="O1288" s="31"/>
      <c r="P1288" s="31"/>
      <c r="Q1288" s="28" t="s">
        <v>76</v>
      </c>
      <c r="R1288" s="29"/>
      <c r="S1288" s="31"/>
      <c r="T1288" s="31"/>
      <c r="U1288" s="28" t="s">
        <v>75</v>
      </c>
      <c r="V1288" s="28" t="s">
        <v>75</v>
      </c>
      <c r="W1288" s="31"/>
    </row>
    <row r="1289" spans="1:23" hidden="1">
      <c r="A1289" s="46" t="s">
        <v>711</v>
      </c>
      <c r="B1289" s="28" t="s">
        <v>1639</v>
      </c>
      <c r="C1289" s="44" t="s">
        <v>740</v>
      </c>
      <c r="D1289" s="44" t="s">
        <v>1640</v>
      </c>
      <c r="E1289" s="44" t="s">
        <v>1686</v>
      </c>
      <c r="F1289" s="44" t="s">
        <v>1647</v>
      </c>
      <c r="G1289" s="44" t="s">
        <v>1647</v>
      </c>
      <c r="H1289" s="44" t="s">
        <v>1643</v>
      </c>
      <c r="I1289" s="28" t="str">
        <f>VLOOKUP(F1289,표준용어사전!$B:$D,3,FALSE)</f>
        <v>내용V2000</v>
      </c>
      <c r="J1289" s="44" t="s">
        <v>718</v>
      </c>
      <c r="K1289" s="44">
        <v>2000</v>
      </c>
      <c r="L1289" s="29" t="s">
        <v>571</v>
      </c>
      <c r="M1289" s="29" t="s">
        <v>728</v>
      </c>
      <c r="N1289" s="32" t="s">
        <v>572</v>
      </c>
      <c r="O1289" s="31"/>
      <c r="P1289" s="31"/>
      <c r="Q1289" s="28" t="s">
        <v>76</v>
      </c>
      <c r="R1289" s="29"/>
      <c r="S1289" s="31"/>
      <c r="T1289" s="31"/>
      <c r="U1289" s="28" t="s">
        <v>75</v>
      </c>
      <c r="V1289" s="28" t="s">
        <v>75</v>
      </c>
      <c r="W1289" s="31"/>
    </row>
    <row r="1290" spans="1:23" hidden="1">
      <c r="A1290" s="46" t="s">
        <v>711</v>
      </c>
      <c r="B1290" s="28" t="s">
        <v>1639</v>
      </c>
      <c r="C1290" s="44" t="s">
        <v>740</v>
      </c>
      <c r="D1290" s="44" t="s">
        <v>1640</v>
      </c>
      <c r="E1290" s="44" t="s">
        <v>1687</v>
      </c>
      <c r="F1290" s="44" t="s">
        <v>1649</v>
      </c>
      <c r="G1290" s="44" t="s">
        <v>1649</v>
      </c>
      <c r="H1290" s="44" t="s">
        <v>1643</v>
      </c>
      <c r="I1290" s="28" t="str">
        <f>VLOOKUP(F1290,표준용어사전!$B:$D,3,FALSE)</f>
        <v>연월일D</v>
      </c>
      <c r="J1290" s="44" t="s">
        <v>1349</v>
      </c>
      <c r="K1290" s="44"/>
      <c r="L1290" s="29" t="s">
        <v>571</v>
      </c>
      <c r="M1290" s="29" t="s">
        <v>1353</v>
      </c>
      <c r="N1290" s="32" t="s">
        <v>711</v>
      </c>
      <c r="O1290" s="31"/>
      <c r="P1290" s="31"/>
      <c r="Q1290" s="28" t="s">
        <v>76</v>
      </c>
      <c r="R1290" s="29"/>
      <c r="S1290" s="31"/>
      <c r="T1290" s="31"/>
      <c r="U1290" s="28" t="s">
        <v>75</v>
      </c>
      <c r="V1290" s="28" t="s">
        <v>75</v>
      </c>
      <c r="W1290" s="31"/>
    </row>
    <row r="1291" spans="1:23" hidden="1">
      <c r="A1291" s="46" t="s">
        <v>711</v>
      </c>
      <c r="B1291" s="28" t="s">
        <v>1639</v>
      </c>
      <c r="C1291" s="44" t="s">
        <v>740</v>
      </c>
      <c r="D1291" s="44" t="s">
        <v>1640</v>
      </c>
      <c r="E1291" s="44" t="s">
        <v>1688</v>
      </c>
      <c r="F1291" s="44" t="s">
        <v>1651</v>
      </c>
      <c r="G1291" s="44" t="s">
        <v>1651</v>
      </c>
      <c r="H1291" s="44" t="s">
        <v>1643</v>
      </c>
      <c r="I1291" s="28" t="str">
        <f>VLOOKUP(F1291,표준용어사전!$B:$D,3,FALSE)</f>
        <v>연월일D</v>
      </c>
      <c r="J1291" s="44" t="s">
        <v>1349</v>
      </c>
      <c r="K1291" s="44"/>
      <c r="L1291" s="29" t="s">
        <v>571</v>
      </c>
      <c r="M1291" s="29" t="s">
        <v>1353</v>
      </c>
      <c r="N1291" s="32" t="s">
        <v>711</v>
      </c>
      <c r="O1291" s="31"/>
      <c r="P1291" s="31"/>
      <c r="Q1291" s="28" t="s">
        <v>76</v>
      </c>
      <c r="R1291" s="29"/>
      <c r="S1291" s="31"/>
      <c r="T1291" s="31"/>
      <c r="U1291" s="28" t="s">
        <v>75</v>
      </c>
      <c r="V1291" s="28" t="s">
        <v>75</v>
      </c>
      <c r="W1291" s="31"/>
    </row>
    <row r="1292" spans="1:23" hidden="1">
      <c r="A1292" s="46" t="s">
        <v>711</v>
      </c>
      <c r="B1292" s="28" t="s">
        <v>1639</v>
      </c>
      <c r="C1292" s="44" t="s">
        <v>740</v>
      </c>
      <c r="D1292" s="44" t="s">
        <v>1640</v>
      </c>
      <c r="E1292" s="44" t="s">
        <v>1424</v>
      </c>
      <c r="F1292" s="44" t="s">
        <v>1425</v>
      </c>
      <c r="G1292" s="44" t="s">
        <v>1425</v>
      </c>
      <c r="H1292" s="44" t="s">
        <v>1643</v>
      </c>
      <c r="I1292" s="28" t="str">
        <f>VLOOKUP(F1292,표준용어사전!$B:$D,3,FALSE)</f>
        <v>연월일시분초TS</v>
      </c>
      <c r="J1292" s="44" t="s">
        <v>719</v>
      </c>
      <c r="K1292" s="44"/>
      <c r="L1292" s="29" t="s">
        <v>571</v>
      </c>
      <c r="M1292" s="29" t="s">
        <v>1652</v>
      </c>
      <c r="N1292" s="32" t="s">
        <v>711</v>
      </c>
      <c r="O1292" s="31"/>
      <c r="P1292" s="31"/>
      <c r="Q1292" s="28" t="s">
        <v>76</v>
      </c>
      <c r="R1292" s="29"/>
      <c r="S1292" s="31"/>
      <c r="T1292" s="28" t="s">
        <v>574</v>
      </c>
      <c r="U1292" s="28" t="s">
        <v>75</v>
      </c>
      <c r="V1292" s="28" t="s">
        <v>75</v>
      </c>
      <c r="W1292" s="31"/>
    </row>
    <row r="1293" spans="1:23" hidden="1">
      <c r="A1293" s="46" t="s">
        <v>711</v>
      </c>
      <c r="B1293" s="28" t="s">
        <v>1639</v>
      </c>
      <c r="C1293" s="44" t="s">
        <v>740</v>
      </c>
      <c r="D1293" s="44" t="s">
        <v>1640</v>
      </c>
      <c r="E1293" s="44" t="s">
        <v>1689</v>
      </c>
      <c r="F1293" s="44" t="s">
        <v>1559</v>
      </c>
      <c r="G1293" s="44" t="s">
        <v>1559</v>
      </c>
      <c r="H1293" s="44" t="s">
        <v>1643</v>
      </c>
      <c r="I1293" s="28" t="str">
        <f>VLOOKUP(F1293,표준용어사전!$B:$D,3,FALSE)</f>
        <v>명V20</v>
      </c>
      <c r="J1293" s="44" t="s">
        <v>718</v>
      </c>
      <c r="K1293" s="44">
        <v>20</v>
      </c>
      <c r="L1293" s="29" t="s">
        <v>571</v>
      </c>
      <c r="M1293" s="29" t="s">
        <v>727</v>
      </c>
      <c r="N1293" s="32" t="s">
        <v>711</v>
      </c>
      <c r="O1293" s="31"/>
      <c r="P1293" s="31"/>
      <c r="Q1293" s="28" t="s">
        <v>76</v>
      </c>
      <c r="R1293" s="29"/>
      <c r="S1293" s="31"/>
      <c r="T1293" s="31"/>
      <c r="U1293" s="28" t="s">
        <v>75</v>
      </c>
      <c r="V1293" s="28" t="s">
        <v>75</v>
      </c>
      <c r="W1293" s="31"/>
    </row>
    <row r="1294" spans="1:23" hidden="1">
      <c r="A1294" s="46" t="s">
        <v>711</v>
      </c>
      <c r="B1294" s="28" t="s">
        <v>1639</v>
      </c>
      <c r="C1294" s="44" t="s">
        <v>740</v>
      </c>
      <c r="D1294" s="44" t="s">
        <v>1640</v>
      </c>
      <c r="E1294" s="44" t="s">
        <v>1690</v>
      </c>
      <c r="F1294" s="44" t="s">
        <v>1411</v>
      </c>
      <c r="G1294" s="44" t="s">
        <v>1411</v>
      </c>
      <c r="H1294" s="44" t="s">
        <v>1643</v>
      </c>
      <c r="I1294" s="28" t="str">
        <f>VLOOKUP(F1294,표준용어사전!$B:$D,3,FALSE)</f>
        <v>연월일시분초TS</v>
      </c>
      <c r="J1294" s="44" t="s">
        <v>719</v>
      </c>
      <c r="K1294" s="44"/>
      <c r="L1294" s="29" t="s">
        <v>571</v>
      </c>
      <c r="M1294" s="29" t="s">
        <v>1653</v>
      </c>
      <c r="N1294" s="32" t="s">
        <v>572</v>
      </c>
      <c r="O1294" s="31"/>
      <c r="P1294" s="31"/>
      <c r="Q1294" s="28" t="s">
        <v>76</v>
      </c>
      <c r="R1294" s="29"/>
      <c r="S1294" s="31"/>
      <c r="T1294" s="28" t="s">
        <v>574</v>
      </c>
      <c r="U1294" s="28" t="s">
        <v>75</v>
      </c>
      <c r="V1294" s="28" t="s">
        <v>75</v>
      </c>
      <c r="W1294" s="31"/>
    </row>
    <row r="1295" spans="1:23" hidden="1">
      <c r="A1295" s="46" t="s">
        <v>711</v>
      </c>
      <c r="B1295" s="28" t="s">
        <v>1639</v>
      </c>
      <c r="C1295" s="44" t="s">
        <v>740</v>
      </c>
      <c r="D1295" s="44" t="s">
        <v>1640</v>
      </c>
      <c r="E1295" s="44" t="s">
        <v>950</v>
      </c>
      <c r="F1295" s="44" t="s">
        <v>1560</v>
      </c>
      <c r="G1295" s="44" t="s">
        <v>1560</v>
      </c>
      <c r="H1295" s="44" t="s">
        <v>1643</v>
      </c>
      <c r="I1295" s="28" t="str">
        <f>VLOOKUP(F1295,표준용어사전!$B:$D,3,FALSE)</f>
        <v>명V20</v>
      </c>
      <c r="J1295" s="44" t="s">
        <v>718</v>
      </c>
      <c r="K1295" s="44">
        <v>20</v>
      </c>
      <c r="L1295" s="29" t="s">
        <v>571</v>
      </c>
      <c r="M1295" s="29" t="s">
        <v>727</v>
      </c>
      <c r="N1295" s="32" t="s">
        <v>572</v>
      </c>
      <c r="O1295" s="31"/>
      <c r="P1295" s="31"/>
      <c r="Q1295" s="28" t="s">
        <v>76</v>
      </c>
      <c r="R1295" s="29"/>
      <c r="S1295" s="31"/>
      <c r="T1295" s="31"/>
      <c r="U1295" s="28" t="s">
        <v>75</v>
      </c>
      <c r="V1295" s="28" t="s">
        <v>75</v>
      </c>
      <c r="W1295" s="31"/>
    </row>
    <row r="1296" spans="1:23" hidden="1">
      <c r="A1296" s="46" t="s">
        <v>711</v>
      </c>
      <c r="B1296" s="28" t="s">
        <v>1639</v>
      </c>
      <c r="C1296" s="44" t="s">
        <v>740</v>
      </c>
      <c r="D1296" s="44" t="s">
        <v>1640</v>
      </c>
      <c r="E1296" s="44" t="s">
        <v>1691</v>
      </c>
      <c r="F1296" s="44" t="s">
        <v>1501</v>
      </c>
      <c r="G1296" s="44" t="s">
        <v>1501</v>
      </c>
      <c r="H1296" s="44" t="s">
        <v>1643</v>
      </c>
      <c r="I1296" s="28" t="str">
        <f>VLOOKUP(F1296,표준용어사전!$B:$D,3,FALSE)</f>
        <v>여부C1</v>
      </c>
      <c r="J1296" s="44" t="s">
        <v>1638</v>
      </c>
      <c r="K1296" s="44">
        <v>1</v>
      </c>
      <c r="L1296" s="29" t="s">
        <v>571</v>
      </c>
      <c r="M1296" s="29" t="s">
        <v>1047</v>
      </c>
      <c r="N1296" s="32" t="s">
        <v>711</v>
      </c>
      <c r="O1296" s="31"/>
      <c r="P1296" s="31"/>
      <c r="Q1296" s="28" t="s">
        <v>76</v>
      </c>
      <c r="R1296" s="29"/>
      <c r="S1296" s="31"/>
      <c r="T1296" s="31"/>
      <c r="U1296" s="28" t="s">
        <v>75</v>
      </c>
      <c r="V1296" s="28" t="s">
        <v>75</v>
      </c>
      <c r="W1296" s="31"/>
    </row>
    <row r="1297" spans="1:23" hidden="1">
      <c r="A1297" s="46" t="s">
        <v>711</v>
      </c>
      <c r="B1297" s="28" t="s">
        <v>1639</v>
      </c>
      <c r="C1297" s="44" t="s">
        <v>740</v>
      </c>
      <c r="D1297" s="44" t="s">
        <v>1655</v>
      </c>
      <c r="E1297" s="44" t="s">
        <v>1692</v>
      </c>
      <c r="F1297" s="44" t="s">
        <v>1642</v>
      </c>
      <c r="G1297" s="44" t="s">
        <v>1642</v>
      </c>
      <c r="H1297" s="44" t="s">
        <v>1703</v>
      </c>
      <c r="I1297" s="28" t="str">
        <f>VLOOKUP(F1297,표준용어사전!$B:$D,3,FALSE)</f>
        <v>명V20</v>
      </c>
      <c r="J1297" s="44" t="s">
        <v>718</v>
      </c>
      <c r="K1297" s="44">
        <v>20</v>
      </c>
      <c r="L1297" s="29" t="s">
        <v>571</v>
      </c>
      <c r="M1297" s="29" t="s">
        <v>727</v>
      </c>
      <c r="N1297" s="32" t="s">
        <v>711</v>
      </c>
      <c r="O1297" s="31"/>
      <c r="P1297" s="31" t="s">
        <v>1656</v>
      </c>
      <c r="Q1297" s="28" t="s">
        <v>76</v>
      </c>
      <c r="R1297" s="29"/>
      <c r="S1297" s="31"/>
      <c r="T1297" s="31"/>
      <c r="U1297" s="28" t="s">
        <v>75</v>
      </c>
      <c r="V1297" s="28" t="s">
        <v>75</v>
      </c>
      <c r="W1297" s="31"/>
    </row>
    <row r="1298" spans="1:23" hidden="1">
      <c r="A1298" s="46" t="s">
        <v>711</v>
      </c>
      <c r="B1298" s="28" t="s">
        <v>1639</v>
      </c>
      <c r="C1298" s="44" t="s">
        <v>740</v>
      </c>
      <c r="D1298" s="44" t="s">
        <v>1655</v>
      </c>
      <c r="E1298" s="44" t="s">
        <v>1693</v>
      </c>
      <c r="F1298" s="44" t="s">
        <v>1704</v>
      </c>
      <c r="G1298" s="44" t="s">
        <v>1704</v>
      </c>
      <c r="H1298" s="44" t="s">
        <v>1703</v>
      </c>
      <c r="I1298" s="28" t="str">
        <f>VLOOKUP(F1298,표준용어사전!$B:$D,3,FALSE)</f>
        <v>명V20</v>
      </c>
      <c r="J1298" s="44" t="s">
        <v>718</v>
      </c>
      <c r="K1298" s="44">
        <v>20</v>
      </c>
      <c r="L1298" s="29" t="s">
        <v>571</v>
      </c>
      <c r="M1298" s="29" t="s">
        <v>727</v>
      </c>
      <c r="N1298" s="32" t="s">
        <v>711</v>
      </c>
      <c r="O1298" s="31" t="s">
        <v>641</v>
      </c>
      <c r="P1298" s="31"/>
      <c r="Q1298" s="28" t="s">
        <v>76</v>
      </c>
      <c r="R1298" s="29"/>
      <c r="S1298" s="31"/>
      <c r="T1298" s="31"/>
      <c r="U1298" s="28" t="s">
        <v>75</v>
      </c>
      <c r="V1298" s="28" t="s">
        <v>75</v>
      </c>
      <c r="W1298" s="31"/>
    </row>
    <row r="1299" spans="1:23" hidden="1">
      <c r="A1299" s="46" t="s">
        <v>711</v>
      </c>
      <c r="B1299" s="28" t="s">
        <v>1639</v>
      </c>
      <c r="C1299" s="44" t="s">
        <v>740</v>
      </c>
      <c r="D1299" s="44" t="s">
        <v>1655</v>
      </c>
      <c r="E1299" s="44" t="s">
        <v>1694</v>
      </c>
      <c r="F1299" s="44" t="s">
        <v>1705</v>
      </c>
      <c r="G1299" s="44" t="s">
        <v>1705</v>
      </c>
      <c r="H1299" s="44" t="s">
        <v>1703</v>
      </c>
      <c r="I1299" s="28" t="str">
        <f>VLOOKUP(F1299,표준용어사전!$B:$D,3,FALSE)</f>
        <v>번호I</v>
      </c>
      <c r="J1299" s="44" t="s">
        <v>1659</v>
      </c>
      <c r="K1299" s="44">
        <v>4</v>
      </c>
      <c r="L1299" s="29" t="s">
        <v>571</v>
      </c>
      <c r="M1299" s="29"/>
      <c r="N1299" s="32" t="s">
        <v>711</v>
      </c>
      <c r="O1299" s="31"/>
      <c r="P1299" s="31"/>
      <c r="Q1299" s="28" t="s">
        <v>76</v>
      </c>
      <c r="R1299" s="29"/>
      <c r="S1299" s="31"/>
      <c r="T1299" s="31"/>
      <c r="U1299" s="28" t="s">
        <v>75</v>
      </c>
      <c r="V1299" s="28" t="s">
        <v>75</v>
      </c>
      <c r="W1299" s="31"/>
    </row>
    <row r="1300" spans="1:23" hidden="1">
      <c r="A1300" s="46" t="s">
        <v>711</v>
      </c>
      <c r="B1300" s="28" t="s">
        <v>1639</v>
      </c>
      <c r="C1300" s="44" t="s">
        <v>740</v>
      </c>
      <c r="D1300" s="44" t="s">
        <v>1655</v>
      </c>
      <c r="E1300" s="44" t="s">
        <v>1695</v>
      </c>
      <c r="F1300" s="44" t="s">
        <v>1706</v>
      </c>
      <c r="G1300" s="44" t="s">
        <v>1706</v>
      </c>
      <c r="H1300" s="44" t="s">
        <v>1703</v>
      </c>
      <c r="I1300" s="28" t="str">
        <f>VLOOKUP(F1300,표준용어사전!$B:$D,3,FALSE)</f>
        <v>내용V1000</v>
      </c>
      <c r="J1300" s="44" t="s">
        <v>718</v>
      </c>
      <c r="K1300" s="44">
        <v>254</v>
      </c>
      <c r="L1300" s="29" t="s">
        <v>571</v>
      </c>
      <c r="M1300" s="29" t="s">
        <v>928</v>
      </c>
      <c r="N1300" s="32" t="s">
        <v>711</v>
      </c>
      <c r="O1300" s="31"/>
      <c r="P1300" s="31"/>
      <c r="Q1300" s="28" t="s">
        <v>76</v>
      </c>
      <c r="R1300" s="29"/>
      <c r="S1300" s="31"/>
      <c r="T1300" s="31"/>
      <c r="U1300" s="28" t="s">
        <v>75</v>
      </c>
      <c r="V1300" s="28" t="s">
        <v>75</v>
      </c>
      <c r="W1300" s="31"/>
    </row>
    <row r="1301" spans="1:23" hidden="1">
      <c r="A1301" s="46" t="s">
        <v>711</v>
      </c>
      <c r="B1301" s="28" t="s">
        <v>1639</v>
      </c>
      <c r="C1301" s="44" t="s">
        <v>740</v>
      </c>
      <c r="D1301" s="44" t="s">
        <v>1655</v>
      </c>
      <c r="E1301" s="44" t="s">
        <v>1424</v>
      </c>
      <c r="F1301" s="44" t="s">
        <v>1425</v>
      </c>
      <c r="G1301" s="44" t="s">
        <v>1425</v>
      </c>
      <c r="H1301" s="44" t="s">
        <v>1703</v>
      </c>
      <c r="I1301" s="28" t="str">
        <f>VLOOKUP(F1301,표준용어사전!$B:$D,3,FALSE)</f>
        <v>연월일시분초TS</v>
      </c>
      <c r="J1301" s="44" t="s">
        <v>719</v>
      </c>
      <c r="K1301" s="44"/>
      <c r="L1301" s="29" t="s">
        <v>571</v>
      </c>
      <c r="M1301" s="29" t="s">
        <v>1652</v>
      </c>
      <c r="N1301" s="32" t="s">
        <v>711</v>
      </c>
      <c r="O1301" s="31"/>
      <c r="P1301" s="31"/>
      <c r="Q1301" s="28" t="s">
        <v>76</v>
      </c>
      <c r="R1301" s="29"/>
      <c r="S1301" s="31"/>
      <c r="T1301" s="28" t="s">
        <v>574</v>
      </c>
      <c r="U1301" s="28" t="s">
        <v>75</v>
      </c>
      <c r="V1301" s="28" t="s">
        <v>75</v>
      </c>
      <c r="W1301" s="31"/>
    </row>
    <row r="1302" spans="1:23" hidden="1">
      <c r="A1302" s="46" t="s">
        <v>711</v>
      </c>
      <c r="B1302" s="28" t="s">
        <v>1639</v>
      </c>
      <c r="C1302" s="44" t="s">
        <v>740</v>
      </c>
      <c r="D1302" s="44" t="s">
        <v>1655</v>
      </c>
      <c r="E1302" s="44" t="s">
        <v>1689</v>
      </c>
      <c r="F1302" s="44" t="s">
        <v>1559</v>
      </c>
      <c r="G1302" s="44" t="s">
        <v>1559</v>
      </c>
      <c r="H1302" s="44" t="s">
        <v>1703</v>
      </c>
      <c r="I1302" s="28" t="str">
        <f>VLOOKUP(F1302,표준용어사전!$B:$D,3,FALSE)</f>
        <v>명V20</v>
      </c>
      <c r="J1302" s="44" t="s">
        <v>718</v>
      </c>
      <c r="K1302" s="44">
        <v>20</v>
      </c>
      <c r="L1302" s="29" t="s">
        <v>571</v>
      </c>
      <c r="M1302" s="29" t="s">
        <v>727</v>
      </c>
      <c r="N1302" s="32" t="s">
        <v>711</v>
      </c>
      <c r="O1302" s="31"/>
      <c r="P1302" s="31"/>
      <c r="Q1302" s="28" t="s">
        <v>76</v>
      </c>
      <c r="R1302" s="29"/>
      <c r="S1302" s="31"/>
      <c r="T1302" s="31"/>
      <c r="U1302" s="28" t="s">
        <v>75</v>
      </c>
      <c r="V1302" s="28" t="s">
        <v>75</v>
      </c>
      <c r="W1302" s="31"/>
    </row>
    <row r="1303" spans="1:23" hidden="1">
      <c r="A1303" s="46" t="s">
        <v>711</v>
      </c>
      <c r="B1303" s="28" t="s">
        <v>1639</v>
      </c>
      <c r="C1303" s="44" t="s">
        <v>740</v>
      </c>
      <c r="D1303" s="44" t="s">
        <v>1655</v>
      </c>
      <c r="E1303" s="44" t="s">
        <v>1690</v>
      </c>
      <c r="F1303" s="44" t="s">
        <v>1411</v>
      </c>
      <c r="G1303" s="44" t="s">
        <v>1411</v>
      </c>
      <c r="H1303" s="44" t="s">
        <v>1703</v>
      </c>
      <c r="I1303" s="28" t="str">
        <f>VLOOKUP(F1303,표준용어사전!$B:$D,3,FALSE)</f>
        <v>연월일시분초TS</v>
      </c>
      <c r="J1303" s="44" t="s">
        <v>719</v>
      </c>
      <c r="K1303" s="44"/>
      <c r="L1303" s="29" t="s">
        <v>571</v>
      </c>
      <c r="M1303" s="29" t="s">
        <v>1653</v>
      </c>
      <c r="N1303" s="32" t="s">
        <v>572</v>
      </c>
      <c r="O1303" s="31"/>
      <c r="P1303" s="31"/>
      <c r="Q1303" s="28" t="s">
        <v>76</v>
      </c>
      <c r="R1303" s="29"/>
      <c r="S1303" s="31"/>
      <c r="T1303" s="28" t="s">
        <v>574</v>
      </c>
      <c r="U1303" s="28" t="s">
        <v>75</v>
      </c>
      <c r="V1303" s="28" t="s">
        <v>75</v>
      </c>
      <c r="W1303" s="31"/>
    </row>
    <row r="1304" spans="1:23" hidden="1">
      <c r="A1304" s="46" t="s">
        <v>711</v>
      </c>
      <c r="B1304" s="28" t="s">
        <v>1639</v>
      </c>
      <c r="C1304" s="44" t="s">
        <v>740</v>
      </c>
      <c r="D1304" s="44" t="s">
        <v>1655</v>
      </c>
      <c r="E1304" s="44" t="s">
        <v>950</v>
      </c>
      <c r="F1304" s="44" t="s">
        <v>1560</v>
      </c>
      <c r="G1304" s="44" t="s">
        <v>1560</v>
      </c>
      <c r="H1304" s="44" t="s">
        <v>1703</v>
      </c>
      <c r="I1304" s="28" t="str">
        <f>VLOOKUP(F1304,표준용어사전!$B:$D,3,FALSE)</f>
        <v>명V20</v>
      </c>
      <c r="J1304" s="44" t="s">
        <v>718</v>
      </c>
      <c r="K1304" s="44">
        <v>20</v>
      </c>
      <c r="L1304" s="29" t="s">
        <v>571</v>
      </c>
      <c r="M1304" s="29" t="s">
        <v>727</v>
      </c>
      <c r="N1304" s="32" t="s">
        <v>572</v>
      </c>
      <c r="O1304" s="31"/>
      <c r="P1304" s="31"/>
      <c r="Q1304" s="28" t="s">
        <v>76</v>
      </c>
      <c r="R1304" s="29"/>
      <c r="S1304" s="31"/>
      <c r="T1304" s="31"/>
      <c r="U1304" s="28" t="s">
        <v>75</v>
      </c>
      <c r="V1304" s="28" t="s">
        <v>75</v>
      </c>
      <c r="W1304" s="31"/>
    </row>
    <row r="1305" spans="1:23" hidden="1">
      <c r="A1305" s="46" t="s">
        <v>711</v>
      </c>
      <c r="B1305" s="28" t="s">
        <v>1639</v>
      </c>
      <c r="C1305" s="44" t="s">
        <v>740</v>
      </c>
      <c r="D1305" s="44" t="s">
        <v>1661</v>
      </c>
      <c r="E1305" s="44" t="s">
        <v>1693</v>
      </c>
      <c r="F1305" s="44" t="s">
        <v>1704</v>
      </c>
      <c r="G1305" s="44" t="s">
        <v>1704</v>
      </c>
      <c r="H1305" s="44" t="s">
        <v>1662</v>
      </c>
      <c r="I1305" s="28" t="str">
        <f>VLOOKUP(F1305,표준용어사전!$B:$D,3,FALSE)</f>
        <v>명V20</v>
      </c>
      <c r="J1305" s="44" t="s">
        <v>718</v>
      </c>
      <c r="K1305" s="44">
        <v>20</v>
      </c>
      <c r="L1305" s="29" t="s">
        <v>571</v>
      </c>
      <c r="M1305" s="29" t="s">
        <v>727</v>
      </c>
      <c r="N1305" s="32" t="s">
        <v>711</v>
      </c>
      <c r="O1305" s="31" t="s">
        <v>641</v>
      </c>
      <c r="P1305" s="31" t="s">
        <v>1663</v>
      </c>
      <c r="Q1305" s="28" t="s">
        <v>76</v>
      </c>
      <c r="R1305" s="29"/>
      <c r="S1305" s="31"/>
      <c r="T1305" s="31"/>
      <c r="U1305" s="28" t="s">
        <v>75</v>
      </c>
      <c r="V1305" s="28" t="s">
        <v>75</v>
      </c>
      <c r="W1305" s="31"/>
    </row>
    <row r="1306" spans="1:23" hidden="1">
      <c r="A1306" s="46" t="s">
        <v>711</v>
      </c>
      <c r="B1306" s="28" t="s">
        <v>1639</v>
      </c>
      <c r="C1306" s="44" t="s">
        <v>740</v>
      </c>
      <c r="D1306" s="44" t="s">
        <v>1661</v>
      </c>
      <c r="E1306" s="44" t="s">
        <v>1696</v>
      </c>
      <c r="F1306" s="44" t="s">
        <v>1665</v>
      </c>
      <c r="G1306" s="44" t="s">
        <v>1665</v>
      </c>
      <c r="H1306" s="44" t="s">
        <v>1662</v>
      </c>
      <c r="I1306" s="28" t="str">
        <f>VLOOKUP(F1306,표준용어사전!$B:$D,3,FALSE)</f>
        <v>명V20</v>
      </c>
      <c r="J1306" s="44" t="s">
        <v>718</v>
      </c>
      <c r="K1306" s="44">
        <v>20</v>
      </c>
      <c r="L1306" s="29" t="s">
        <v>571</v>
      </c>
      <c r="M1306" s="29" t="s">
        <v>727</v>
      </c>
      <c r="N1306" s="32" t="s">
        <v>711</v>
      </c>
      <c r="O1306" s="31"/>
      <c r="P1306" s="31"/>
      <c r="Q1306" s="28" t="s">
        <v>76</v>
      </c>
      <c r="R1306" s="29"/>
      <c r="S1306" s="31"/>
      <c r="T1306" s="31"/>
      <c r="U1306" s="28" t="s">
        <v>75</v>
      </c>
      <c r="V1306" s="28" t="s">
        <v>75</v>
      </c>
      <c r="W1306" s="31"/>
    </row>
    <row r="1307" spans="1:23" hidden="1">
      <c r="A1307" s="46" t="s">
        <v>711</v>
      </c>
      <c r="B1307" s="28" t="s">
        <v>1639</v>
      </c>
      <c r="C1307" s="44" t="s">
        <v>740</v>
      </c>
      <c r="D1307" s="44" t="s">
        <v>1661</v>
      </c>
      <c r="E1307" s="44" t="s">
        <v>1762</v>
      </c>
      <c r="F1307" s="44" t="s">
        <v>1761</v>
      </c>
      <c r="G1307" s="44" t="s">
        <v>1761</v>
      </c>
      <c r="H1307" s="44" t="s">
        <v>1662</v>
      </c>
      <c r="I1307" s="28" t="str">
        <f>VLOOKUP(F1307,표준용어사전!$B:$D,3,FALSE)</f>
        <v>코드C1</v>
      </c>
      <c r="J1307" s="44" t="s">
        <v>1638</v>
      </c>
      <c r="K1307" s="44">
        <v>1</v>
      </c>
      <c r="L1307" s="29" t="s">
        <v>571</v>
      </c>
      <c r="M1307" s="29" t="s">
        <v>722</v>
      </c>
      <c r="N1307" s="32" t="s">
        <v>711</v>
      </c>
      <c r="O1307" s="31"/>
      <c r="P1307" s="31"/>
      <c r="Q1307" s="28" t="s">
        <v>76</v>
      </c>
      <c r="R1307" s="29"/>
      <c r="S1307" s="31"/>
      <c r="T1307" s="31"/>
      <c r="U1307" s="28" t="s">
        <v>75</v>
      </c>
      <c r="V1307" s="28" t="s">
        <v>75</v>
      </c>
      <c r="W1307" s="31"/>
    </row>
    <row r="1308" spans="1:23" hidden="1">
      <c r="A1308" s="46" t="s">
        <v>711</v>
      </c>
      <c r="B1308" s="28" t="s">
        <v>1639</v>
      </c>
      <c r="C1308" s="44" t="s">
        <v>740</v>
      </c>
      <c r="D1308" s="44" t="s">
        <v>1661</v>
      </c>
      <c r="E1308" s="44" t="s">
        <v>1697</v>
      </c>
      <c r="F1308" s="44" t="s">
        <v>1667</v>
      </c>
      <c r="G1308" s="44" t="s">
        <v>1667</v>
      </c>
      <c r="H1308" s="44" t="s">
        <v>1662</v>
      </c>
      <c r="I1308" s="28" t="str">
        <f>VLOOKUP(F1308,표준용어사전!$B:$D,3,FALSE)</f>
        <v>번호I</v>
      </c>
      <c r="J1308" s="44" t="s">
        <v>1659</v>
      </c>
      <c r="K1308" s="44">
        <v>4</v>
      </c>
      <c r="L1308" s="29" t="s">
        <v>571</v>
      </c>
      <c r="M1308" s="29"/>
      <c r="N1308" s="32" t="s">
        <v>711</v>
      </c>
      <c r="O1308" s="31"/>
      <c r="P1308" s="31"/>
      <c r="Q1308" s="28" t="s">
        <v>76</v>
      </c>
      <c r="R1308" s="29"/>
      <c r="S1308" s="31"/>
      <c r="T1308" s="31"/>
      <c r="U1308" s="28" t="s">
        <v>75</v>
      </c>
      <c r="V1308" s="28" t="s">
        <v>75</v>
      </c>
      <c r="W1308" s="31"/>
    </row>
    <row r="1309" spans="1:23" hidden="1">
      <c r="A1309" s="46" t="s">
        <v>711</v>
      </c>
      <c r="B1309" s="28" t="s">
        <v>1639</v>
      </c>
      <c r="C1309" s="44" t="s">
        <v>740</v>
      </c>
      <c r="D1309" s="44" t="s">
        <v>1661</v>
      </c>
      <c r="E1309" s="44" t="s">
        <v>1698</v>
      </c>
      <c r="F1309" s="44" t="s">
        <v>1669</v>
      </c>
      <c r="G1309" s="44" t="s">
        <v>1669</v>
      </c>
      <c r="H1309" s="44" t="s">
        <v>1662</v>
      </c>
      <c r="I1309" s="28" t="str">
        <f>VLOOKUP(F1309,표준용어사전!$B:$D,3,FALSE)</f>
        <v>내용V1000</v>
      </c>
      <c r="J1309" s="44" t="s">
        <v>718</v>
      </c>
      <c r="K1309" s="44">
        <v>254</v>
      </c>
      <c r="L1309" s="29" t="s">
        <v>571</v>
      </c>
      <c r="M1309" s="29" t="s">
        <v>928</v>
      </c>
      <c r="N1309" s="32" t="s">
        <v>711</v>
      </c>
      <c r="O1309" s="31"/>
      <c r="P1309" s="31"/>
      <c r="Q1309" s="28" t="s">
        <v>76</v>
      </c>
      <c r="R1309" s="29"/>
      <c r="S1309" s="31"/>
      <c r="T1309" s="31"/>
      <c r="U1309" s="28" t="s">
        <v>75</v>
      </c>
      <c r="V1309" s="28" t="s">
        <v>75</v>
      </c>
      <c r="W1309" s="31"/>
    </row>
    <row r="1310" spans="1:23" hidden="1">
      <c r="A1310" s="46" t="s">
        <v>711</v>
      </c>
      <c r="B1310" s="28" t="s">
        <v>1639</v>
      </c>
      <c r="C1310" s="44" t="s">
        <v>740</v>
      </c>
      <c r="D1310" s="44" t="s">
        <v>1661</v>
      </c>
      <c r="E1310" s="44" t="s">
        <v>1424</v>
      </c>
      <c r="F1310" s="44" t="s">
        <v>1425</v>
      </c>
      <c r="G1310" s="44" t="s">
        <v>1425</v>
      </c>
      <c r="H1310" s="44" t="s">
        <v>1662</v>
      </c>
      <c r="I1310" s="28" t="str">
        <f>VLOOKUP(F1310,표준용어사전!$B:$D,3,FALSE)</f>
        <v>연월일시분초TS</v>
      </c>
      <c r="J1310" s="44" t="s">
        <v>719</v>
      </c>
      <c r="K1310" s="44"/>
      <c r="L1310" s="29" t="s">
        <v>571</v>
      </c>
      <c r="M1310" s="29" t="s">
        <v>1652</v>
      </c>
      <c r="N1310" s="32" t="s">
        <v>711</v>
      </c>
      <c r="O1310" s="31"/>
      <c r="P1310" s="31"/>
      <c r="Q1310" s="28" t="s">
        <v>76</v>
      </c>
      <c r="R1310" s="29"/>
      <c r="S1310" s="31"/>
      <c r="T1310" s="28" t="s">
        <v>574</v>
      </c>
      <c r="U1310" s="28" t="s">
        <v>75</v>
      </c>
      <c r="V1310" s="28" t="s">
        <v>75</v>
      </c>
      <c r="W1310" s="31"/>
    </row>
    <row r="1311" spans="1:23" hidden="1">
      <c r="A1311" s="46" t="s">
        <v>711</v>
      </c>
      <c r="B1311" s="28" t="s">
        <v>1639</v>
      </c>
      <c r="C1311" s="44" t="s">
        <v>740</v>
      </c>
      <c r="D1311" s="44" t="s">
        <v>1661</v>
      </c>
      <c r="E1311" s="44" t="s">
        <v>1689</v>
      </c>
      <c r="F1311" s="44" t="s">
        <v>1559</v>
      </c>
      <c r="G1311" s="44" t="s">
        <v>1559</v>
      </c>
      <c r="H1311" s="44" t="s">
        <v>1662</v>
      </c>
      <c r="I1311" s="28" t="str">
        <f>VLOOKUP(F1311,표준용어사전!$B:$D,3,FALSE)</f>
        <v>명V20</v>
      </c>
      <c r="J1311" s="44" t="s">
        <v>718</v>
      </c>
      <c r="K1311" s="44">
        <v>20</v>
      </c>
      <c r="L1311" s="29" t="s">
        <v>571</v>
      </c>
      <c r="M1311" s="29" t="s">
        <v>727</v>
      </c>
      <c r="N1311" s="32" t="s">
        <v>711</v>
      </c>
      <c r="O1311" s="31"/>
      <c r="P1311" s="31"/>
      <c r="Q1311" s="28" t="s">
        <v>76</v>
      </c>
      <c r="R1311" s="29"/>
      <c r="S1311" s="31"/>
      <c r="T1311" s="31"/>
      <c r="U1311" s="28" t="s">
        <v>75</v>
      </c>
      <c r="V1311" s="28" t="s">
        <v>75</v>
      </c>
      <c r="W1311" s="31"/>
    </row>
    <row r="1312" spans="1:23" hidden="1">
      <c r="A1312" s="46" t="s">
        <v>711</v>
      </c>
      <c r="B1312" s="28" t="s">
        <v>1639</v>
      </c>
      <c r="C1312" s="44" t="s">
        <v>740</v>
      </c>
      <c r="D1312" s="44" t="s">
        <v>1661</v>
      </c>
      <c r="E1312" s="44" t="s">
        <v>1690</v>
      </c>
      <c r="F1312" s="44" t="s">
        <v>1411</v>
      </c>
      <c r="G1312" s="44" t="s">
        <v>1411</v>
      </c>
      <c r="H1312" s="44" t="s">
        <v>1662</v>
      </c>
      <c r="I1312" s="28" t="str">
        <f>VLOOKUP(F1312,표준용어사전!$B:$D,3,FALSE)</f>
        <v>연월일시분초TS</v>
      </c>
      <c r="J1312" s="44" t="s">
        <v>719</v>
      </c>
      <c r="K1312" s="44"/>
      <c r="L1312" s="29" t="s">
        <v>571</v>
      </c>
      <c r="M1312" s="29" t="s">
        <v>1653</v>
      </c>
      <c r="N1312" s="32" t="s">
        <v>572</v>
      </c>
      <c r="O1312" s="31"/>
      <c r="P1312" s="31"/>
      <c r="Q1312" s="28" t="s">
        <v>76</v>
      </c>
      <c r="R1312" s="29"/>
      <c r="S1312" s="31"/>
      <c r="T1312" s="28" t="s">
        <v>574</v>
      </c>
      <c r="U1312" s="28" t="s">
        <v>75</v>
      </c>
      <c r="V1312" s="28" t="s">
        <v>75</v>
      </c>
      <c r="W1312" s="31"/>
    </row>
    <row r="1313" spans="1:23" hidden="1">
      <c r="A1313" s="46" t="s">
        <v>711</v>
      </c>
      <c r="B1313" s="28" t="s">
        <v>1639</v>
      </c>
      <c r="C1313" s="44" t="s">
        <v>740</v>
      </c>
      <c r="D1313" s="44" t="s">
        <v>1661</v>
      </c>
      <c r="E1313" s="44" t="s">
        <v>950</v>
      </c>
      <c r="F1313" s="44" t="s">
        <v>1560</v>
      </c>
      <c r="G1313" s="44" t="s">
        <v>1560</v>
      </c>
      <c r="H1313" s="44" t="s">
        <v>1662</v>
      </c>
      <c r="I1313" s="28" t="str">
        <f>VLOOKUP(F1313,표준용어사전!$B:$D,3,FALSE)</f>
        <v>명V20</v>
      </c>
      <c r="J1313" s="44" t="s">
        <v>718</v>
      </c>
      <c r="K1313" s="44">
        <v>20</v>
      </c>
      <c r="L1313" s="29" t="s">
        <v>571</v>
      </c>
      <c r="M1313" s="29" t="s">
        <v>727</v>
      </c>
      <c r="N1313" s="32" t="s">
        <v>572</v>
      </c>
      <c r="O1313" s="31"/>
      <c r="P1313" s="31"/>
      <c r="Q1313" s="28" t="s">
        <v>76</v>
      </c>
      <c r="R1313" s="29"/>
      <c r="S1313" s="31"/>
      <c r="T1313" s="31"/>
      <c r="U1313" s="28" t="s">
        <v>75</v>
      </c>
      <c r="V1313" s="28" t="s">
        <v>75</v>
      </c>
      <c r="W1313" s="31"/>
    </row>
    <row r="1314" spans="1:23" hidden="1">
      <c r="A1314" s="46" t="s">
        <v>711</v>
      </c>
      <c r="B1314" s="28" t="s">
        <v>1639</v>
      </c>
      <c r="C1314" s="44" t="s">
        <v>740</v>
      </c>
      <c r="D1314" s="44" t="s">
        <v>1670</v>
      </c>
      <c r="E1314" s="44" t="s">
        <v>1696</v>
      </c>
      <c r="F1314" s="44" t="s">
        <v>1665</v>
      </c>
      <c r="G1314" s="44" t="s">
        <v>1665</v>
      </c>
      <c r="H1314" s="44" t="s">
        <v>1671</v>
      </c>
      <c r="I1314" s="28" t="str">
        <f>VLOOKUP(F1314,표준용어사전!$B:$D,3,FALSE)</f>
        <v>명V20</v>
      </c>
      <c r="J1314" s="44" t="s">
        <v>718</v>
      </c>
      <c r="K1314" s="44">
        <v>20</v>
      </c>
      <c r="L1314" s="29" t="s">
        <v>571</v>
      </c>
      <c r="M1314" s="29" t="s">
        <v>727</v>
      </c>
      <c r="N1314" s="32" t="s">
        <v>711</v>
      </c>
      <c r="O1314" s="31" t="s">
        <v>641</v>
      </c>
      <c r="P1314" s="31" t="s">
        <v>1672</v>
      </c>
      <c r="Q1314" s="28" t="s">
        <v>76</v>
      </c>
      <c r="R1314" s="29"/>
      <c r="S1314" s="31"/>
      <c r="T1314" s="31"/>
      <c r="U1314" s="28" t="s">
        <v>75</v>
      </c>
      <c r="V1314" s="28" t="s">
        <v>75</v>
      </c>
      <c r="W1314" s="31"/>
    </row>
    <row r="1315" spans="1:23" hidden="1">
      <c r="A1315" s="46" t="s">
        <v>711</v>
      </c>
      <c r="B1315" s="28" t="s">
        <v>1639</v>
      </c>
      <c r="C1315" s="44" t="s">
        <v>740</v>
      </c>
      <c r="D1315" s="44" t="s">
        <v>1670</v>
      </c>
      <c r="E1315" s="44" t="s">
        <v>1699</v>
      </c>
      <c r="F1315" s="44" t="s">
        <v>1674</v>
      </c>
      <c r="G1315" s="44" t="s">
        <v>1674</v>
      </c>
      <c r="H1315" s="44" t="s">
        <v>1671</v>
      </c>
      <c r="I1315" s="28" t="str">
        <f>VLOOKUP(F1315,표준용어사전!$B:$D,3,FALSE)</f>
        <v>번호I</v>
      </c>
      <c r="J1315" s="44" t="s">
        <v>1659</v>
      </c>
      <c r="K1315" s="44">
        <v>4</v>
      </c>
      <c r="L1315" s="29" t="s">
        <v>571</v>
      </c>
      <c r="M1315" s="29"/>
      <c r="N1315" s="32" t="s">
        <v>711</v>
      </c>
      <c r="O1315" s="31" t="s">
        <v>573</v>
      </c>
      <c r="P1315" s="31"/>
      <c r="Q1315" s="28" t="s">
        <v>76</v>
      </c>
      <c r="R1315" s="29"/>
      <c r="S1315" s="31"/>
      <c r="T1315" s="31"/>
      <c r="U1315" s="28" t="s">
        <v>75</v>
      </c>
      <c r="V1315" s="28" t="s">
        <v>75</v>
      </c>
      <c r="W1315" s="31"/>
    </row>
    <row r="1316" spans="1:23" hidden="1">
      <c r="A1316" s="46" t="s">
        <v>711</v>
      </c>
      <c r="B1316" s="28" t="s">
        <v>1639</v>
      </c>
      <c r="C1316" s="44" t="s">
        <v>740</v>
      </c>
      <c r="D1316" s="44" t="s">
        <v>1670</v>
      </c>
      <c r="E1316" s="44" t="s">
        <v>1700</v>
      </c>
      <c r="F1316" s="44" t="s">
        <v>1676</v>
      </c>
      <c r="G1316" s="44" t="s">
        <v>1676</v>
      </c>
      <c r="H1316" s="44" t="s">
        <v>1671</v>
      </c>
      <c r="I1316" s="28" t="str">
        <f>VLOOKUP(F1316,표준용어사전!$B:$D,3,FALSE)</f>
        <v>내용V1000</v>
      </c>
      <c r="J1316" s="44" t="s">
        <v>718</v>
      </c>
      <c r="K1316" s="44">
        <v>254</v>
      </c>
      <c r="L1316" s="29" t="s">
        <v>571</v>
      </c>
      <c r="M1316" s="29" t="s">
        <v>928</v>
      </c>
      <c r="N1316" s="32" t="s">
        <v>711</v>
      </c>
      <c r="O1316" s="31"/>
      <c r="P1316" s="31"/>
      <c r="Q1316" s="28" t="s">
        <v>76</v>
      </c>
      <c r="R1316" s="29"/>
      <c r="S1316" s="31"/>
      <c r="T1316" s="31"/>
      <c r="U1316" s="28" t="s">
        <v>75</v>
      </c>
      <c r="V1316" s="28" t="s">
        <v>75</v>
      </c>
      <c r="W1316" s="31"/>
    </row>
    <row r="1317" spans="1:23" hidden="1">
      <c r="A1317" s="46" t="s">
        <v>711</v>
      </c>
      <c r="B1317" s="28" t="s">
        <v>1639</v>
      </c>
      <c r="C1317" s="44" t="s">
        <v>740</v>
      </c>
      <c r="D1317" s="44" t="s">
        <v>1670</v>
      </c>
      <c r="E1317" s="44" t="s">
        <v>1424</v>
      </c>
      <c r="F1317" s="44" t="s">
        <v>1425</v>
      </c>
      <c r="G1317" s="44" t="s">
        <v>1425</v>
      </c>
      <c r="H1317" s="44" t="s">
        <v>1671</v>
      </c>
      <c r="I1317" s="28" t="str">
        <f>VLOOKUP(F1317,표준용어사전!$B:$D,3,FALSE)</f>
        <v>연월일시분초TS</v>
      </c>
      <c r="J1317" s="44" t="s">
        <v>719</v>
      </c>
      <c r="K1317" s="44"/>
      <c r="L1317" s="29" t="s">
        <v>571</v>
      </c>
      <c r="M1317" s="29" t="s">
        <v>1652</v>
      </c>
      <c r="N1317" s="32" t="s">
        <v>711</v>
      </c>
      <c r="O1317" s="31"/>
      <c r="P1317" s="31"/>
      <c r="Q1317" s="28" t="s">
        <v>76</v>
      </c>
      <c r="R1317" s="29"/>
      <c r="S1317" s="31"/>
      <c r="T1317" s="28" t="s">
        <v>574</v>
      </c>
      <c r="U1317" s="28" t="s">
        <v>75</v>
      </c>
      <c r="V1317" s="28" t="s">
        <v>75</v>
      </c>
      <c r="W1317" s="31"/>
    </row>
    <row r="1318" spans="1:23" hidden="1">
      <c r="A1318" s="46" t="s">
        <v>711</v>
      </c>
      <c r="B1318" s="28" t="s">
        <v>1639</v>
      </c>
      <c r="C1318" s="44" t="s">
        <v>740</v>
      </c>
      <c r="D1318" s="44" t="s">
        <v>1670</v>
      </c>
      <c r="E1318" s="44" t="s">
        <v>1689</v>
      </c>
      <c r="F1318" s="44" t="s">
        <v>1559</v>
      </c>
      <c r="G1318" s="44" t="s">
        <v>1559</v>
      </c>
      <c r="H1318" s="44" t="s">
        <v>1671</v>
      </c>
      <c r="I1318" s="28" t="str">
        <f>VLOOKUP(F1318,표준용어사전!$B:$D,3,FALSE)</f>
        <v>명V20</v>
      </c>
      <c r="J1318" s="44" t="s">
        <v>718</v>
      </c>
      <c r="K1318" s="44">
        <v>20</v>
      </c>
      <c r="L1318" s="29" t="s">
        <v>571</v>
      </c>
      <c r="M1318" s="29" t="s">
        <v>727</v>
      </c>
      <c r="N1318" s="32" t="s">
        <v>711</v>
      </c>
      <c r="O1318" s="31"/>
      <c r="P1318" s="31"/>
      <c r="Q1318" s="28" t="s">
        <v>76</v>
      </c>
      <c r="R1318" s="29"/>
      <c r="S1318" s="31"/>
      <c r="T1318" s="31"/>
      <c r="U1318" s="28" t="s">
        <v>75</v>
      </c>
      <c r="V1318" s="28" t="s">
        <v>75</v>
      </c>
      <c r="W1318" s="31"/>
    </row>
    <row r="1319" spans="1:23" hidden="1">
      <c r="A1319" s="46" t="s">
        <v>711</v>
      </c>
      <c r="B1319" s="28" t="s">
        <v>1639</v>
      </c>
      <c r="C1319" s="44" t="s">
        <v>740</v>
      </c>
      <c r="D1319" s="44" t="s">
        <v>1670</v>
      </c>
      <c r="E1319" s="44" t="s">
        <v>1690</v>
      </c>
      <c r="F1319" s="44" t="s">
        <v>1411</v>
      </c>
      <c r="G1319" s="44" t="s">
        <v>1411</v>
      </c>
      <c r="H1319" s="44" t="s">
        <v>1671</v>
      </c>
      <c r="I1319" s="28" t="str">
        <f>VLOOKUP(F1319,표준용어사전!$B:$D,3,FALSE)</f>
        <v>연월일시분초TS</v>
      </c>
      <c r="J1319" s="44" t="s">
        <v>719</v>
      </c>
      <c r="K1319" s="44"/>
      <c r="L1319" s="29" t="s">
        <v>571</v>
      </c>
      <c r="M1319" s="29" t="s">
        <v>1653</v>
      </c>
      <c r="N1319" s="32" t="s">
        <v>572</v>
      </c>
      <c r="O1319" s="31"/>
      <c r="P1319" s="31"/>
      <c r="Q1319" s="28" t="s">
        <v>76</v>
      </c>
      <c r="R1319" s="29"/>
      <c r="S1319" s="31"/>
      <c r="T1319" s="28" t="s">
        <v>574</v>
      </c>
      <c r="U1319" s="28" t="s">
        <v>75</v>
      </c>
      <c r="V1319" s="28" t="s">
        <v>75</v>
      </c>
      <c r="W1319" s="31"/>
    </row>
    <row r="1320" spans="1:23" hidden="1">
      <c r="A1320" s="46" t="s">
        <v>711</v>
      </c>
      <c r="B1320" s="28" t="s">
        <v>1639</v>
      </c>
      <c r="C1320" s="44" t="s">
        <v>740</v>
      </c>
      <c r="D1320" s="44" t="s">
        <v>1670</v>
      </c>
      <c r="E1320" s="44" t="s">
        <v>950</v>
      </c>
      <c r="F1320" s="44" t="s">
        <v>1560</v>
      </c>
      <c r="G1320" s="44" t="s">
        <v>1560</v>
      </c>
      <c r="H1320" s="44" t="s">
        <v>1671</v>
      </c>
      <c r="I1320" s="28" t="str">
        <f>VLOOKUP(F1320,표준용어사전!$B:$D,3,FALSE)</f>
        <v>명V20</v>
      </c>
      <c r="J1320" s="44" t="s">
        <v>718</v>
      </c>
      <c r="K1320" s="44">
        <v>20</v>
      </c>
      <c r="L1320" s="29" t="s">
        <v>571</v>
      </c>
      <c r="M1320" s="29" t="s">
        <v>727</v>
      </c>
      <c r="N1320" s="32" t="s">
        <v>572</v>
      </c>
      <c r="O1320" s="31"/>
      <c r="P1320" s="31"/>
      <c r="Q1320" s="28" t="s">
        <v>76</v>
      </c>
      <c r="R1320" s="29"/>
      <c r="S1320" s="31"/>
      <c r="T1320" s="31"/>
      <c r="U1320" s="28" t="s">
        <v>75</v>
      </c>
      <c r="V1320" s="28" t="s">
        <v>75</v>
      </c>
      <c r="W1320" s="31"/>
    </row>
    <row r="1321" spans="1:23" hidden="1">
      <c r="A1321" s="46" t="s">
        <v>711</v>
      </c>
      <c r="B1321" s="28" t="s">
        <v>1639</v>
      </c>
      <c r="C1321" s="44" t="s">
        <v>740</v>
      </c>
      <c r="D1321" s="44" t="s">
        <v>1677</v>
      </c>
      <c r="E1321" s="44" t="s">
        <v>1696</v>
      </c>
      <c r="F1321" s="44" t="s">
        <v>1665</v>
      </c>
      <c r="G1321" s="44" t="s">
        <v>1665</v>
      </c>
      <c r="H1321" s="44" t="s">
        <v>1678</v>
      </c>
      <c r="I1321" s="28" t="str">
        <f>VLOOKUP(F1321,표준용어사전!$B:$D,3,FALSE)</f>
        <v>명V20</v>
      </c>
      <c r="J1321" s="44" t="s">
        <v>718</v>
      </c>
      <c r="K1321" s="44">
        <v>20</v>
      </c>
      <c r="L1321" s="29" t="s">
        <v>571</v>
      </c>
      <c r="M1321" s="29" t="s">
        <v>727</v>
      </c>
      <c r="N1321" s="32" t="s">
        <v>711</v>
      </c>
      <c r="O1321" s="31" t="s">
        <v>641</v>
      </c>
      <c r="P1321" s="31" t="s">
        <v>1672</v>
      </c>
      <c r="Q1321" s="28" t="s">
        <v>76</v>
      </c>
      <c r="R1321" s="29"/>
      <c r="S1321" s="31"/>
      <c r="T1321" s="31"/>
      <c r="U1321" s="28" t="s">
        <v>75</v>
      </c>
      <c r="V1321" s="28" t="s">
        <v>75</v>
      </c>
      <c r="W1321" s="31"/>
    </row>
    <row r="1322" spans="1:23" hidden="1">
      <c r="A1322" s="46" t="s">
        <v>711</v>
      </c>
      <c r="B1322" s="28" t="s">
        <v>1639</v>
      </c>
      <c r="C1322" s="44" t="s">
        <v>740</v>
      </c>
      <c r="D1322" s="44" t="s">
        <v>1677</v>
      </c>
      <c r="E1322" s="44" t="s">
        <v>1701</v>
      </c>
      <c r="F1322" s="44" t="s">
        <v>1708</v>
      </c>
      <c r="G1322" s="44" t="s">
        <v>1708</v>
      </c>
      <c r="H1322" s="44" t="s">
        <v>1678</v>
      </c>
      <c r="I1322" s="28" t="str">
        <f>VLOOKUP(F1322,표준용어사전!$B:$D,3,FALSE)</f>
        <v>명V20</v>
      </c>
      <c r="J1322" s="44" t="s">
        <v>718</v>
      </c>
      <c r="K1322" s="44">
        <v>20</v>
      </c>
      <c r="L1322" s="29" t="s">
        <v>571</v>
      </c>
      <c r="M1322" s="29" t="s">
        <v>727</v>
      </c>
      <c r="N1322" s="32" t="s">
        <v>711</v>
      </c>
      <c r="O1322" s="31" t="s">
        <v>573</v>
      </c>
      <c r="P1322" s="31"/>
      <c r="Q1322" s="28" t="s">
        <v>76</v>
      </c>
      <c r="R1322" s="29"/>
      <c r="S1322" s="31"/>
      <c r="T1322" s="31"/>
      <c r="U1322" s="28" t="s">
        <v>75</v>
      </c>
      <c r="V1322" s="28" t="s">
        <v>75</v>
      </c>
      <c r="W1322" s="31"/>
    </row>
    <row r="1323" spans="1:23" hidden="1">
      <c r="A1323" s="46" t="s">
        <v>711</v>
      </c>
      <c r="B1323" s="28" t="s">
        <v>1639</v>
      </c>
      <c r="C1323" s="44" t="s">
        <v>740</v>
      </c>
      <c r="D1323" s="44" t="s">
        <v>1677</v>
      </c>
      <c r="E1323" s="44" t="s">
        <v>1699</v>
      </c>
      <c r="F1323" s="44" t="s">
        <v>1674</v>
      </c>
      <c r="G1323" s="44" t="s">
        <v>1674</v>
      </c>
      <c r="H1323" s="44" t="s">
        <v>1678</v>
      </c>
      <c r="I1323" s="28" t="str">
        <f>VLOOKUP(F1323,표준용어사전!$B:$D,3,FALSE)</f>
        <v>번호I</v>
      </c>
      <c r="J1323" s="44" t="s">
        <v>1659</v>
      </c>
      <c r="K1323" s="44">
        <v>4</v>
      </c>
      <c r="L1323" s="29" t="s">
        <v>571</v>
      </c>
      <c r="M1323" s="29"/>
      <c r="N1323" s="32" t="s">
        <v>711</v>
      </c>
      <c r="O1323" s="31" t="s">
        <v>754</v>
      </c>
      <c r="P1323" s="31"/>
      <c r="Q1323" s="28" t="s">
        <v>76</v>
      </c>
      <c r="R1323" s="29"/>
      <c r="S1323" s="31"/>
      <c r="T1323" s="31"/>
      <c r="U1323" s="28" t="s">
        <v>75</v>
      </c>
      <c r="V1323" s="28" t="s">
        <v>75</v>
      </c>
      <c r="W1323" s="31"/>
    </row>
    <row r="1324" spans="1:23" hidden="1">
      <c r="A1324" s="46" t="s">
        <v>711</v>
      </c>
      <c r="B1324" s="28" t="s">
        <v>1639</v>
      </c>
      <c r="C1324" s="44" t="s">
        <v>740</v>
      </c>
      <c r="D1324" s="44" t="s">
        <v>1677</v>
      </c>
      <c r="E1324" s="44" t="s">
        <v>1702</v>
      </c>
      <c r="F1324" s="44" t="s">
        <v>1680</v>
      </c>
      <c r="G1324" s="44" t="s">
        <v>1680</v>
      </c>
      <c r="H1324" s="44" t="s">
        <v>1678</v>
      </c>
      <c r="I1324" s="28" t="str">
        <f>VLOOKUP(F1324,표준용어사전!$B:$D,3,FALSE)</f>
        <v>내용TXT</v>
      </c>
      <c r="J1324" s="44" t="s">
        <v>713</v>
      </c>
      <c r="K1324" s="44"/>
      <c r="L1324" s="29" t="s">
        <v>571</v>
      </c>
      <c r="M1324" s="29"/>
      <c r="N1324" s="32" t="s">
        <v>572</v>
      </c>
      <c r="O1324" s="31"/>
      <c r="P1324" s="31"/>
      <c r="Q1324" s="28" t="s">
        <v>76</v>
      </c>
      <c r="R1324" s="29"/>
      <c r="S1324" s="31"/>
      <c r="T1324" s="31"/>
      <c r="U1324" s="28" t="s">
        <v>75</v>
      </c>
      <c r="V1324" s="28" t="s">
        <v>75</v>
      </c>
      <c r="W1324" s="31"/>
    </row>
    <row r="1325" spans="1:23" hidden="1">
      <c r="A1325" s="46" t="s">
        <v>711</v>
      </c>
      <c r="B1325" s="28" t="s">
        <v>1639</v>
      </c>
      <c r="C1325" s="44" t="s">
        <v>740</v>
      </c>
      <c r="D1325" s="44" t="s">
        <v>1677</v>
      </c>
      <c r="E1325" s="44" t="s">
        <v>1424</v>
      </c>
      <c r="F1325" s="44" t="s">
        <v>1425</v>
      </c>
      <c r="G1325" s="44" t="s">
        <v>1425</v>
      </c>
      <c r="H1325" s="44" t="s">
        <v>1678</v>
      </c>
      <c r="I1325" s="28" t="str">
        <f>VLOOKUP(F1325,표준용어사전!$B:$D,3,FALSE)</f>
        <v>연월일시분초TS</v>
      </c>
      <c r="J1325" s="44" t="s">
        <v>719</v>
      </c>
      <c r="K1325" s="44"/>
      <c r="L1325" s="29" t="s">
        <v>571</v>
      </c>
      <c r="M1325" s="29" t="s">
        <v>1652</v>
      </c>
      <c r="N1325" s="29" t="s">
        <v>711</v>
      </c>
      <c r="O1325" s="31"/>
      <c r="P1325" s="31"/>
      <c r="Q1325" s="28" t="s">
        <v>76</v>
      </c>
      <c r="R1325" s="29"/>
      <c r="S1325" s="31"/>
      <c r="T1325" s="28" t="s">
        <v>574</v>
      </c>
      <c r="U1325" s="28" t="s">
        <v>75</v>
      </c>
      <c r="V1325" s="28" t="s">
        <v>75</v>
      </c>
      <c r="W1325" s="31"/>
    </row>
    <row r="1326" spans="1:23" hidden="1">
      <c r="A1326" s="46" t="s">
        <v>711</v>
      </c>
      <c r="B1326" s="28" t="s">
        <v>1639</v>
      </c>
      <c r="C1326" s="44" t="s">
        <v>740</v>
      </c>
      <c r="D1326" s="44" t="s">
        <v>1677</v>
      </c>
      <c r="E1326" s="44" t="s">
        <v>1689</v>
      </c>
      <c r="F1326" s="44" t="s">
        <v>1559</v>
      </c>
      <c r="G1326" s="44" t="s">
        <v>1559</v>
      </c>
      <c r="H1326" s="44" t="s">
        <v>1678</v>
      </c>
      <c r="I1326" s="28" t="str">
        <f>VLOOKUP(F1326,표준용어사전!$B:$D,3,FALSE)</f>
        <v>명V20</v>
      </c>
      <c r="J1326" s="44" t="s">
        <v>718</v>
      </c>
      <c r="K1326" s="44">
        <v>20</v>
      </c>
      <c r="L1326" s="29" t="s">
        <v>571</v>
      </c>
      <c r="M1326" s="29" t="s">
        <v>727</v>
      </c>
      <c r="N1326" s="32" t="s">
        <v>711</v>
      </c>
      <c r="O1326" s="31"/>
      <c r="P1326" s="31"/>
      <c r="Q1326" s="28" t="s">
        <v>76</v>
      </c>
      <c r="R1326" s="29"/>
      <c r="S1326" s="31"/>
      <c r="T1326" s="31"/>
      <c r="U1326" s="28" t="s">
        <v>75</v>
      </c>
      <c r="V1326" s="28" t="s">
        <v>75</v>
      </c>
      <c r="W1326" s="31"/>
    </row>
    <row r="1327" spans="1:23" hidden="1">
      <c r="A1327" s="46" t="s">
        <v>711</v>
      </c>
      <c r="B1327" s="28" t="s">
        <v>1639</v>
      </c>
      <c r="C1327" s="44" t="s">
        <v>740</v>
      </c>
      <c r="D1327" s="44" t="s">
        <v>1681</v>
      </c>
      <c r="E1327" s="44" t="s">
        <v>1692</v>
      </c>
      <c r="F1327" s="44" t="s">
        <v>1642</v>
      </c>
      <c r="G1327" s="44" t="s">
        <v>1642</v>
      </c>
      <c r="H1327" s="44" t="s">
        <v>1682</v>
      </c>
      <c r="I1327" s="28" t="str">
        <f>VLOOKUP(F1327,표준용어사전!$B:$D,3,FALSE)</f>
        <v>명V20</v>
      </c>
      <c r="J1327" s="44" t="s">
        <v>718</v>
      </c>
      <c r="K1327" s="44">
        <v>20</v>
      </c>
      <c r="L1327" s="29" t="s">
        <v>571</v>
      </c>
      <c r="M1327" s="29" t="s">
        <v>727</v>
      </c>
      <c r="N1327" s="32" t="s">
        <v>711</v>
      </c>
      <c r="O1327" s="31" t="s">
        <v>641</v>
      </c>
      <c r="P1327" s="31" t="s">
        <v>1656</v>
      </c>
      <c r="Q1327" s="28" t="s">
        <v>76</v>
      </c>
      <c r="R1327" s="29"/>
      <c r="S1327" s="31"/>
      <c r="T1327" s="31"/>
      <c r="U1327" s="28" t="s">
        <v>75</v>
      </c>
      <c r="V1327" s="28" t="s">
        <v>75</v>
      </c>
      <c r="W1327" s="31"/>
    </row>
    <row r="1328" spans="1:23" hidden="1">
      <c r="A1328" s="46" t="s">
        <v>711</v>
      </c>
      <c r="B1328" s="28" t="s">
        <v>1639</v>
      </c>
      <c r="C1328" s="44" t="s">
        <v>740</v>
      </c>
      <c r="D1328" s="44" t="s">
        <v>1681</v>
      </c>
      <c r="E1328" s="44" t="s">
        <v>1764</v>
      </c>
      <c r="F1328" s="44" t="s">
        <v>1763</v>
      </c>
      <c r="G1328" s="44" t="s">
        <v>1763</v>
      </c>
      <c r="H1328" s="44" t="s">
        <v>1682</v>
      </c>
      <c r="I1328" s="28" t="str">
        <f>VLOOKUP(F1328,표준용어사전!$B:$D,3,FALSE)</f>
        <v>코드V50</v>
      </c>
      <c r="J1328" s="44" t="s">
        <v>718</v>
      </c>
      <c r="K1328" s="44">
        <v>30</v>
      </c>
      <c r="L1328" s="29" t="s">
        <v>571</v>
      </c>
      <c r="M1328" s="29" t="s">
        <v>1018</v>
      </c>
      <c r="N1328" s="32" t="s">
        <v>711</v>
      </c>
      <c r="O1328" s="31" t="s">
        <v>573</v>
      </c>
      <c r="P1328" s="31"/>
      <c r="Q1328" s="28" t="s">
        <v>76</v>
      </c>
      <c r="R1328" s="29"/>
      <c r="S1328" s="31"/>
      <c r="T1328" s="31"/>
      <c r="U1328" s="28" t="s">
        <v>75</v>
      </c>
      <c r="V1328" s="28" t="s">
        <v>75</v>
      </c>
      <c r="W1328" s="31"/>
    </row>
    <row r="1329" spans="1:23" hidden="1">
      <c r="A1329" s="46" t="s">
        <v>711</v>
      </c>
      <c r="B1329" s="28" t="s">
        <v>1639</v>
      </c>
      <c r="C1329" s="44" t="s">
        <v>740</v>
      </c>
      <c r="D1329" s="44" t="s">
        <v>1681</v>
      </c>
      <c r="E1329" s="44" t="s">
        <v>1424</v>
      </c>
      <c r="F1329" s="44" t="s">
        <v>1425</v>
      </c>
      <c r="G1329" s="44" t="s">
        <v>1425</v>
      </c>
      <c r="H1329" s="44" t="s">
        <v>1682</v>
      </c>
      <c r="I1329" s="28" t="str">
        <f>VLOOKUP(F1329,표준용어사전!$B:$D,3,FALSE)</f>
        <v>연월일시분초TS</v>
      </c>
      <c r="J1329" s="44" t="s">
        <v>719</v>
      </c>
      <c r="K1329" s="44"/>
      <c r="L1329" s="29" t="s">
        <v>571</v>
      </c>
      <c r="M1329" s="29" t="s">
        <v>1652</v>
      </c>
      <c r="N1329" s="29" t="s">
        <v>711</v>
      </c>
      <c r="O1329" s="31"/>
      <c r="P1329" s="31"/>
      <c r="Q1329" s="28" t="s">
        <v>76</v>
      </c>
      <c r="R1329" s="29"/>
      <c r="S1329" s="31"/>
      <c r="T1329" s="28" t="s">
        <v>574</v>
      </c>
      <c r="U1329" s="28" t="s">
        <v>75</v>
      </c>
      <c r="V1329" s="28" t="s">
        <v>75</v>
      </c>
      <c r="W1329" s="31"/>
    </row>
    <row r="1330" spans="1:23" hidden="1">
      <c r="A1330" s="46" t="s">
        <v>711</v>
      </c>
      <c r="B1330" s="28" t="s">
        <v>1639</v>
      </c>
      <c r="C1330" s="44" t="s">
        <v>740</v>
      </c>
      <c r="D1330" s="44" t="s">
        <v>1683</v>
      </c>
      <c r="E1330" s="44" t="s">
        <v>1689</v>
      </c>
      <c r="F1330" s="44" t="s">
        <v>1559</v>
      </c>
      <c r="G1330" s="44" t="s">
        <v>1559</v>
      </c>
      <c r="H1330" s="44" t="s">
        <v>1682</v>
      </c>
      <c r="I1330" s="28" t="str">
        <f>VLOOKUP(F1330,표준용어사전!$B:$D,3,FALSE)</f>
        <v>명V20</v>
      </c>
      <c r="J1330" s="44" t="s">
        <v>718</v>
      </c>
      <c r="K1330" s="44">
        <v>20</v>
      </c>
      <c r="L1330" s="29" t="s">
        <v>571</v>
      </c>
      <c r="M1330" s="29" t="s">
        <v>727</v>
      </c>
      <c r="N1330" s="32" t="s">
        <v>711</v>
      </c>
      <c r="O1330" s="31"/>
      <c r="P1330" s="31"/>
      <c r="Q1330" s="28" t="s">
        <v>76</v>
      </c>
      <c r="R1330" s="29"/>
      <c r="S1330" s="31"/>
      <c r="T1330" s="31"/>
      <c r="U1330" s="28" t="s">
        <v>75</v>
      </c>
      <c r="V1330" s="28" t="s">
        <v>75</v>
      </c>
      <c r="W1330" s="31"/>
    </row>
    <row r="1331" spans="1:23" hidden="1">
      <c r="A1331" s="46" t="s">
        <v>711</v>
      </c>
      <c r="B1331" s="28" t="s">
        <v>1639</v>
      </c>
      <c r="C1331" s="44" t="s">
        <v>740</v>
      </c>
      <c r="D1331" s="44" t="s">
        <v>1683</v>
      </c>
      <c r="E1331" s="44" t="s">
        <v>1692</v>
      </c>
      <c r="F1331" s="44" t="s">
        <v>1642</v>
      </c>
      <c r="G1331" s="44" t="s">
        <v>1642</v>
      </c>
      <c r="H1331" s="44" t="s">
        <v>1684</v>
      </c>
      <c r="I1331" s="28" t="str">
        <f>VLOOKUP(F1331,표준용어사전!$B:$D,3,FALSE)</f>
        <v>명V20</v>
      </c>
      <c r="J1331" s="44" t="s">
        <v>718</v>
      </c>
      <c r="K1331" s="44">
        <v>20</v>
      </c>
      <c r="L1331" s="29" t="s">
        <v>571</v>
      </c>
      <c r="M1331" s="29" t="s">
        <v>727</v>
      </c>
      <c r="N1331" s="32" t="s">
        <v>711</v>
      </c>
      <c r="O1331" s="31" t="s">
        <v>641</v>
      </c>
      <c r="P1331" s="31" t="s">
        <v>1656</v>
      </c>
      <c r="Q1331" s="28" t="s">
        <v>76</v>
      </c>
      <c r="R1331" s="29"/>
      <c r="S1331" s="31"/>
      <c r="T1331" s="31"/>
      <c r="U1331" s="28" t="s">
        <v>75</v>
      </c>
      <c r="V1331" s="28" t="s">
        <v>75</v>
      </c>
      <c r="W1331" s="31"/>
    </row>
    <row r="1332" spans="1:23" hidden="1">
      <c r="A1332" s="46" t="s">
        <v>711</v>
      </c>
      <c r="B1332" s="28" t="s">
        <v>1639</v>
      </c>
      <c r="C1332" s="44" t="s">
        <v>740</v>
      </c>
      <c r="D1332" s="44" t="s">
        <v>1683</v>
      </c>
      <c r="E1332" s="44" t="s">
        <v>1701</v>
      </c>
      <c r="F1332" s="44" t="s">
        <v>1708</v>
      </c>
      <c r="G1332" s="44" t="s">
        <v>1708</v>
      </c>
      <c r="H1332" s="44" t="s">
        <v>1684</v>
      </c>
      <c r="I1332" s="28" t="str">
        <f>VLOOKUP(F1332,표준용어사전!$B:$D,3,FALSE)</f>
        <v>명V20</v>
      </c>
      <c r="J1332" s="44" t="s">
        <v>718</v>
      </c>
      <c r="K1332" s="44">
        <v>20</v>
      </c>
      <c r="L1332" s="29" t="s">
        <v>571</v>
      </c>
      <c r="M1332" s="29" t="s">
        <v>727</v>
      </c>
      <c r="N1332" s="32" t="s">
        <v>711</v>
      </c>
      <c r="O1332" s="31" t="s">
        <v>573</v>
      </c>
      <c r="P1332" s="31"/>
      <c r="Q1332" s="28" t="s">
        <v>76</v>
      </c>
      <c r="R1332" s="29"/>
      <c r="S1332" s="31"/>
      <c r="T1332" s="31"/>
      <c r="U1332" s="28" t="s">
        <v>75</v>
      </c>
      <c r="V1332" s="28" t="s">
        <v>75</v>
      </c>
      <c r="W1332" s="31"/>
    </row>
    <row r="1333" spans="1:23" hidden="1">
      <c r="A1333" s="46" t="s">
        <v>711</v>
      </c>
      <c r="B1333" s="28" t="s">
        <v>1639</v>
      </c>
      <c r="C1333" s="44" t="s">
        <v>740</v>
      </c>
      <c r="D1333" s="44" t="s">
        <v>1683</v>
      </c>
      <c r="E1333" s="44" t="s">
        <v>1424</v>
      </c>
      <c r="F1333" s="44" t="s">
        <v>1425</v>
      </c>
      <c r="G1333" s="44" t="s">
        <v>1425</v>
      </c>
      <c r="H1333" s="44" t="s">
        <v>1684</v>
      </c>
      <c r="I1333" s="28" t="str">
        <f>VLOOKUP(F1333,표준용어사전!$B:$D,3,FALSE)</f>
        <v>연월일시분초TS</v>
      </c>
      <c r="J1333" s="44" t="s">
        <v>719</v>
      </c>
      <c r="K1333" s="44"/>
      <c r="L1333" s="29" t="s">
        <v>571</v>
      </c>
      <c r="M1333" s="29" t="s">
        <v>1652</v>
      </c>
      <c r="N1333" s="29" t="s">
        <v>711</v>
      </c>
      <c r="O1333" s="31"/>
      <c r="P1333" s="31"/>
      <c r="Q1333" s="28" t="s">
        <v>76</v>
      </c>
      <c r="R1333" s="29"/>
      <c r="S1333" s="31"/>
      <c r="T1333" s="28" t="s">
        <v>574</v>
      </c>
      <c r="U1333" s="28" t="s">
        <v>75</v>
      </c>
      <c r="V1333" s="28" t="s">
        <v>75</v>
      </c>
      <c r="W1333" s="31"/>
    </row>
    <row r="1334" spans="1:23" hidden="1">
      <c r="A1334" s="46" t="s">
        <v>711</v>
      </c>
      <c r="B1334" s="28" t="s">
        <v>1744</v>
      </c>
      <c r="C1334" s="44" t="s">
        <v>740</v>
      </c>
      <c r="D1334" s="44" t="s">
        <v>1745</v>
      </c>
      <c r="E1334" s="44" t="s">
        <v>1746</v>
      </c>
      <c r="F1334" s="44" t="s">
        <v>1734</v>
      </c>
      <c r="G1334" s="44" t="s">
        <v>1734</v>
      </c>
      <c r="H1334" s="44" t="s">
        <v>1728</v>
      </c>
      <c r="I1334" s="28" t="str">
        <f>VLOOKUP(F1334,표준용어사전!$B:$D,3,FALSE)</f>
        <v>명V20</v>
      </c>
      <c r="J1334" s="44" t="s">
        <v>718</v>
      </c>
      <c r="K1334" s="44">
        <v>20</v>
      </c>
      <c r="L1334" s="29" t="s">
        <v>571</v>
      </c>
      <c r="M1334" s="29" t="s">
        <v>727</v>
      </c>
      <c r="N1334" s="32" t="s">
        <v>711</v>
      </c>
      <c r="O1334" s="31" t="s">
        <v>641</v>
      </c>
      <c r="P1334" s="31"/>
      <c r="Q1334" s="28" t="s">
        <v>76</v>
      </c>
      <c r="R1334" s="29"/>
      <c r="S1334" s="31"/>
      <c r="T1334" s="31"/>
      <c r="U1334" s="28" t="s">
        <v>75</v>
      </c>
      <c r="V1334" s="28" t="s">
        <v>75</v>
      </c>
      <c r="W1334" s="31"/>
    </row>
    <row r="1335" spans="1:23" hidden="1">
      <c r="A1335" s="46" t="s">
        <v>711</v>
      </c>
      <c r="B1335" s="28" t="s">
        <v>1744</v>
      </c>
      <c r="C1335" s="44" t="s">
        <v>740</v>
      </c>
      <c r="D1335" s="44" t="s">
        <v>1745</v>
      </c>
      <c r="E1335" s="44" t="s">
        <v>1747</v>
      </c>
      <c r="F1335" s="44" t="s">
        <v>1735</v>
      </c>
      <c r="G1335" s="44" t="s">
        <v>1735</v>
      </c>
      <c r="H1335" s="44" t="s">
        <v>1728</v>
      </c>
      <c r="I1335" s="28" t="str">
        <f>VLOOKUP(F1335,표준용어사전!$B:$D,3,FALSE)</f>
        <v>코드C2</v>
      </c>
      <c r="J1335" s="44" t="s">
        <v>1638</v>
      </c>
      <c r="K1335" s="44">
        <v>2</v>
      </c>
      <c r="L1335" s="29" t="s">
        <v>571</v>
      </c>
      <c r="M1335" s="29" t="s">
        <v>766</v>
      </c>
      <c r="N1335" s="32" t="s">
        <v>711</v>
      </c>
      <c r="O1335" s="31"/>
      <c r="P1335" s="31"/>
      <c r="Q1335" s="28" t="s">
        <v>76</v>
      </c>
      <c r="R1335" s="29"/>
      <c r="S1335" s="31"/>
      <c r="T1335" s="31"/>
      <c r="U1335" s="28" t="s">
        <v>75</v>
      </c>
      <c r="V1335" s="28" t="s">
        <v>75</v>
      </c>
      <c r="W1335" s="31"/>
    </row>
    <row r="1336" spans="1:23" hidden="1">
      <c r="A1336" s="46" t="s">
        <v>711</v>
      </c>
      <c r="B1336" s="28" t="s">
        <v>1744</v>
      </c>
      <c r="C1336" s="44" t="s">
        <v>740</v>
      </c>
      <c r="D1336" s="44" t="s">
        <v>1745</v>
      </c>
      <c r="E1336" s="44" t="s">
        <v>1816</v>
      </c>
      <c r="F1336" s="44" t="s">
        <v>1817</v>
      </c>
      <c r="G1336" s="44" t="s">
        <v>1817</v>
      </c>
      <c r="H1336" s="44" t="s">
        <v>1728</v>
      </c>
      <c r="I1336" s="28" t="str">
        <f>VLOOKUP(F1336,표준용어사전!$B:$D,3,FALSE)</f>
        <v>내용TXT</v>
      </c>
      <c r="J1336" s="44" t="s">
        <v>713</v>
      </c>
      <c r="K1336" s="44" t="s">
        <v>927</v>
      </c>
      <c r="L1336" s="29" t="s">
        <v>571</v>
      </c>
      <c r="M1336" s="29"/>
      <c r="N1336" s="32" t="s">
        <v>572</v>
      </c>
      <c r="O1336" s="31"/>
      <c r="P1336" s="31"/>
      <c r="Q1336" s="28" t="s">
        <v>76</v>
      </c>
      <c r="R1336" s="29"/>
      <c r="S1336" s="31"/>
      <c r="T1336" s="31"/>
      <c r="U1336" s="28" t="s">
        <v>75</v>
      </c>
      <c r="V1336" s="28" t="s">
        <v>75</v>
      </c>
      <c r="W1336" s="31"/>
    </row>
    <row r="1337" spans="1:23" hidden="1">
      <c r="A1337" s="46" t="s">
        <v>711</v>
      </c>
      <c r="B1337" s="28" t="s">
        <v>1744</v>
      </c>
      <c r="C1337" s="44" t="s">
        <v>740</v>
      </c>
      <c r="D1337" s="44" t="s">
        <v>1745</v>
      </c>
      <c r="E1337" s="44" t="s">
        <v>1424</v>
      </c>
      <c r="F1337" s="44" t="s">
        <v>1425</v>
      </c>
      <c r="G1337" s="44" t="s">
        <v>1425</v>
      </c>
      <c r="H1337" s="44" t="s">
        <v>1728</v>
      </c>
      <c r="I1337" s="28" t="str">
        <f>VLOOKUP(F1337,표준용어사전!$B:$D,3,FALSE)</f>
        <v>연월일시분초TS</v>
      </c>
      <c r="J1337" s="44" t="s">
        <v>719</v>
      </c>
      <c r="K1337" s="44"/>
      <c r="L1337" s="29" t="s">
        <v>571</v>
      </c>
      <c r="M1337" s="29" t="s">
        <v>1652</v>
      </c>
      <c r="N1337" s="29" t="s">
        <v>711</v>
      </c>
      <c r="O1337" s="31"/>
      <c r="P1337" s="31"/>
      <c r="Q1337" s="28" t="s">
        <v>76</v>
      </c>
      <c r="R1337" s="29"/>
      <c r="S1337" s="31"/>
      <c r="T1337" s="28" t="s">
        <v>574</v>
      </c>
      <c r="U1337" s="28" t="s">
        <v>75</v>
      </c>
      <c r="V1337" s="28" t="s">
        <v>75</v>
      </c>
      <c r="W1337" s="31"/>
    </row>
    <row r="1338" spans="1:23" hidden="1">
      <c r="A1338" s="46" t="s">
        <v>711</v>
      </c>
      <c r="B1338" s="28" t="s">
        <v>1744</v>
      </c>
      <c r="C1338" s="44" t="s">
        <v>740</v>
      </c>
      <c r="D1338" s="44" t="s">
        <v>1748</v>
      </c>
      <c r="E1338" s="44" t="s">
        <v>1749</v>
      </c>
      <c r="F1338" s="44" t="s">
        <v>1736</v>
      </c>
      <c r="G1338" s="44" t="s">
        <v>1736</v>
      </c>
      <c r="H1338" s="44" t="s">
        <v>1729</v>
      </c>
      <c r="I1338" s="28" t="e">
        <f>VLOOKUP(F1338,표준용어사전!$B:$D,3,FALSE)</f>
        <v>#N/A</v>
      </c>
      <c r="J1338" s="44" t="s">
        <v>718</v>
      </c>
      <c r="K1338" s="44">
        <v>20</v>
      </c>
      <c r="L1338" s="29" t="s">
        <v>571</v>
      </c>
      <c r="M1338" s="29" t="s">
        <v>727</v>
      </c>
      <c r="N1338" s="32" t="s">
        <v>711</v>
      </c>
      <c r="O1338" s="31" t="s">
        <v>641</v>
      </c>
      <c r="P1338" s="31"/>
      <c r="Q1338" s="28" t="s">
        <v>76</v>
      </c>
      <c r="R1338" s="29"/>
      <c r="S1338" s="31"/>
      <c r="T1338" s="31"/>
      <c r="U1338" s="28" t="s">
        <v>75</v>
      </c>
      <c r="V1338" s="28" t="s">
        <v>75</v>
      </c>
      <c r="W1338" s="31"/>
    </row>
    <row r="1339" spans="1:23" hidden="1">
      <c r="A1339" s="46" t="s">
        <v>711</v>
      </c>
      <c r="B1339" s="28" t="s">
        <v>1744</v>
      </c>
      <c r="C1339" s="44" t="s">
        <v>740</v>
      </c>
      <c r="D1339" s="44" t="s">
        <v>1748</v>
      </c>
      <c r="E1339" s="44" t="s">
        <v>1746</v>
      </c>
      <c r="F1339" s="44" t="s">
        <v>1734</v>
      </c>
      <c r="G1339" s="44" t="s">
        <v>1734</v>
      </c>
      <c r="H1339" s="44" t="s">
        <v>1729</v>
      </c>
      <c r="I1339" s="28" t="str">
        <f>VLOOKUP(F1339,표준용어사전!$B:$D,3,FALSE)</f>
        <v>명V20</v>
      </c>
      <c r="J1339" s="44" t="s">
        <v>718</v>
      </c>
      <c r="K1339" s="44">
        <v>20</v>
      </c>
      <c r="L1339" s="29" t="s">
        <v>571</v>
      </c>
      <c r="M1339" s="29" t="s">
        <v>727</v>
      </c>
      <c r="N1339" s="32" t="s">
        <v>711</v>
      </c>
      <c r="O1339" s="31"/>
      <c r="P1339" s="31" t="s">
        <v>1770</v>
      </c>
      <c r="Q1339" s="28" t="s">
        <v>76</v>
      </c>
      <c r="R1339" s="29"/>
      <c r="S1339" s="31"/>
      <c r="T1339" s="31"/>
      <c r="U1339" s="28" t="s">
        <v>75</v>
      </c>
      <c r="V1339" s="28" t="s">
        <v>75</v>
      </c>
      <c r="W1339" s="31"/>
    </row>
    <row r="1340" spans="1:23" hidden="1">
      <c r="A1340" s="46" t="s">
        <v>711</v>
      </c>
      <c r="B1340" s="28" t="s">
        <v>1744</v>
      </c>
      <c r="C1340" s="44" t="s">
        <v>740</v>
      </c>
      <c r="D1340" s="44" t="s">
        <v>1748</v>
      </c>
      <c r="E1340" s="44" t="s">
        <v>1750</v>
      </c>
      <c r="F1340" s="44" t="s">
        <v>1737</v>
      </c>
      <c r="G1340" s="44" t="s">
        <v>1737</v>
      </c>
      <c r="H1340" s="44" t="s">
        <v>1729</v>
      </c>
      <c r="I1340" s="28" t="e">
        <f>VLOOKUP(F1340,표준용어사전!$B:$D,3,FALSE)</f>
        <v>#N/A</v>
      </c>
      <c r="J1340" s="44" t="s">
        <v>1638</v>
      </c>
      <c r="K1340" s="44">
        <v>4</v>
      </c>
      <c r="L1340" s="29" t="s">
        <v>571</v>
      </c>
      <c r="M1340" s="29" t="s">
        <v>929</v>
      </c>
      <c r="N1340" s="32" t="s">
        <v>711</v>
      </c>
      <c r="O1340" s="31"/>
      <c r="P1340" s="31"/>
      <c r="Q1340" s="28" t="s">
        <v>76</v>
      </c>
      <c r="R1340" s="29"/>
      <c r="S1340" s="31"/>
      <c r="T1340" s="31"/>
      <c r="U1340" s="28" t="s">
        <v>75</v>
      </c>
      <c r="V1340" s="28" t="s">
        <v>75</v>
      </c>
      <c r="W1340" s="31"/>
    </row>
    <row r="1341" spans="1:23" hidden="1">
      <c r="A1341" s="46" t="s">
        <v>711</v>
      </c>
      <c r="B1341" s="28" t="s">
        <v>1744</v>
      </c>
      <c r="C1341" s="44" t="s">
        <v>740</v>
      </c>
      <c r="D1341" s="44" t="s">
        <v>1748</v>
      </c>
      <c r="E1341" s="44" t="s">
        <v>1766</v>
      </c>
      <c r="F1341" s="44" t="s">
        <v>1765</v>
      </c>
      <c r="G1341" s="44" t="s">
        <v>1765</v>
      </c>
      <c r="H1341" s="44" t="s">
        <v>1729</v>
      </c>
      <c r="I1341" s="28" t="e">
        <f>VLOOKUP(F1341,표준용어사전!$B:$D,3,FALSE)</f>
        <v>#N/A</v>
      </c>
      <c r="J1341" s="44" t="s">
        <v>718</v>
      </c>
      <c r="K1341" s="44">
        <v>2000</v>
      </c>
      <c r="L1341" s="29" t="s">
        <v>571</v>
      </c>
      <c r="M1341" s="29" t="s">
        <v>1769</v>
      </c>
      <c r="N1341" s="32" t="s">
        <v>711</v>
      </c>
      <c r="O1341" s="31"/>
      <c r="P1341" s="31"/>
      <c r="Q1341" s="28" t="s">
        <v>76</v>
      </c>
      <c r="R1341" s="29"/>
      <c r="S1341" s="31"/>
      <c r="T1341" s="31"/>
      <c r="U1341" s="28" t="s">
        <v>75</v>
      </c>
      <c r="V1341" s="28" t="s">
        <v>75</v>
      </c>
      <c r="W1341" s="31"/>
    </row>
    <row r="1342" spans="1:23" hidden="1">
      <c r="A1342" s="46" t="s">
        <v>711</v>
      </c>
      <c r="B1342" s="28" t="s">
        <v>1744</v>
      </c>
      <c r="C1342" s="44" t="s">
        <v>740</v>
      </c>
      <c r="D1342" s="44" t="s">
        <v>1748</v>
      </c>
      <c r="E1342" s="44" t="s">
        <v>1424</v>
      </c>
      <c r="F1342" s="44" t="s">
        <v>1425</v>
      </c>
      <c r="G1342" s="44" t="s">
        <v>1425</v>
      </c>
      <c r="H1342" s="44" t="s">
        <v>1729</v>
      </c>
      <c r="I1342" s="28" t="str">
        <f>VLOOKUP(F1342,표준용어사전!$B:$D,3,FALSE)</f>
        <v>연월일시분초TS</v>
      </c>
      <c r="J1342" s="44" t="s">
        <v>719</v>
      </c>
      <c r="K1342" s="44"/>
      <c r="L1342" s="29" t="s">
        <v>571</v>
      </c>
      <c r="M1342" s="29" t="s">
        <v>1652</v>
      </c>
      <c r="N1342" s="29" t="s">
        <v>711</v>
      </c>
      <c r="O1342" s="31"/>
      <c r="P1342" s="31"/>
      <c r="Q1342" s="28" t="s">
        <v>76</v>
      </c>
      <c r="R1342" s="29"/>
      <c r="S1342" s="31"/>
      <c r="T1342" s="28" t="s">
        <v>574</v>
      </c>
      <c r="U1342" s="28" t="s">
        <v>75</v>
      </c>
      <c r="V1342" s="28" t="s">
        <v>75</v>
      </c>
      <c r="W1342" s="31"/>
    </row>
    <row r="1343" spans="1:23" hidden="1">
      <c r="A1343" s="46" t="s">
        <v>711</v>
      </c>
      <c r="B1343" s="28" t="s">
        <v>1744</v>
      </c>
      <c r="C1343" s="44" t="s">
        <v>740</v>
      </c>
      <c r="D1343" s="44" t="s">
        <v>1818</v>
      </c>
      <c r="E1343" s="44" t="s">
        <v>1746</v>
      </c>
      <c r="F1343" s="44" t="s">
        <v>1734</v>
      </c>
      <c r="G1343" s="44" t="s">
        <v>1734</v>
      </c>
      <c r="H1343" s="44" t="s">
        <v>1821</v>
      </c>
      <c r="I1343" s="28" t="str">
        <f>VLOOKUP(F1343,표준용어사전!$B:$D,3,FALSE)</f>
        <v>명V20</v>
      </c>
      <c r="J1343" s="44" t="s">
        <v>718</v>
      </c>
      <c r="K1343" s="44">
        <v>20</v>
      </c>
      <c r="L1343" s="29" t="s">
        <v>571</v>
      </c>
      <c r="M1343" s="29" t="s">
        <v>727</v>
      </c>
      <c r="N1343" s="32" t="s">
        <v>711</v>
      </c>
      <c r="O1343" s="31" t="s">
        <v>641</v>
      </c>
      <c r="P1343" s="31" t="s">
        <v>1770</v>
      </c>
      <c r="Q1343" s="28" t="s">
        <v>76</v>
      </c>
      <c r="R1343" s="29"/>
      <c r="S1343" s="31"/>
      <c r="T1343" s="31"/>
      <c r="U1343" s="28" t="s">
        <v>75</v>
      </c>
      <c r="V1343" s="28" t="s">
        <v>75</v>
      </c>
      <c r="W1343" s="31"/>
    </row>
    <row r="1344" spans="1:23" hidden="1">
      <c r="A1344" s="46" t="s">
        <v>711</v>
      </c>
      <c r="B1344" s="28" t="s">
        <v>1744</v>
      </c>
      <c r="C1344" s="44" t="s">
        <v>740</v>
      </c>
      <c r="D1344" s="44" t="s">
        <v>1818</v>
      </c>
      <c r="E1344" s="44" t="s">
        <v>1822</v>
      </c>
      <c r="F1344" s="44" t="s">
        <v>1820</v>
      </c>
      <c r="G1344" s="44" t="s">
        <v>1820</v>
      </c>
      <c r="H1344" s="44" t="s">
        <v>1821</v>
      </c>
      <c r="I1344" s="28" t="str">
        <f>VLOOKUP(F1344,표준용어사전!$B:$D,3,FALSE)</f>
        <v>내용TXT</v>
      </c>
      <c r="J1344" s="44" t="s">
        <v>713</v>
      </c>
      <c r="K1344" s="44">
        <v>4</v>
      </c>
      <c r="L1344" s="29" t="s">
        <v>571</v>
      </c>
      <c r="M1344" s="29"/>
      <c r="N1344" s="32" t="s">
        <v>711</v>
      </c>
      <c r="O1344" s="31"/>
      <c r="P1344" s="31"/>
      <c r="Q1344" s="28" t="s">
        <v>76</v>
      </c>
      <c r="R1344" s="29"/>
      <c r="S1344" s="31"/>
      <c r="T1344" s="31"/>
      <c r="U1344" s="28" t="s">
        <v>75</v>
      </c>
      <c r="V1344" s="28" t="s">
        <v>75</v>
      </c>
      <c r="W1344" s="31"/>
    </row>
    <row r="1345" spans="1:23" hidden="1">
      <c r="A1345" s="46" t="s">
        <v>711</v>
      </c>
      <c r="B1345" s="28" t="s">
        <v>1744</v>
      </c>
      <c r="C1345" s="44" t="s">
        <v>740</v>
      </c>
      <c r="D1345" s="44" t="s">
        <v>1818</v>
      </c>
      <c r="E1345" s="44" t="s">
        <v>1221</v>
      </c>
      <c r="F1345" s="44" t="s">
        <v>1708</v>
      </c>
      <c r="G1345" s="44" t="s">
        <v>1708</v>
      </c>
      <c r="H1345" s="44" t="s">
        <v>1821</v>
      </c>
      <c r="I1345" s="28" t="str">
        <f>VLOOKUP(F1345,표준용어사전!$B:$D,3,FALSE)</f>
        <v>명V20</v>
      </c>
      <c r="J1345" s="44" t="s">
        <v>718</v>
      </c>
      <c r="K1345" s="44">
        <v>20</v>
      </c>
      <c r="L1345" s="29" t="s">
        <v>571</v>
      </c>
      <c r="M1345" s="29" t="s">
        <v>727</v>
      </c>
      <c r="N1345" s="32" t="s">
        <v>711</v>
      </c>
      <c r="O1345" s="31"/>
      <c r="P1345" s="31"/>
      <c r="Q1345" s="28" t="s">
        <v>76</v>
      </c>
      <c r="R1345" s="29"/>
      <c r="S1345" s="31"/>
      <c r="T1345" s="31"/>
      <c r="U1345" s="28" t="s">
        <v>75</v>
      </c>
      <c r="V1345" s="28" t="s">
        <v>75</v>
      </c>
      <c r="W1345" s="31"/>
    </row>
    <row r="1346" spans="1:23" hidden="1">
      <c r="A1346" s="46" t="s">
        <v>711</v>
      </c>
      <c r="B1346" s="28" t="s">
        <v>1744</v>
      </c>
      <c r="C1346" s="44" t="s">
        <v>740</v>
      </c>
      <c r="D1346" s="44" t="s">
        <v>1818</v>
      </c>
      <c r="E1346" s="44" t="s">
        <v>1424</v>
      </c>
      <c r="F1346" s="44" t="s">
        <v>1425</v>
      </c>
      <c r="G1346" s="44" t="s">
        <v>1425</v>
      </c>
      <c r="H1346" s="44" t="s">
        <v>1821</v>
      </c>
      <c r="I1346" s="28" t="str">
        <f>VLOOKUP(F1346,표준용어사전!$B:$D,3,FALSE)</f>
        <v>연월일시분초TS</v>
      </c>
      <c r="J1346" s="44" t="s">
        <v>719</v>
      </c>
      <c r="K1346" s="44"/>
      <c r="L1346" s="29" t="s">
        <v>571</v>
      </c>
      <c r="M1346" s="29" t="s">
        <v>1652</v>
      </c>
      <c r="N1346" s="29" t="s">
        <v>711</v>
      </c>
      <c r="O1346" s="31"/>
      <c r="P1346" s="31"/>
      <c r="Q1346" s="28" t="s">
        <v>76</v>
      </c>
      <c r="R1346" s="29"/>
      <c r="S1346" s="31"/>
      <c r="T1346" s="28" t="s">
        <v>574</v>
      </c>
      <c r="U1346" s="28" t="s">
        <v>75</v>
      </c>
      <c r="V1346" s="28" t="s">
        <v>75</v>
      </c>
      <c r="W1346" s="31"/>
    </row>
    <row r="1347" spans="1:23" hidden="1">
      <c r="A1347" s="46" t="s">
        <v>711</v>
      </c>
      <c r="B1347" s="28" t="s">
        <v>1744</v>
      </c>
      <c r="C1347" s="44" t="s">
        <v>740</v>
      </c>
      <c r="D1347" s="44" t="s">
        <v>1751</v>
      </c>
      <c r="E1347" s="44" t="s">
        <v>1752</v>
      </c>
      <c r="F1347" s="44" t="s">
        <v>1738</v>
      </c>
      <c r="G1347" s="44" t="s">
        <v>1738</v>
      </c>
      <c r="H1347" s="44" t="s">
        <v>1730</v>
      </c>
      <c r="I1347" s="28" t="str">
        <f>VLOOKUP(F1347,표준용어사전!$B:$D,3,FALSE)</f>
        <v>명V20</v>
      </c>
      <c r="J1347" s="44" t="s">
        <v>718</v>
      </c>
      <c r="K1347" s="44">
        <v>20</v>
      </c>
      <c r="L1347" s="29" t="s">
        <v>571</v>
      </c>
      <c r="M1347" s="29" t="s">
        <v>727</v>
      </c>
      <c r="N1347" s="32" t="s">
        <v>711</v>
      </c>
      <c r="O1347" s="31" t="s">
        <v>641</v>
      </c>
      <c r="P1347" s="31"/>
      <c r="Q1347" s="28" t="s">
        <v>76</v>
      </c>
      <c r="R1347" s="29"/>
      <c r="S1347" s="31"/>
      <c r="T1347" s="31"/>
      <c r="U1347" s="28" t="s">
        <v>75</v>
      </c>
      <c r="V1347" s="28" t="s">
        <v>75</v>
      </c>
      <c r="W1347" s="31"/>
    </row>
    <row r="1348" spans="1:23" hidden="1">
      <c r="A1348" s="46" t="s">
        <v>711</v>
      </c>
      <c r="B1348" s="28" t="s">
        <v>1744</v>
      </c>
      <c r="C1348" s="44" t="s">
        <v>740</v>
      </c>
      <c r="D1348" s="44" t="s">
        <v>1751</v>
      </c>
      <c r="E1348" s="44" t="s">
        <v>1816</v>
      </c>
      <c r="F1348" s="44" t="s">
        <v>1817</v>
      </c>
      <c r="G1348" s="44" t="s">
        <v>1817</v>
      </c>
      <c r="H1348" s="44" t="s">
        <v>1730</v>
      </c>
      <c r="I1348" s="28" t="str">
        <f>VLOOKUP(F1348,표준용어사전!$B:$D,3,FALSE)</f>
        <v>내용TXT</v>
      </c>
      <c r="J1348" s="44" t="s">
        <v>713</v>
      </c>
      <c r="K1348" s="44" t="s">
        <v>927</v>
      </c>
      <c r="L1348" s="29" t="s">
        <v>571</v>
      </c>
      <c r="M1348" s="29"/>
      <c r="N1348" s="32" t="s">
        <v>572</v>
      </c>
      <c r="O1348" s="31"/>
      <c r="P1348" s="31"/>
      <c r="Q1348" s="28" t="s">
        <v>76</v>
      </c>
      <c r="R1348" s="29"/>
      <c r="S1348" s="31"/>
      <c r="T1348" s="31"/>
      <c r="U1348" s="28" t="s">
        <v>75</v>
      </c>
      <c r="V1348" s="28" t="s">
        <v>75</v>
      </c>
      <c r="W1348" s="31"/>
    </row>
    <row r="1349" spans="1:23" hidden="1">
      <c r="A1349" s="46" t="s">
        <v>711</v>
      </c>
      <c r="B1349" s="28" t="s">
        <v>1744</v>
      </c>
      <c r="C1349" s="44" t="s">
        <v>740</v>
      </c>
      <c r="D1349" s="44" t="s">
        <v>1751</v>
      </c>
      <c r="E1349" s="44" t="s">
        <v>1753</v>
      </c>
      <c r="F1349" s="44" t="s">
        <v>1739</v>
      </c>
      <c r="G1349" s="44" t="s">
        <v>1739</v>
      </c>
      <c r="H1349" s="44" t="s">
        <v>1730</v>
      </c>
      <c r="I1349" s="28" t="str">
        <f>VLOOKUP(F1349,표준용어사전!$B:$D,3,FALSE)</f>
        <v>수N14</v>
      </c>
      <c r="J1349" s="28" t="s">
        <v>748</v>
      </c>
      <c r="K1349" s="44">
        <v>14</v>
      </c>
      <c r="L1349" s="29" t="s">
        <v>571</v>
      </c>
      <c r="M1349" s="29" t="s">
        <v>776</v>
      </c>
      <c r="N1349" s="32" t="s">
        <v>572</v>
      </c>
      <c r="O1349" s="31"/>
      <c r="P1349" s="31"/>
      <c r="Q1349" s="28" t="s">
        <v>76</v>
      </c>
      <c r="R1349" s="29"/>
      <c r="S1349" s="31"/>
      <c r="T1349" s="31"/>
      <c r="U1349" s="28" t="s">
        <v>75</v>
      </c>
      <c r="V1349" s="28" t="s">
        <v>75</v>
      </c>
      <c r="W1349" s="31"/>
    </row>
    <row r="1350" spans="1:23" hidden="1">
      <c r="A1350" s="46" t="s">
        <v>711</v>
      </c>
      <c r="B1350" s="28" t="s">
        <v>1744</v>
      </c>
      <c r="C1350" s="44" t="s">
        <v>740</v>
      </c>
      <c r="D1350" s="44" t="s">
        <v>1751</v>
      </c>
      <c r="E1350" s="44" t="s">
        <v>1424</v>
      </c>
      <c r="F1350" s="44" t="s">
        <v>1425</v>
      </c>
      <c r="G1350" s="44" t="s">
        <v>1425</v>
      </c>
      <c r="H1350" s="44" t="s">
        <v>1730</v>
      </c>
      <c r="I1350" s="28" t="str">
        <f>VLOOKUP(F1350,표준용어사전!$B:$D,3,FALSE)</f>
        <v>연월일시분초TS</v>
      </c>
      <c r="J1350" s="44" t="s">
        <v>719</v>
      </c>
      <c r="K1350" s="44"/>
      <c r="L1350" s="29" t="s">
        <v>571</v>
      </c>
      <c r="M1350" s="29" t="s">
        <v>1652</v>
      </c>
      <c r="N1350" s="29" t="s">
        <v>711</v>
      </c>
      <c r="O1350" s="31"/>
      <c r="P1350" s="31"/>
      <c r="Q1350" s="28" t="s">
        <v>76</v>
      </c>
      <c r="R1350" s="29"/>
      <c r="S1350" s="31"/>
      <c r="T1350" s="28" t="s">
        <v>574</v>
      </c>
      <c r="U1350" s="28" t="s">
        <v>75</v>
      </c>
      <c r="V1350" s="28" t="s">
        <v>75</v>
      </c>
      <c r="W1350" s="31"/>
    </row>
    <row r="1351" spans="1:23" hidden="1">
      <c r="A1351" s="46" t="s">
        <v>711</v>
      </c>
      <c r="B1351" s="28" t="s">
        <v>1744</v>
      </c>
      <c r="C1351" s="44" t="s">
        <v>740</v>
      </c>
      <c r="D1351" s="44" t="s">
        <v>1754</v>
      </c>
      <c r="E1351" s="44" t="s">
        <v>1752</v>
      </c>
      <c r="F1351" s="44" t="s">
        <v>1738</v>
      </c>
      <c r="G1351" s="44" t="s">
        <v>1738</v>
      </c>
      <c r="H1351" s="44" t="s">
        <v>1731</v>
      </c>
      <c r="I1351" s="28" t="str">
        <f>VLOOKUP(F1351,표준용어사전!$B:$D,3,FALSE)</f>
        <v>명V20</v>
      </c>
      <c r="J1351" s="44" t="s">
        <v>718</v>
      </c>
      <c r="K1351" s="44">
        <v>20</v>
      </c>
      <c r="L1351" s="29" t="s">
        <v>571</v>
      </c>
      <c r="M1351" s="29" t="s">
        <v>727</v>
      </c>
      <c r="N1351" s="32" t="s">
        <v>711</v>
      </c>
      <c r="O1351" s="31" t="s">
        <v>641</v>
      </c>
      <c r="P1351" s="31"/>
      <c r="Q1351" s="28" t="s">
        <v>76</v>
      </c>
      <c r="R1351" s="29"/>
      <c r="S1351" s="31"/>
      <c r="T1351" s="31"/>
      <c r="U1351" s="28" t="s">
        <v>75</v>
      </c>
      <c r="V1351" s="28" t="s">
        <v>75</v>
      </c>
      <c r="W1351" s="31"/>
    </row>
    <row r="1352" spans="1:23" hidden="1">
      <c r="A1352" s="46" t="s">
        <v>711</v>
      </c>
      <c r="B1352" s="28" t="s">
        <v>1744</v>
      </c>
      <c r="C1352" s="44" t="s">
        <v>740</v>
      </c>
      <c r="D1352" s="44" t="s">
        <v>1754</v>
      </c>
      <c r="E1352" s="44" t="s">
        <v>1750</v>
      </c>
      <c r="F1352" s="44" t="s">
        <v>1737</v>
      </c>
      <c r="G1352" s="44" t="s">
        <v>1737</v>
      </c>
      <c r="H1352" s="44" t="s">
        <v>1731</v>
      </c>
      <c r="I1352" s="28" t="e">
        <f>VLOOKUP(F1352,표준용어사전!$B:$D,3,FALSE)</f>
        <v>#N/A</v>
      </c>
      <c r="J1352" s="44" t="s">
        <v>1638</v>
      </c>
      <c r="K1352" s="44">
        <v>4</v>
      </c>
      <c r="L1352" s="29" t="s">
        <v>571</v>
      </c>
      <c r="M1352" s="29" t="s">
        <v>929</v>
      </c>
      <c r="N1352" s="32" t="s">
        <v>711</v>
      </c>
      <c r="O1352" s="31" t="s">
        <v>573</v>
      </c>
      <c r="P1352" s="31"/>
      <c r="Q1352" s="28" t="s">
        <v>76</v>
      </c>
      <c r="R1352" s="29"/>
      <c r="S1352" s="31"/>
      <c r="T1352" s="31"/>
      <c r="U1352" s="28" t="s">
        <v>75</v>
      </c>
      <c r="V1352" s="28" t="s">
        <v>75</v>
      </c>
      <c r="W1352" s="31"/>
    </row>
    <row r="1353" spans="1:23" hidden="1">
      <c r="A1353" s="46" t="s">
        <v>711</v>
      </c>
      <c r="B1353" s="28" t="s">
        <v>1744</v>
      </c>
      <c r="C1353" s="44" t="s">
        <v>740</v>
      </c>
      <c r="D1353" s="44" t="s">
        <v>1754</v>
      </c>
      <c r="E1353" s="44" t="s">
        <v>1766</v>
      </c>
      <c r="F1353" s="44" t="s">
        <v>1765</v>
      </c>
      <c r="G1353" s="44" t="s">
        <v>1765</v>
      </c>
      <c r="H1353" s="44" t="s">
        <v>1731</v>
      </c>
      <c r="I1353" s="28" t="e">
        <f>VLOOKUP(F1353,표준용어사전!$B:$D,3,FALSE)</f>
        <v>#N/A</v>
      </c>
      <c r="J1353" s="44" t="s">
        <v>718</v>
      </c>
      <c r="K1353" s="44">
        <v>2000</v>
      </c>
      <c r="L1353" s="29" t="s">
        <v>571</v>
      </c>
      <c r="M1353" s="29" t="s">
        <v>1769</v>
      </c>
      <c r="N1353" s="32" t="s">
        <v>711</v>
      </c>
      <c r="O1353" s="31" t="s">
        <v>754</v>
      </c>
      <c r="P1353" s="31"/>
      <c r="Q1353" s="28" t="s">
        <v>76</v>
      </c>
      <c r="R1353" s="29"/>
      <c r="S1353" s="31"/>
      <c r="T1353" s="31"/>
      <c r="U1353" s="28" t="s">
        <v>75</v>
      </c>
      <c r="V1353" s="28" t="s">
        <v>75</v>
      </c>
      <c r="W1353" s="31"/>
    </row>
    <row r="1354" spans="1:23" hidden="1">
      <c r="A1354" s="46" t="s">
        <v>711</v>
      </c>
      <c r="B1354" s="28" t="s">
        <v>1744</v>
      </c>
      <c r="C1354" s="44" t="s">
        <v>740</v>
      </c>
      <c r="D1354" s="44" t="s">
        <v>1754</v>
      </c>
      <c r="E1354" s="44" t="s">
        <v>1767</v>
      </c>
      <c r="F1354" s="44" t="s">
        <v>1768</v>
      </c>
      <c r="G1354" s="44" t="s">
        <v>1768</v>
      </c>
      <c r="H1354" s="44" t="s">
        <v>1731</v>
      </c>
      <c r="I1354" s="28" t="e">
        <f>VLOOKUP(F1354,표준용어사전!$B:$D,3,FALSE)</f>
        <v>#N/A</v>
      </c>
      <c r="J1354" s="44" t="s">
        <v>718</v>
      </c>
      <c r="K1354" s="44">
        <v>2000</v>
      </c>
      <c r="L1354" s="29" t="s">
        <v>571</v>
      </c>
      <c r="M1354" s="29" t="s">
        <v>728</v>
      </c>
      <c r="N1354" s="32" t="s">
        <v>572</v>
      </c>
      <c r="O1354" s="31"/>
      <c r="P1354" s="31"/>
      <c r="Q1354" s="28" t="s">
        <v>76</v>
      </c>
      <c r="R1354" s="29"/>
      <c r="S1354" s="31"/>
      <c r="T1354" s="31"/>
      <c r="U1354" s="28" t="s">
        <v>75</v>
      </c>
      <c r="V1354" s="28" t="s">
        <v>75</v>
      </c>
      <c r="W1354" s="31"/>
    </row>
    <row r="1355" spans="1:23" hidden="1">
      <c r="A1355" s="46" t="s">
        <v>711</v>
      </c>
      <c r="B1355" s="28" t="s">
        <v>1744</v>
      </c>
      <c r="C1355" s="44" t="s">
        <v>740</v>
      </c>
      <c r="D1355" s="44" t="s">
        <v>1754</v>
      </c>
      <c r="E1355" s="44" t="s">
        <v>1755</v>
      </c>
      <c r="F1355" s="44" t="s">
        <v>1740</v>
      </c>
      <c r="G1355" s="44" t="s">
        <v>1740</v>
      </c>
      <c r="H1355" s="44" t="s">
        <v>1731</v>
      </c>
      <c r="I1355" s="28" t="e">
        <f>VLOOKUP(F1355,표준용어사전!$B:$D,3,FALSE)</f>
        <v>#N/A</v>
      </c>
      <c r="J1355" s="28" t="s">
        <v>748</v>
      </c>
      <c r="K1355" s="44">
        <v>14</v>
      </c>
      <c r="L1355" s="29" t="s">
        <v>571</v>
      </c>
      <c r="M1355" s="29" t="s">
        <v>776</v>
      </c>
      <c r="N1355" s="32" t="s">
        <v>572</v>
      </c>
      <c r="O1355" s="31"/>
      <c r="P1355" s="31"/>
      <c r="Q1355" s="28" t="s">
        <v>76</v>
      </c>
      <c r="R1355" s="29"/>
      <c r="S1355" s="31"/>
      <c r="T1355" s="31"/>
      <c r="U1355" s="28" t="s">
        <v>75</v>
      </c>
      <c r="V1355" s="28" t="s">
        <v>75</v>
      </c>
      <c r="W1355" s="31"/>
    </row>
    <row r="1356" spans="1:23" hidden="1">
      <c r="A1356" s="46" t="s">
        <v>711</v>
      </c>
      <c r="B1356" s="28" t="s">
        <v>1744</v>
      </c>
      <c r="C1356" s="44" t="s">
        <v>740</v>
      </c>
      <c r="D1356" s="44" t="s">
        <v>1754</v>
      </c>
      <c r="E1356" s="44" t="s">
        <v>1424</v>
      </c>
      <c r="F1356" s="44" t="s">
        <v>1425</v>
      </c>
      <c r="G1356" s="44" t="s">
        <v>1425</v>
      </c>
      <c r="H1356" s="44" t="s">
        <v>1731</v>
      </c>
      <c r="I1356" s="28" t="str">
        <f>VLOOKUP(F1356,표준용어사전!$B:$D,3,FALSE)</f>
        <v>연월일시분초TS</v>
      </c>
      <c r="J1356" s="44" t="s">
        <v>719</v>
      </c>
      <c r="K1356" s="44"/>
      <c r="L1356" s="29" t="s">
        <v>571</v>
      </c>
      <c r="M1356" s="29" t="s">
        <v>1652</v>
      </c>
      <c r="N1356" s="29" t="s">
        <v>711</v>
      </c>
      <c r="O1356" s="31"/>
      <c r="P1356" s="31"/>
      <c r="Q1356" s="28" t="s">
        <v>76</v>
      </c>
      <c r="R1356" s="29"/>
      <c r="S1356" s="31"/>
      <c r="T1356" s="28" t="s">
        <v>574</v>
      </c>
      <c r="U1356" s="28" t="s">
        <v>75</v>
      </c>
      <c r="V1356" s="28" t="s">
        <v>75</v>
      </c>
      <c r="W1356" s="31"/>
    </row>
    <row r="1357" spans="1:23" hidden="1">
      <c r="A1357" s="46" t="s">
        <v>711</v>
      </c>
      <c r="B1357" s="28" t="s">
        <v>1744</v>
      </c>
      <c r="C1357" s="44" t="s">
        <v>740</v>
      </c>
      <c r="D1357" s="44" t="s">
        <v>1756</v>
      </c>
      <c r="E1357" s="44" t="s">
        <v>1757</v>
      </c>
      <c r="F1357" s="44" t="s">
        <v>1741</v>
      </c>
      <c r="G1357" s="44" t="s">
        <v>1741</v>
      </c>
      <c r="H1357" s="44" t="s">
        <v>1732</v>
      </c>
      <c r="I1357" s="28" t="str">
        <f>VLOOKUP(F1357,표준용어사전!$B:$D,3,FALSE)</f>
        <v>명V20</v>
      </c>
      <c r="J1357" s="44" t="s">
        <v>718</v>
      </c>
      <c r="K1357" s="44">
        <v>20</v>
      </c>
      <c r="L1357" s="29" t="s">
        <v>571</v>
      </c>
      <c r="M1357" s="29" t="s">
        <v>727</v>
      </c>
      <c r="N1357" s="32" t="s">
        <v>711</v>
      </c>
      <c r="O1357" s="31" t="s">
        <v>641</v>
      </c>
      <c r="P1357" s="31"/>
      <c r="Q1357" s="28" t="s">
        <v>76</v>
      </c>
      <c r="R1357" s="29"/>
      <c r="S1357" s="31"/>
      <c r="T1357" s="31"/>
      <c r="U1357" s="28" t="s">
        <v>75</v>
      </c>
      <c r="V1357" s="28" t="s">
        <v>75</v>
      </c>
      <c r="W1357" s="31"/>
    </row>
    <row r="1358" spans="1:23" hidden="1">
      <c r="A1358" s="46" t="s">
        <v>711</v>
      </c>
      <c r="B1358" s="28" t="s">
        <v>1744</v>
      </c>
      <c r="C1358" s="44" t="s">
        <v>740</v>
      </c>
      <c r="D1358" s="44" t="s">
        <v>1756</v>
      </c>
      <c r="E1358" s="44" t="s">
        <v>1629</v>
      </c>
      <c r="F1358" s="44" t="s">
        <v>1630</v>
      </c>
      <c r="G1358" s="44" t="s">
        <v>1630</v>
      </c>
      <c r="H1358" s="44" t="s">
        <v>1732</v>
      </c>
      <c r="I1358" s="28" t="str">
        <f>VLOOKUP(F1358,표준용어사전!$B:$D,3,FALSE)</f>
        <v>명V256</v>
      </c>
      <c r="J1358" s="44" t="s">
        <v>718</v>
      </c>
      <c r="K1358" s="44">
        <v>256</v>
      </c>
      <c r="L1358" s="29" t="s">
        <v>571</v>
      </c>
      <c r="M1358" s="29" t="s">
        <v>730</v>
      </c>
      <c r="N1358" s="32" t="s">
        <v>572</v>
      </c>
      <c r="O1358" s="31"/>
      <c r="P1358" s="31"/>
      <c r="Q1358" s="28" t="s">
        <v>76</v>
      </c>
      <c r="R1358" s="29"/>
      <c r="S1358" s="31"/>
      <c r="T1358" s="31"/>
      <c r="U1358" s="28" t="s">
        <v>75</v>
      </c>
      <c r="V1358" s="28" t="s">
        <v>75</v>
      </c>
      <c r="W1358" s="31"/>
    </row>
    <row r="1359" spans="1:23" hidden="1">
      <c r="A1359" s="46" t="s">
        <v>711</v>
      </c>
      <c r="B1359" s="28" t="s">
        <v>1744</v>
      </c>
      <c r="C1359" s="44" t="s">
        <v>740</v>
      </c>
      <c r="D1359" s="44" t="s">
        <v>1756</v>
      </c>
      <c r="E1359" s="44" t="s">
        <v>1758</v>
      </c>
      <c r="F1359" s="44" t="s">
        <v>1742</v>
      </c>
      <c r="G1359" s="44" t="s">
        <v>1742</v>
      </c>
      <c r="H1359" s="44" t="s">
        <v>1732</v>
      </c>
      <c r="I1359" s="28" t="str">
        <f>VLOOKUP(F1359,표준용어사전!$B:$D,3,FALSE)</f>
        <v>수N14</v>
      </c>
      <c r="J1359" s="28" t="s">
        <v>748</v>
      </c>
      <c r="K1359" s="44">
        <v>14</v>
      </c>
      <c r="L1359" s="29" t="s">
        <v>571</v>
      </c>
      <c r="M1359" s="29" t="s">
        <v>776</v>
      </c>
      <c r="N1359" s="32" t="s">
        <v>572</v>
      </c>
      <c r="O1359" s="31"/>
      <c r="P1359" s="31"/>
      <c r="Q1359" s="28" t="s">
        <v>76</v>
      </c>
      <c r="R1359" s="29"/>
      <c r="S1359" s="31"/>
      <c r="T1359" s="31"/>
      <c r="U1359" s="28" t="s">
        <v>75</v>
      </c>
      <c r="V1359" s="28" t="s">
        <v>75</v>
      </c>
      <c r="W1359" s="31"/>
    </row>
    <row r="1360" spans="1:23" hidden="1">
      <c r="A1360" s="46" t="s">
        <v>711</v>
      </c>
      <c r="B1360" s="28" t="s">
        <v>1744</v>
      </c>
      <c r="C1360" s="44" t="s">
        <v>740</v>
      </c>
      <c r="D1360" s="44" t="s">
        <v>1756</v>
      </c>
      <c r="E1360" s="44" t="s">
        <v>1424</v>
      </c>
      <c r="F1360" s="44" t="s">
        <v>1425</v>
      </c>
      <c r="G1360" s="44" t="s">
        <v>1425</v>
      </c>
      <c r="H1360" s="44" t="s">
        <v>1732</v>
      </c>
      <c r="I1360" s="28" t="str">
        <f>VLOOKUP(F1360,표준용어사전!$B:$D,3,FALSE)</f>
        <v>연월일시분초TS</v>
      </c>
      <c r="J1360" s="44" t="s">
        <v>719</v>
      </c>
      <c r="K1360" s="44"/>
      <c r="L1360" s="29" t="s">
        <v>571</v>
      </c>
      <c r="M1360" s="29" t="s">
        <v>1652</v>
      </c>
      <c r="N1360" s="29" t="s">
        <v>711</v>
      </c>
      <c r="O1360" s="31"/>
      <c r="P1360" s="31"/>
      <c r="Q1360" s="28" t="s">
        <v>76</v>
      </c>
      <c r="R1360" s="29"/>
      <c r="S1360" s="31"/>
      <c r="T1360" s="28" t="s">
        <v>574</v>
      </c>
      <c r="U1360" s="28" t="s">
        <v>75</v>
      </c>
      <c r="V1360" s="28" t="s">
        <v>75</v>
      </c>
      <c r="W1360" s="31"/>
    </row>
    <row r="1361" spans="1:23" hidden="1">
      <c r="A1361" s="46" t="s">
        <v>711</v>
      </c>
      <c r="B1361" s="28" t="s">
        <v>1744</v>
      </c>
      <c r="C1361" s="44" t="s">
        <v>740</v>
      </c>
      <c r="D1361" s="44" t="s">
        <v>1759</v>
      </c>
      <c r="E1361" s="44" t="s">
        <v>1752</v>
      </c>
      <c r="F1361" s="44" t="s">
        <v>1738</v>
      </c>
      <c r="G1361" s="44" t="s">
        <v>1738</v>
      </c>
      <c r="H1361" s="44" t="s">
        <v>1733</v>
      </c>
      <c r="I1361" s="28" t="str">
        <f>VLOOKUP(F1361,표준용어사전!$B:$D,3,FALSE)</f>
        <v>명V20</v>
      </c>
      <c r="J1361" s="44" t="s">
        <v>718</v>
      </c>
      <c r="K1361" s="44">
        <v>20</v>
      </c>
      <c r="L1361" s="29" t="s">
        <v>571</v>
      </c>
      <c r="M1361" s="29" t="s">
        <v>727</v>
      </c>
      <c r="N1361" s="32" t="s">
        <v>711</v>
      </c>
      <c r="O1361" s="31" t="s">
        <v>641</v>
      </c>
      <c r="P1361" s="31" t="s">
        <v>1772</v>
      </c>
      <c r="Q1361" s="28" t="s">
        <v>76</v>
      </c>
      <c r="R1361" s="29"/>
      <c r="S1361" s="31"/>
      <c r="T1361" s="31"/>
      <c r="U1361" s="28" t="s">
        <v>75</v>
      </c>
      <c r="V1361" s="28" t="s">
        <v>75</v>
      </c>
      <c r="W1361" s="31"/>
    </row>
    <row r="1362" spans="1:23" hidden="1">
      <c r="A1362" s="46" t="s">
        <v>711</v>
      </c>
      <c r="B1362" s="28" t="s">
        <v>1744</v>
      </c>
      <c r="C1362" s="44" t="s">
        <v>740</v>
      </c>
      <c r="D1362" s="44" t="s">
        <v>1759</v>
      </c>
      <c r="E1362" s="44" t="s">
        <v>1757</v>
      </c>
      <c r="F1362" s="44" t="s">
        <v>1741</v>
      </c>
      <c r="G1362" s="44" t="s">
        <v>1741</v>
      </c>
      <c r="H1362" s="44" t="s">
        <v>1733</v>
      </c>
      <c r="I1362" s="28" t="str">
        <f>VLOOKUP(F1362,표준용어사전!$B:$D,3,FALSE)</f>
        <v>명V20</v>
      </c>
      <c r="J1362" s="44" t="s">
        <v>718</v>
      </c>
      <c r="K1362" s="44">
        <v>20</v>
      </c>
      <c r="L1362" s="29" t="s">
        <v>571</v>
      </c>
      <c r="M1362" s="29" t="s">
        <v>727</v>
      </c>
      <c r="N1362" s="32" t="s">
        <v>711</v>
      </c>
      <c r="O1362" s="31" t="s">
        <v>573</v>
      </c>
      <c r="P1362" s="31" t="s">
        <v>1771</v>
      </c>
      <c r="Q1362" s="28" t="s">
        <v>76</v>
      </c>
      <c r="R1362" s="29"/>
      <c r="S1362" s="31"/>
      <c r="T1362" s="31"/>
      <c r="U1362" s="28" t="s">
        <v>75</v>
      </c>
      <c r="V1362" s="28" t="s">
        <v>75</v>
      </c>
      <c r="W1362" s="31"/>
    </row>
    <row r="1363" spans="1:23" hidden="1">
      <c r="A1363" s="46" t="s">
        <v>711</v>
      </c>
      <c r="B1363" s="28" t="s">
        <v>1744</v>
      </c>
      <c r="C1363" s="44" t="s">
        <v>740</v>
      </c>
      <c r="D1363" s="44" t="s">
        <v>1759</v>
      </c>
      <c r="E1363" s="44" t="s">
        <v>1760</v>
      </c>
      <c r="F1363" s="44" t="s">
        <v>1743</v>
      </c>
      <c r="G1363" s="44" t="s">
        <v>1743</v>
      </c>
      <c r="H1363" s="44" t="s">
        <v>1733</v>
      </c>
      <c r="I1363" s="28" t="str">
        <f>VLOOKUP(F1363,표준용어사전!$B:$D,3,FALSE)</f>
        <v>수N10,3</v>
      </c>
      <c r="J1363" s="28" t="s">
        <v>748</v>
      </c>
      <c r="K1363" s="44">
        <v>10</v>
      </c>
      <c r="L1363" s="29">
        <v>3</v>
      </c>
      <c r="M1363" s="29" t="s">
        <v>1342</v>
      </c>
      <c r="N1363" s="32" t="s">
        <v>572</v>
      </c>
      <c r="O1363" s="31"/>
      <c r="P1363" s="31"/>
      <c r="Q1363" s="28" t="s">
        <v>76</v>
      </c>
      <c r="R1363" s="29"/>
      <c r="S1363" s="31"/>
      <c r="T1363" s="31"/>
      <c r="U1363" s="28" t="s">
        <v>75</v>
      </c>
      <c r="V1363" s="28" t="s">
        <v>75</v>
      </c>
      <c r="W1363" s="31"/>
    </row>
    <row r="1364" spans="1:23" hidden="1">
      <c r="A1364" s="46" t="s">
        <v>711</v>
      </c>
      <c r="B1364" s="28" t="s">
        <v>1744</v>
      </c>
      <c r="C1364" s="44" t="s">
        <v>740</v>
      </c>
      <c r="D1364" s="44" t="s">
        <v>1759</v>
      </c>
      <c r="E1364" s="44" t="s">
        <v>1424</v>
      </c>
      <c r="F1364" s="44" t="s">
        <v>1425</v>
      </c>
      <c r="G1364" s="44" t="s">
        <v>1425</v>
      </c>
      <c r="H1364" s="44" t="s">
        <v>1733</v>
      </c>
      <c r="I1364" s="28" t="str">
        <f>VLOOKUP(F1364,표준용어사전!$B:$D,3,FALSE)</f>
        <v>연월일시분초TS</v>
      </c>
      <c r="J1364" s="28" t="s">
        <v>719</v>
      </c>
      <c r="K1364" s="44"/>
      <c r="L1364" s="29" t="s">
        <v>571</v>
      </c>
      <c r="M1364" s="29" t="s">
        <v>1652</v>
      </c>
      <c r="N1364" s="29" t="s">
        <v>711</v>
      </c>
      <c r="O1364" s="31"/>
      <c r="P1364" s="31"/>
      <c r="Q1364" s="28" t="s">
        <v>76</v>
      </c>
      <c r="R1364" s="29"/>
      <c r="S1364" s="31"/>
      <c r="T1364" s="28" t="s">
        <v>574</v>
      </c>
      <c r="U1364" s="28" t="s">
        <v>75</v>
      </c>
      <c r="V1364" s="28" t="s">
        <v>75</v>
      </c>
      <c r="W1364" s="31"/>
    </row>
    <row r="1365" spans="1:23" hidden="1">
      <c r="A1365" s="46" t="s">
        <v>711</v>
      </c>
      <c r="B1365" s="28" t="s">
        <v>1410</v>
      </c>
      <c r="C1365" s="44" t="s">
        <v>740</v>
      </c>
      <c r="D1365" s="44" t="s">
        <v>1778</v>
      </c>
      <c r="E1365" s="44" t="s">
        <v>1779</v>
      </c>
      <c r="F1365" s="28" t="s">
        <v>1774</v>
      </c>
      <c r="G1365" s="28" t="s">
        <v>1774</v>
      </c>
      <c r="H1365" s="28" t="s">
        <v>1773</v>
      </c>
      <c r="I1365" s="28" t="str">
        <f>VLOOKUP(F1365,표준용어사전!$B:$D,3,FALSE)</f>
        <v>코드C2</v>
      </c>
      <c r="J1365" s="28" t="s">
        <v>1638</v>
      </c>
      <c r="K1365" s="44">
        <v>2</v>
      </c>
      <c r="L1365" s="29" t="s">
        <v>571</v>
      </c>
      <c r="M1365" s="29" t="s">
        <v>766</v>
      </c>
      <c r="N1365" s="32" t="s">
        <v>711</v>
      </c>
      <c r="O1365" s="31" t="s">
        <v>641</v>
      </c>
      <c r="P1365" s="31"/>
      <c r="Q1365" s="28" t="s">
        <v>76</v>
      </c>
      <c r="R1365" s="29"/>
      <c r="S1365" s="31"/>
      <c r="T1365" s="31"/>
      <c r="U1365" s="28" t="s">
        <v>75</v>
      </c>
      <c r="V1365" s="28" t="s">
        <v>75</v>
      </c>
      <c r="W1365" s="31"/>
    </row>
    <row r="1366" spans="1:23" hidden="1">
      <c r="A1366" s="46" t="s">
        <v>711</v>
      </c>
      <c r="B1366" s="28" t="s">
        <v>1410</v>
      </c>
      <c r="C1366" s="44" t="s">
        <v>740</v>
      </c>
      <c r="D1366" s="44" t="s">
        <v>1778</v>
      </c>
      <c r="E1366" s="44" t="s">
        <v>1780</v>
      </c>
      <c r="F1366" s="28" t="s">
        <v>1775</v>
      </c>
      <c r="G1366" s="28" t="s">
        <v>1775</v>
      </c>
      <c r="H1366" s="28" t="s">
        <v>1773</v>
      </c>
      <c r="I1366" s="28" t="str">
        <f>VLOOKUP(F1366,표준용어사전!$B:$D,3,FALSE)</f>
        <v>명V512</v>
      </c>
      <c r="J1366" s="28" t="s">
        <v>718</v>
      </c>
      <c r="K1366" s="44">
        <v>512</v>
      </c>
      <c r="L1366" s="29" t="s">
        <v>571</v>
      </c>
      <c r="M1366" s="29" t="s">
        <v>721</v>
      </c>
      <c r="N1366" s="32" t="s">
        <v>572</v>
      </c>
      <c r="O1366" s="31"/>
      <c r="P1366" s="31"/>
      <c r="Q1366" s="28" t="s">
        <v>76</v>
      </c>
      <c r="R1366" s="29"/>
      <c r="S1366" s="31"/>
      <c r="T1366" s="31"/>
      <c r="U1366" s="28" t="s">
        <v>75</v>
      </c>
      <c r="V1366" s="28" t="s">
        <v>75</v>
      </c>
      <c r="W1366" s="31"/>
    </row>
    <row r="1367" spans="1:23" hidden="1">
      <c r="A1367" s="46" t="s">
        <v>711</v>
      </c>
      <c r="B1367" s="28" t="s">
        <v>1410</v>
      </c>
      <c r="C1367" s="44" t="s">
        <v>740</v>
      </c>
      <c r="D1367" s="44" t="s">
        <v>1778</v>
      </c>
      <c r="E1367" s="44" t="s">
        <v>1781</v>
      </c>
      <c r="F1367" s="28" t="s">
        <v>1776</v>
      </c>
      <c r="G1367" s="28" t="s">
        <v>1776</v>
      </c>
      <c r="H1367" s="28" t="s">
        <v>1773</v>
      </c>
      <c r="I1367" s="28" t="str">
        <f>VLOOKUP(F1367,표준용어사전!$B:$D,3,FALSE)</f>
        <v>명V512</v>
      </c>
      <c r="J1367" s="28" t="s">
        <v>718</v>
      </c>
      <c r="K1367" s="44">
        <v>512</v>
      </c>
      <c r="L1367" s="29" t="s">
        <v>571</v>
      </c>
      <c r="M1367" s="29" t="s">
        <v>721</v>
      </c>
      <c r="N1367" s="32" t="s">
        <v>572</v>
      </c>
      <c r="O1367" s="31"/>
      <c r="P1367" s="31"/>
      <c r="Q1367" s="28" t="s">
        <v>76</v>
      </c>
      <c r="R1367" s="29"/>
      <c r="S1367" s="31"/>
      <c r="T1367" s="31"/>
      <c r="U1367" s="28" t="s">
        <v>75</v>
      </c>
      <c r="V1367" s="28" t="s">
        <v>75</v>
      </c>
      <c r="W1367" s="31"/>
    </row>
    <row r="1368" spans="1:23" hidden="1">
      <c r="A1368" s="46" t="s">
        <v>711</v>
      </c>
      <c r="B1368" s="28" t="s">
        <v>1410</v>
      </c>
      <c r="C1368" s="44" t="s">
        <v>740</v>
      </c>
      <c r="D1368" s="44" t="s">
        <v>1778</v>
      </c>
      <c r="E1368" s="44" t="s">
        <v>1782</v>
      </c>
      <c r="F1368" s="28" t="s">
        <v>1777</v>
      </c>
      <c r="G1368" s="28" t="s">
        <v>1777</v>
      </c>
      <c r="H1368" s="28" t="s">
        <v>1773</v>
      </c>
      <c r="I1368" s="28" t="str">
        <f>VLOOKUP(F1368,표준용어사전!$B:$D,3,FALSE)</f>
        <v>여부C1</v>
      </c>
      <c r="J1368" s="28" t="s">
        <v>1638</v>
      </c>
      <c r="K1368" s="44">
        <v>1</v>
      </c>
      <c r="L1368" s="29" t="s">
        <v>571</v>
      </c>
      <c r="M1368" s="29" t="s">
        <v>722</v>
      </c>
      <c r="N1368" s="32" t="s">
        <v>572</v>
      </c>
      <c r="O1368" s="31"/>
      <c r="P1368" s="31"/>
      <c r="Q1368" s="28" t="s">
        <v>76</v>
      </c>
      <c r="R1368" s="29"/>
      <c r="S1368" s="31"/>
      <c r="T1368" s="28" t="s">
        <v>576</v>
      </c>
      <c r="U1368" s="28" t="s">
        <v>75</v>
      </c>
      <c r="V1368" s="28" t="s">
        <v>75</v>
      </c>
      <c r="W1368" s="31"/>
    </row>
    <row r="1369" spans="1:23" hidden="1">
      <c r="A1369" s="46" t="s">
        <v>711</v>
      </c>
      <c r="B1369" s="28" t="s">
        <v>1410</v>
      </c>
      <c r="C1369" s="44" t="s">
        <v>740</v>
      </c>
      <c r="D1369" s="44" t="s">
        <v>1778</v>
      </c>
      <c r="E1369" s="44" t="s">
        <v>1424</v>
      </c>
      <c r="F1369" s="44" t="s">
        <v>1425</v>
      </c>
      <c r="G1369" s="44" t="s">
        <v>1425</v>
      </c>
      <c r="H1369" s="28" t="s">
        <v>1773</v>
      </c>
      <c r="I1369" s="28" t="str">
        <f>VLOOKUP(F1369,표준용어사전!$B:$D,3,FALSE)</f>
        <v>연월일시분초TS</v>
      </c>
      <c r="J1369" s="44" t="s">
        <v>719</v>
      </c>
      <c r="K1369" s="44"/>
      <c r="L1369" s="29" t="s">
        <v>571</v>
      </c>
      <c r="M1369" s="29" t="s">
        <v>1652</v>
      </c>
      <c r="N1369" s="29" t="s">
        <v>711</v>
      </c>
      <c r="O1369" s="31"/>
      <c r="P1369" s="31"/>
      <c r="Q1369" s="28" t="s">
        <v>76</v>
      </c>
      <c r="R1369" s="29"/>
      <c r="S1369" s="31"/>
      <c r="T1369" s="28" t="s">
        <v>574</v>
      </c>
      <c r="U1369" s="28" t="s">
        <v>75</v>
      </c>
      <c r="V1369" s="28" t="s">
        <v>75</v>
      </c>
      <c r="W1369" s="31"/>
    </row>
    <row r="1370" spans="1:23" hidden="1">
      <c r="A1370" s="46" t="s">
        <v>711</v>
      </c>
      <c r="B1370" s="28" t="s">
        <v>1333</v>
      </c>
      <c r="C1370" s="28" t="s">
        <v>88</v>
      </c>
      <c r="D1370" s="28" t="s">
        <v>1847</v>
      </c>
      <c r="E1370" s="28" t="s">
        <v>1848</v>
      </c>
      <c r="F1370" s="28" t="s">
        <v>1849</v>
      </c>
      <c r="G1370" s="28" t="s">
        <v>1850</v>
      </c>
      <c r="H1370" s="28" t="s">
        <v>1851</v>
      </c>
      <c r="I1370" s="28" t="str">
        <f>VLOOKUP(F1370,표준용어사전!$B:$D,3,FALSE)</f>
        <v>번호V50</v>
      </c>
      <c r="J1370" s="28" t="s">
        <v>78</v>
      </c>
      <c r="K1370" s="27">
        <v>50</v>
      </c>
      <c r="L1370" s="29" t="s">
        <v>571</v>
      </c>
      <c r="M1370" s="29" t="s">
        <v>720</v>
      </c>
      <c r="N1370" s="29" t="s">
        <v>711</v>
      </c>
      <c r="O1370" s="28" t="s">
        <v>73</v>
      </c>
      <c r="P1370" s="28"/>
      <c r="Q1370" s="28" t="s">
        <v>76</v>
      </c>
      <c r="R1370" s="29"/>
      <c r="S1370" s="28"/>
      <c r="T1370" s="28" t="s">
        <v>76</v>
      </c>
      <c r="U1370" s="28" t="s">
        <v>75</v>
      </c>
      <c r="V1370" s="28" t="s">
        <v>75</v>
      </c>
      <c r="W1370" s="28"/>
    </row>
    <row r="1371" spans="1:23" hidden="1">
      <c r="A1371" s="46" t="s">
        <v>711</v>
      </c>
      <c r="B1371" s="28" t="s">
        <v>1333</v>
      </c>
      <c r="C1371" s="28" t="s">
        <v>88</v>
      </c>
      <c r="D1371" s="28" t="s">
        <v>1847</v>
      </c>
      <c r="E1371" s="28" t="s">
        <v>89</v>
      </c>
      <c r="F1371" s="28" t="s">
        <v>501</v>
      </c>
      <c r="G1371" s="28" t="s">
        <v>501</v>
      </c>
      <c r="H1371" s="28" t="s">
        <v>1851</v>
      </c>
      <c r="I1371" s="28" t="str">
        <f>VLOOKUP(F1371,표준용어사전!$B:$D,3,FALSE)</f>
        <v>명V20</v>
      </c>
      <c r="J1371" s="28" t="s">
        <v>78</v>
      </c>
      <c r="K1371" s="27">
        <v>50</v>
      </c>
      <c r="L1371" s="29" t="s">
        <v>571</v>
      </c>
      <c r="M1371" s="29" t="s">
        <v>720</v>
      </c>
      <c r="N1371" s="29" t="s">
        <v>711</v>
      </c>
      <c r="O1371" s="28" t="s">
        <v>74</v>
      </c>
      <c r="P1371" s="28"/>
      <c r="Q1371" s="28" t="s">
        <v>76</v>
      </c>
      <c r="R1371" s="29"/>
      <c r="S1371" s="28"/>
      <c r="T1371" s="28" t="s">
        <v>76</v>
      </c>
      <c r="U1371" s="28" t="s">
        <v>75</v>
      </c>
      <c r="V1371" s="28" t="s">
        <v>75</v>
      </c>
      <c r="W1371" s="28"/>
    </row>
    <row r="1372" spans="1:23" hidden="1">
      <c r="A1372" s="46" t="s">
        <v>711</v>
      </c>
      <c r="B1372" s="28" t="s">
        <v>1333</v>
      </c>
      <c r="C1372" s="28" t="s">
        <v>88</v>
      </c>
      <c r="D1372" s="28" t="s">
        <v>1847</v>
      </c>
      <c r="E1372" s="28" t="s">
        <v>228</v>
      </c>
      <c r="F1372" s="28" t="s">
        <v>466</v>
      </c>
      <c r="G1372" s="28" t="s">
        <v>466</v>
      </c>
      <c r="H1372" s="28" t="s">
        <v>1851</v>
      </c>
      <c r="I1372" s="28" t="str">
        <f>VLOOKUP(F1372,표준용어사전!$B:$D,3,FALSE)</f>
        <v>명V20</v>
      </c>
      <c r="J1372" s="28" t="s">
        <v>78</v>
      </c>
      <c r="K1372" s="27">
        <v>20</v>
      </c>
      <c r="L1372" s="29" t="s">
        <v>571</v>
      </c>
      <c r="M1372" s="29" t="s">
        <v>727</v>
      </c>
      <c r="N1372" s="29" t="s">
        <v>711</v>
      </c>
      <c r="O1372" s="28" t="s">
        <v>754</v>
      </c>
      <c r="P1372" s="28"/>
      <c r="Q1372" s="28" t="s">
        <v>76</v>
      </c>
      <c r="R1372" s="29"/>
      <c r="S1372" s="28"/>
      <c r="T1372" s="28" t="s">
        <v>76</v>
      </c>
      <c r="U1372" s="28" t="s">
        <v>75</v>
      </c>
      <c r="V1372" s="28" t="s">
        <v>75</v>
      </c>
      <c r="W1372" s="28"/>
    </row>
    <row r="1373" spans="1:23" hidden="1">
      <c r="A1373" s="46" t="s">
        <v>711</v>
      </c>
      <c r="B1373" s="28" t="s">
        <v>1333</v>
      </c>
      <c r="C1373" s="28" t="s">
        <v>88</v>
      </c>
      <c r="D1373" s="28" t="s">
        <v>1847</v>
      </c>
      <c r="E1373" s="28" t="s">
        <v>90</v>
      </c>
      <c r="F1373" s="28" t="s">
        <v>14</v>
      </c>
      <c r="G1373" s="28" t="s">
        <v>14</v>
      </c>
      <c r="H1373" s="28" t="s">
        <v>1851</v>
      </c>
      <c r="I1373" s="28" t="str">
        <f>VLOOKUP(F1373,표준용어사전!$B:$D,3,FALSE)</f>
        <v>연월일시분초TS</v>
      </c>
      <c r="J1373" s="28" t="s">
        <v>16</v>
      </c>
      <c r="K1373" s="27" t="s">
        <v>571</v>
      </c>
      <c r="L1373" s="29" t="s">
        <v>571</v>
      </c>
      <c r="M1373" s="29" t="s">
        <v>726</v>
      </c>
      <c r="N1373" s="29" t="s">
        <v>711</v>
      </c>
      <c r="O1373" s="28"/>
      <c r="P1373" s="28"/>
      <c r="Q1373" s="28" t="s">
        <v>76</v>
      </c>
      <c r="R1373" s="29"/>
      <c r="S1373" s="28"/>
      <c r="T1373" s="28" t="s">
        <v>574</v>
      </c>
      <c r="U1373" s="28" t="s">
        <v>75</v>
      </c>
      <c r="V1373" s="28" t="s">
        <v>75</v>
      </c>
      <c r="W1373" s="28"/>
    </row>
    <row r="1374" spans="1:23" hidden="1">
      <c r="A1374" s="46" t="s">
        <v>711</v>
      </c>
      <c r="B1374" s="28" t="s">
        <v>1333</v>
      </c>
      <c r="C1374" s="28" t="s">
        <v>88</v>
      </c>
      <c r="D1374" s="28" t="s">
        <v>1847</v>
      </c>
      <c r="E1374" s="28" t="s">
        <v>91</v>
      </c>
      <c r="F1374" s="28" t="s">
        <v>369</v>
      </c>
      <c r="G1374" s="28" t="s">
        <v>369</v>
      </c>
      <c r="H1374" s="28" t="s">
        <v>1851</v>
      </c>
      <c r="I1374" s="28" t="str">
        <f>VLOOKUP(F1374,표준용어사전!$B:$D,3,FALSE)</f>
        <v>명V20</v>
      </c>
      <c r="J1374" s="28" t="s">
        <v>78</v>
      </c>
      <c r="K1374" s="27">
        <v>20</v>
      </c>
      <c r="L1374" s="29" t="s">
        <v>571</v>
      </c>
      <c r="M1374" s="29" t="s">
        <v>727</v>
      </c>
      <c r="N1374" s="29" t="s">
        <v>75</v>
      </c>
      <c r="O1374" s="28"/>
      <c r="P1374" s="28"/>
      <c r="Q1374" s="28" t="s">
        <v>76</v>
      </c>
      <c r="R1374" s="29"/>
      <c r="S1374" s="28"/>
      <c r="T1374" s="28" t="s">
        <v>76</v>
      </c>
      <c r="U1374" s="28" t="s">
        <v>75</v>
      </c>
      <c r="V1374" s="28" t="s">
        <v>75</v>
      </c>
      <c r="W1374" s="28"/>
    </row>
    <row r="1375" spans="1:23" hidden="1">
      <c r="A1375" s="46" t="s">
        <v>711</v>
      </c>
      <c r="B1375" s="28" t="s">
        <v>1333</v>
      </c>
      <c r="C1375" s="28" t="s">
        <v>88</v>
      </c>
      <c r="D1375" s="28" t="s">
        <v>1847</v>
      </c>
      <c r="E1375" s="28" t="s">
        <v>92</v>
      </c>
      <c r="F1375" s="28" t="s">
        <v>15</v>
      </c>
      <c r="G1375" s="28" t="s">
        <v>15</v>
      </c>
      <c r="H1375" s="28" t="s">
        <v>1851</v>
      </c>
      <c r="I1375" s="28" t="str">
        <f>VLOOKUP(F1375,표준용어사전!$B:$D,3,FALSE)</f>
        <v>연월일시분초TS</v>
      </c>
      <c r="J1375" s="28" t="s">
        <v>16</v>
      </c>
      <c r="K1375" s="27" t="s">
        <v>571</v>
      </c>
      <c r="L1375" s="29" t="s">
        <v>571</v>
      </c>
      <c r="M1375" s="29" t="s">
        <v>726</v>
      </c>
      <c r="N1375" s="29" t="s">
        <v>75</v>
      </c>
      <c r="O1375" s="28"/>
      <c r="P1375" s="28"/>
      <c r="Q1375" s="28" t="s">
        <v>76</v>
      </c>
      <c r="R1375" s="29"/>
      <c r="S1375" s="28"/>
      <c r="T1375" s="28" t="s">
        <v>574</v>
      </c>
      <c r="U1375" s="28" t="s">
        <v>75</v>
      </c>
      <c r="V1375" s="28" t="s">
        <v>75</v>
      </c>
      <c r="W1375" s="28"/>
    </row>
    <row r="1376" spans="1:23" hidden="1">
      <c r="A1376" s="46" t="s">
        <v>711</v>
      </c>
      <c r="B1376" s="28" t="s">
        <v>1333</v>
      </c>
      <c r="C1376" s="28" t="s">
        <v>88</v>
      </c>
      <c r="D1376" s="28" t="s">
        <v>1847</v>
      </c>
      <c r="E1376" s="28" t="s">
        <v>93</v>
      </c>
      <c r="F1376" s="28" t="s">
        <v>370</v>
      </c>
      <c r="G1376" s="28" t="s">
        <v>370</v>
      </c>
      <c r="H1376" s="28" t="s">
        <v>1851</v>
      </c>
      <c r="I1376" s="28" t="str">
        <f>VLOOKUP(F1376,표준용어사전!$B:$D,3,FALSE)</f>
        <v>명V20</v>
      </c>
      <c r="J1376" s="28" t="s">
        <v>78</v>
      </c>
      <c r="K1376" s="27">
        <v>20</v>
      </c>
      <c r="L1376" s="29" t="s">
        <v>571</v>
      </c>
      <c r="M1376" s="29" t="s">
        <v>727</v>
      </c>
      <c r="N1376" s="29" t="s">
        <v>75</v>
      </c>
      <c r="O1376" s="28"/>
      <c r="P1376" s="28"/>
      <c r="Q1376" s="28" t="s">
        <v>76</v>
      </c>
      <c r="R1376" s="29"/>
      <c r="S1376" s="28"/>
      <c r="T1376" s="28" t="s">
        <v>76</v>
      </c>
      <c r="U1376" s="28" t="s">
        <v>75</v>
      </c>
      <c r="V1376" s="28" t="s">
        <v>75</v>
      </c>
      <c r="W1376" s="28"/>
    </row>
    <row r="1377" spans="1:23" hidden="1">
      <c r="A1377" s="46" t="s">
        <v>711</v>
      </c>
      <c r="B1377" s="28" t="s">
        <v>1333</v>
      </c>
      <c r="C1377" s="28" t="s">
        <v>88</v>
      </c>
      <c r="D1377" s="28" t="s">
        <v>1852</v>
      </c>
      <c r="E1377" s="28" t="s">
        <v>1848</v>
      </c>
      <c r="F1377" s="28" t="s">
        <v>1849</v>
      </c>
      <c r="G1377" s="28" t="s">
        <v>1849</v>
      </c>
      <c r="H1377" s="28" t="s">
        <v>1853</v>
      </c>
      <c r="I1377" s="28" t="str">
        <f>VLOOKUP(F1377,표준용어사전!$B:$D,3,FALSE)</f>
        <v>번호V50</v>
      </c>
      <c r="J1377" s="28" t="s">
        <v>78</v>
      </c>
      <c r="K1377" s="27">
        <v>50</v>
      </c>
      <c r="L1377" s="29" t="s">
        <v>571</v>
      </c>
      <c r="M1377" s="29" t="s">
        <v>720</v>
      </c>
      <c r="N1377" s="29" t="s">
        <v>711</v>
      </c>
      <c r="O1377" s="28" t="s">
        <v>73</v>
      </c>
      <c r="P1377" s="28"/>
      <c r="Q1377" s="28" t="s">
        <v>76</v>
      </c>
      <c r="R1377" s="29"/>
      <c r="S1377" s="28"/>
      <c r="T1377" s="28" t="s">
        <v>76</v>
      </c>
      <c r="U1377" s="28" t="s">
        <v>75</v>
      </c>
      <c r="V1377" s="28" t="s">
        <v>75</v>
      </c>
      <c r="W1377" s="28"/>
    </row>
    <row r="1378" spans="1:23" hidden="1">
      <c r="A1378" s="46" t="s">
        <v>711</v>
      </c>
      <c r="B1378" s="28" t="s">
        <v>1333</v>
      </c>
      <c r="C1378" s="28" t="s">
        <v>88</v>
      </c>
      <c r="D1378" s="28" t="s">
        <v>1852</v>
      </c>
      <c r="E1378" s="28" t="s">
        <v>1854</v>
      </c>
      <c r="F1378" s="28" t="s">
        <v>1855</v>
      </c>
      <c r="G1378" s="28" t="s">
        <v>1856</v>
      </c>
      <c r="H1378" s="28" t="s">
        <v>1853</v>
      </c>
      <c r="I1378" s="28" t="str">
        <f>VLOOKUP(F1378,표준용어사전!$B:$D,3,FALSE)</f>
        <v>번호V50</v>
      </c>
      <c r="J1378" s="28" t="s">
        <v>78</v>
      </c>
      <c r="K1378" s="27">
        <v>50</v>
      </c>
      <c r="L1378" s="29" t="s">
        <v>571</v>
      </c>
      <c r="M1378" s="29" t="s">
        <v>720</v>
      </c>
      <c r="N1378" s="29" t="s">
        <v>572</v>
      </c>
      <c r="O1378" s="28"/>
      <c r="P1378" s="28"/>
      <c r="Q1378" s="28" t="s">
        <v>76</v>
      </c>
      <c r="R1378" s="29"/>
      <c r="S1378" s="28"/>
      <c r="T1378" s="28" t="s">
        <v>76</v>
      </c>
      <c r="U1378" s="28" t="s">
        <v>75</v>
      </c>
      <c r="V1378" s="28" t="s">
        <v>75</v>
      </c>
      <c r="W1378" s="28"/>
    </row>
    <row r="1379" spans="1:23" hidden="1">
      <c r="A1379" s="46" t="s">
        <v>711</v>
      </c>
      <c r="B1379" s="28" t="s">
        <v>1333</v>
      </c>
      <c r="C1379" s="28" t="s">
        <v>88</v>
      </c>
      <c r="D1379" s="28" t="s">
        <v>1852</v>
      </c>
      <c r="E1379" s="28" t="s">
        <v>1857</v>
      </c>
      <c r="F1379" s="28" t="s">
        <v>1858</v>
      </c>
      <c r="G1379" s="28" t="s">
        <v>1859</v>
      </c>
      <c r="H1379" s="28" t="s">
        <v>1853</v>
      </c>
      <c r="I1379" s="28" t="str">
        <f>VLOOKUP(F1379,표준용어사전!$B:$D,3,FALSE)</f>
        <v>번호V50</v>
      </c>
      <c r="J1379" s="28" t="s">
        <v>78</v>
      </c>
      <c r="K1379" s="27">
        <v>50</v>
      </c>
      <c r="L1379" s="29" t="s">
        <v>571</v>
      </c>
      <c r="M1379" s="29" t="s">
        <v>720</v>
      </c>
      <c r="N1379" s="29" t="s">
        <v>572</v>
      </c>
      <c r="O1379" s="28"/>
      <c r="P1379" s="28"/>
      <c r="Q1379" s="28" t="s">
        <v>76</v>
      </c>
      <c r="R1379" s="29"/>
      <c r="S1379" s="28"/>
      <c r="T1379" s="28" t="s">
        <v>76</v>
      </c>
      <c r="U1379" s="28" t="s">
        <v>75</v>
      </c>
      <c r="V1379" s="28" t="s">
        <v>75</v>
      </c>
      <c r="W1379" s="28"/>
    </row>
    <row r="1380" spans="1:23" hidden="1">
      <c r="A1380" s="46" t="s">
        <v>711</v>
      </c>
      <c r="B1380" s="28" t="s">
        <v>1333</v>
      </c>
      <c r="C1380" s="28" t="s">
        <v>88</v>
      </c>
      <c r="D1380" s="28" t="s">
        <v>1852</v>
      </c>
      <c r="E1380" s="28" t="s">
        <v>228</v>
      </c>
      <c r="F1380" s="28" t="s">
        <v>466</v>
      </c>
      <c r="G1380" s="28" t="s">
        <v>466</v>
      </c>
      <c r="H1380" s="28" t="s">
        <v>1853</v>
      </c>
      <c r="I1380" s="28" t="str">
        <f>VLOOKUP(F1380,표준용어사전!$B:$D,3,FALSE)</f>
        <v>명V20</v>
      </c>
      <c r="J1380" s="28" t="s">
        <v>78</v>
      </c>
      <c r="K1380" s="27">
        <v>20</v>
      </c>
      <c r="L1380" s="29" t="s">
        <v>571</v>
      </c>
      <c r="M1380" s="29" t="s">
        <v>727</v>
      </c>
      <c r="N1380" s="29" t="s">
        <v>711</v>
      </c>
      <c r="O1380" s="28" t="s">
        <v>573</v>
      </c>
      <c r="P1380" s="28"/>
      <c r="Q1380" s="28" t="s">
        <v>76</v>
      </c>
      <c r="R1380" s="29"/>
      <c r="S1380" s="28"/>
      <c r="T1380" s="28" t="s">
        <v>76</v>
      </c>
      <c r="U1380" s="28" t="s">
        <v>75</v>
      </c>
      <c r="V1380" s="28" t="s">
        <v>75</v>
      </c>
      <c r="W1380" s="28"/>
    </row>
    <row r="1381" spans="1:23" hidden="1">
      <c r="A1381" s="46" t="s">
        <v>711</v>
      </c>
      <c r="B1381" s="28" t="s">
        <v>1333</v>
      </c>
      <c r="C1381" s="28" t="s">
        <v>88</v>
      </c>
      <c r="D1381" s="28" t="s">
        <v>1852</v>
      </c>
      <c r="E1381" s="28" t="s">
        <v>1860</v>
      </c>
      <c r="F1381" s="28" t="s">
        <v>1861</v>
      </c>
      <c r="G1381" s="28" t="s">
        <v>1861</v>
      </c>
      <c r="H1381" s="28" t="s">
        <v>1853</v>
      </c>
      <c r="I1381" s="28" t="e">
        <f>VLOOKUP(F1381,표준용어사전!$B:$D,3,FALSE)</f>
        <v>#N/A</v>
      </c>
      <c r="J1381" s="28" t="s">
        <v>713</v>
      </c>
      <c r="K1381" s="27" t="s">
        <v>571</v>
      </c>
      <c r="L1381" s="29" t="s">
        <v>571</v>
      </c>
      <c r="M1381" s="29"/>
      <c r="N1381" s="29" t="s">
        <v>75</v>
      </c>
      <c r="O1381" s="28"/>
      <c r="P1381" s="28"/>
      <c r="Q1381" s="28" t="s">
        <v>1928</v>
      </c>
      <c r="R1381" s="29">
        <v>1</v>
      </c>
      <c r="S1381" s="28"/>
      <c r="T1381" s="28" t="s">
        <v>76</v>
      </c>
      <c r="U1381" s="28" t="s">
        <v>75</v>
      </c>
      <c r="V1381" s="28" t="s">
        <v>75</v>
      </c>
      <c r="W1381" s="28"/>
    </row>
    <row r="1382" spans="1:23" hidden="1">
      <c r="A1382" s="46" t="s">
        <v>711</v>
      </c>
      <c r="B1382" s="28" t="s">
        <v>1333</v>
      </c>
      <c r="C1382" s="28" t="s">
        <v>88</v>
      </c>
      <c r="D1382" s="28" t="s">
        <v>1852</v>
      </c>
      <c r="E1382" s="28" t="s">
        <v>229</v>
      </c>
      <c r="F1382" s="28" t="s">
        <v>467</v>
      </c>
      <c r="G1382" s="28" t="s">
        <v>467</v>
      </c>
      <c r="H1382" s="28" t="s">
        <v>1853</v>
      </c>
      <c r="I1382" s="28" t="str">
        <f>VLOOKUP(F1382,표준용어사전!$B:$D,3,FALSE)</f>
        <v>명TXT</v>
      </c>
      <c r="J1382" s="28" t="s">
        <v>713</v>
      </c>
      <c r="K1382" s="27" t="s">
        <v>571</v>
      </c>
      <c r="L1382" s="29" t="s">
        <v>571</v>
      </c>
      <c r="M1382" s="29"/>
      <c r="N1382" s="29" t="s">
        <v>75</v>
      </c>
      <c r="O1382" s="28"/>
      <c r="P1382" s="28"/>
      <c r="Q1382" s="28" t="s">
        <v>76</v>
      </c>
      <c r="R1382" s="29"/>
      <c r="S1382" s="28"/>
      <c r="T1382" s="28" t="s">
        <v>76</v>
      </c>
      <c r="U1382" s="28" t="s">
        <v>75</v>
      </c>
      <c r="V1382" s="28" t="s">
        <v>75</v>
      </c>
      <c r="W1382" s="28"/>
    </row>
    <row r="1383" spans="1:23" hidden="1">
      <c r="A1383" s="46" t="s">
        <v>711</v>
      </c>
      <c r="B1383" s="28" t="s">
        <v>1333</v>
      </c>
      <c r="C1383" s="28" t="s">
        <v>88</v>
      </c>
      <c r="D1383" s="28" t="s">
        <v>1852</v>
      </c>
      <c r="E1383" s="28" t="s">
        <v>230</v>
      </c>
      <c r="F1383" s="28" t="s">
        <v>468</v>
      </c>
      <c r="G1383" s="28" t="s">
        <v>468</v>
      </c>
      <c r="H1383" s="28" t="s">
        <v>1853</v>
      </c>
      <c r="I1383" s="28" t="str">
        <f>VLOOKUP(F1383,표준용어사전!$B:$D,3,FALSE)</f>
        <v>내용TXT</v>
      </c>
      <c r="J1383" s="28" t="s">
        <v>713</v>
      </c>
      <c r="K1383" s="27" t="s">
        <v>571</v>
      </c>
      <c r="L1383" s="29" t="s">
        <v>571</v>
      </c>
      <c r="M1383" s="29"/>
      <c r="N1383" s="29" t="s">
        <v>75</v>
      </c>
      <c r="O1383" s="28"/>
      <c r="P1383" s="28"/>
      <c r="Q1383" s="28" t="s">
        <v>76</v>
      </c>
      <c r="R1383" s="29"/>
      <c r="S1383" s="28"/>
      <c r="T1383" s="28" t="s">
        <v>76</v>
      </c>
      <c r="U1383" s="28" t="s">
        <v>75</v>
      </c>
      <c r="V1383" s="28" t="s">
        <v>75</v>
      </c>
      <c r="W1383" s="28"/>
    </row>
    <row r="1384" spans="1:23" hidden="1">
      <c r="A1384" s="46" t="s">
        <v>711</v>
      </c>
      <c r="B1384" s="28" t="s">
        <v>1333</v>
      </c>
      <c r="C1384" s="28" t="s">
        <v>88</v>
      </c>
      <c r="D1384" s="28" t="s">
        <v>1852</v>
      </c>
      <c r="E1384" s="28" t="s">
        <v>231</v>
      </c>
      <c r="F1384" s="28" t="s">
        <v>469</v>
      </c>
      <c r="G1384" s="28" t="s">
        <v>469</v>
      </c>
      <c r="H1384" s="28" t="s">
        <v>1853</v>
      </c>
      <c r="I1384" s="28" t="str">
        <f>VLOOKUP(F1384,표준용어사전!$B:$D,3,FALSE)</f>
        <v>내용TXT</v>
      </c>
      <c r="J1384" s="28" t="s">
        <v>713</v>
      </c>
      <c r="K1384" s="27" t="s">
        <v>571</v>
      </c>
      <c r="L1384" s="29" t="s">
        <v>571</v>
      </c>
      <c r="M1384" s="29"/>
      <c r="N1384" s="29" t="s">
        <v>75</v>
      </c>
      <c r="O1384" s="28"/>
      <c r="P1384" s="28"/>
      <c r="Q1384" s="28" t="s">
        <v>76</v>
      </c>
      <c r="R1384" s="29"/>
      <c r="S1384" s="28"/>
      <c r="T1384" s="28" t="s">
        <v>76</v>
      </c>
      <c r="U1384" s="28" t="s">
        <v>75</v>
      </c>
      <c r="V1384" s="28" t="s">
        <v>75</v>
      </c>
      <c r="W1384" s="28"/>
    </row>
    <row r="1385" spans="1:23" hidden="1">
      <c r="A1385" s="46" t="s">
        <v>711</v>
      </c>
      <c r="B1385" s="28" t="s">
        <v>1333</v>
      </c>
      <c r="C1385" s="28" t="s">
        <v>88</v>
      </c>
      <c r="D1385" s="28" t="s">
        <v>1852</v>
      </c>
      <c r="E1385" s="28" t="s">
        <v>232</v>
      </c>
      <c r="F1385" s="28" t="s">
        <v>470</v>
      </c>
      <c r="G1385" s="28" t="s">
        <v>470</v>
      </c>
      <c r="H1385" s="28" t="s">
        <v>1853</v>
      </c>
      <c r="I1385" s="28" t="str">
        <f>VLOOKUP(F1385,표준용어사전!$B:$D,3,FALSE)</f>
        <v>내용TXT</v>
      </c>
      <c r="J1385" s="28" t="s">
        <v>713</v>
      </c>
      <c r="K1385" s="27" t="s">
        <v>571</v>
      </c>
      <c r="L1385" s="29" t="s">
        <v>571</v>
      </c>
      <c r="M1385" s="29"/>
      <c r="N1385" s="29" t="s">
        <v>75</v>
      </c>
      <c r="O1385" s="28"/>
      <c r="P1385" s="28"/>
      <c r="Q1385" s="28" t="s">
        <v>76</v>
      </c>
      <c r="R1385" s="29"/>
      <c r="S1385" s="28"/>
      <c r="T1385" s="28" t="s">
        <v>76</v>
      </c>
      <c r="U1385" s="28" t="s">
        <v>75</v>
      </c>
      <c r="V1385" s="28" t="s">
        <v>75</v>
      </c>
      <c r="W1385" s="28"/>
    </row>
    <row r="1386" spans="1:23" hidden="1">
      <c r="A1386" s="46" t="s">
        <v>711</v>
      </c>
      <c r="B1386" s="28" t="s">
        <v>1333</v>
      </c>
      <c r="C1386" s="28" t="s">
        <v>88</v>
      </c>
      <c r="D1386" s="28" t="s">
        <v>1852</v>
      </c>
      <c r="E1386" s="28" t="s">
        <v>1862</v>
      </c>
      <c r="F1386" s="28" t="s">
        <v>1863</v>
      </c>
      <c r="G1386" s="28" t="s">
        <v>1864</v>
      </c>
      <c r="H1386" s="28" t="s">
        <v>1853</v>
      </c>
      <c r="I1386" s="28" t="str">
        <f>VLOOKUP(F1386,표준용어사전!$B:$D,3,FALSE)</f>
        <v>내용TXT</v>
      </c>
      <c r="J1386" s="28" t="s">
        <v>713</v>
      </c>
      <c r="K1386" s="27" t="s">
        <v>571</v>
      </c>
      <c r="L1386" s="29" t="s">
        <v>571</v>
      </c>
      <c r="M1386" s="29"/>
      <c r="N1386" s="29" t="s">
        <v>75</v>
      </c>
      <c r="O1386" s="28"/>
      <c r="P1386" s="28"/>
      <c r="Q1386" s="28" t="s">
        <v>76</v>
      </c>
      <c r="R1386" s="29"/>
      <c r="S1386" s="28"/>
      <c r="T1386" s="28" t="s">
        <v>76</v>
      </c>
      <c r="U1386" s="28" t="s">
        <v>75</v>
      </c>
      <c r="V1386" s="28" t="s">
        <v>75</v>
      </c>
      <c r="W1386" s="28"/>
    </row>
    <row r="1387" spans="1:23" hidden="1">
      <c r="A1387" s="46" t="s">
        <v>711</v>
      </c>
      <c r="B1387" s="28" t="s">
        <v>1333</v>
      </c>
      <c r="C1387" s="28" t="s">
        <v>88</v>
      </c>
      <c r="D1387" s="28" t="s">
        <v>1852</v>
      </c>
      <c r="E1387" s="28" t="s">
        <v>1865</v>
      </c>
      <c r="F1387" s="28" t="s">
        <v>1866</v>
      </c>
      <c r="G1387" s="28" t="s">
        <v>1867</v>
      </c>
      <c r="H1387" s="28" t="s">
        <v>1853</v>
      </c>
      <c r="I1387" s="28" t="str">
        <f>VLOOKUP(F1387,표준용어사전!$B:$D,3,FALSE)</f>
        <v>연월일C8</v>
      </c>
      <c r="J1387" s="28" t="s">
        <v>570</v>
      </c>
      <c r="K1387" s="27">
        <v>8</v>
      </c>
      <c r="L1387" s="29" t="s">
        <v>571</v>
      </c>
      <c r="M1387" s="29" t="s">
        <v>731</v>
      </c>
      <c r="N1387" s="29" t="s">
        <v>75</v>
      </c>
      <c r="O1387" s="28"/>
      <c r="P1387" s="28"/>
      <c r="Q1387" s="28" t="s">
        <v>76</v>
      </c>
      <c r="R1387" s="29"/>
      <c r="S1387" s="28"/>
      <c r="T1387" s="28" t="s">
        <v>575</v>
      </c>
      <c r="U1387" s="28" t="s">
        <v>75</v>
      </c>
      <c r="V1387" s="28" t="s">
        <v>75</v>
      </c>
      <c r="W1387" s="28"/>
    </row>
    <row r="1388" spans="1:23" hidden="1">
      <c r="A1388" s="46" t="s">
        <v>711</v>
      </c>
      <c r="B1388" s="28" t="s">
        <v>1333</v>
      </c>
      <c r="C1388" s="28" t="s">
        <v>88</v>
      </c>
      <c r="D1388" s="28" t="s">
        <v>1852</v>
      </c>
      <c r="E1388" s="28" t="s">
        <v>1868</v>
      </c>
      <c r="F1388" s="28" t="s">
        <v>1869</v>
      </c>
      <c r="G1388" s="28" t="s">
        <v>1870</v>
      </c>
      <c r="H1388" s="28" t="s">
        <v>1853</v>
      </c>
      <c r="I1388" s="28" t="str">
        <f>VLOOKUP(F1388,표준용어사전!$B:$D,3,FALSE)</f>
        <v>연월일C8</v>
      </c>
      <c r="J1388" s="28" t="s">
        <v>570</v>
      </c>
      <c r="K1388" s="27">
        <v>8</v>
      </c>
      <c r="L1388" s="29" t="s">
        <v>571</v>
      </c>
      <c r="M1388" s="29" t="s">
        <v>731</v>
      </c>
      <c r="N1388" s="29" t="s">
        <v>75</v>
      </c>
      <c r="O1388" s="28"/>
      <c r="P1388" s="28"/>
      <c r="Q1388" s="28" t="s">
        <v>76</v>
      </c>
      <c r="R1388" s="29"/>
      <c r="S1388" s="28"/>
      <c r="T1388" s="28" t="s">
        <v>575</v>
      </c>
      <c r="U1388" s="28" t="s">
        <v>75</v>
      </c>
      <c r="V1388" s="28" t="s">
        <v>75</v>
      </c>
      <c r="W1388" s="28"/>
    </row>
    <row r="1389" spans="1:23" hidden="1">
      <c r="A1389" s="46" t="s">
        <v>711</v>
      </c>
      <c r="B1389" s="28" t="s">
        <v>1333</v>
      </c>
      <c r="C1389" s="28" t="s">
        <v>88</v>
      </c>
      <c r="D1389" s="28" t="s">
        <v>1852</v>
      </c>
      <c r="E1389" s="28" t="s">
        <v>1871</v>
      </c>
      <c r="F1389" s="28" t="s">
        <v>1872</v>
      </c>
      <c r="G1389" s="28" t="s">
        <v>474</v>
      </c>
      <c r="H1389" s="28" t="s">
        <v>1853</v>
      </c>
      <c r="I1389" s="28" t="str">
        <f>VLOOKUP(F1389,표준용어사전!$B:$D,3,FALSE)</f>
        <v>연월일C8</v>
      </c>
      <c r="J1389" s="28" t="s">
        <v>570</v>
      </c>
      <c r="K1389" s="27">
        <v>8</v>
      </c>
      <c r="L1389" s="29" t="s">
        <v>571</v>
      </c>
      <c r="M1389" s="29" t="s">
        <v>731</v>
      </c>
      <c r="N1389" s="29" t="s">
        <v>75</v>
      </c>
      <c r="O1389" s="28"/>
      <c r="P1389" s="28"/>
      <c r="Q1389" s="28" t="s">
        <v>76</v>
      </c>
      <c r="R1389" s="29"/>
      <c r="S1389" s="28"/>
      <c r="T1389" s="28" t="s">
        <v>575</v>
      </c>
      <c r="U1389" s="28" t="s">
        <v>75</v>
      </c>
      <c r="V1389" s="28" t="s">
        <v>75</v>
      </c>
      <c r="W1389" s="28"/>
    </row>
    <row r="1390" spans="1:23" hidden="1">
      <c r="A1390" s="46" t="s">
        <v>711</v>
      </c>
      <c r="B1390" s="28" t="s">
        <v>1333</v>
      </c>
      <c r="C1390" s="28" t="s">
        <v>88</v>
      </c>
      <c r="D1390" s="28" t="s">
        <v>1852</v>
      </c>
      <c r="E1390" s="28" t="s">
        <v>237</v>
      </c>
      <c r="F1390" s="28" t="s">
        <v>1592</v>
      </c>
      <c r="G1390" s="28" t="s">
        <v>1592</v>
      </c>
      <c r="H1390" s="28" t="s">
        <v>1853</v>
      </c>
      <c r="I1390" s="28" t="e">
        <f>VLOOKUP(F1390,표준용어사전!$B:$D,3,FALSE)</f>
        <v>#N/A</v>
      </c>
      <c r="J1390" s="28" t="s">
        <v>78</v>
      </c>
      <c r="K1390" s="27">
        <v>2000</v>
      </c>
      <c r="L1390" s="29" t="s">
        <v>571</v>
      </c>
      <c r="M1390" s="29" t="s">
        <v>728</v>
      </c>
      <c r="N1390" s="29" t="s">
        <v>75</v>
      </c>
      <c r="O1390" s="28"/>
      <c r="P1390" s="28"/>
      <c r="Q1390" s="28" t="s">
        <v>76</v>
      </c>
      <c r="R1390" s="29"/>
      <c r="S1390" s="28"/>
      <c r="T1390" s="28" t="s">
        <v>76</v>
      </c>
      <c r="U1390" s="28" t="s">
        <v>75</v>
      </c>
      <c r="V1390" s="28" t="s">
        <v>75</v>
      </c>
      <c r="W1390" s="28"/>
    </row>
    <row r="1391" spans="1:23" hidden="1">
      <c r="A1391" s="46" t="s">
        <v>711</v>
      </c>
      <c r="B1391" s="28" t="s">
        <v>1333</v>
      </c>
      <c r="C1391" s="28" t="s">
        <v>88</v>
      </c>
      <c r="D1391" s="28" t="s">
        <v>1852</v>
      </c>
      <c r="E1391" s="28" t="s">
        <v>1873</v>
      </c>
      <c r="F1391" s="28" t="s">
        <v>1874</v>
      </c>
      <c r="G1391" s="28" t="s">
        <v>1875</v>
      </c>
      <c r="H1391" s="28" t="s">
        <v>1853</v>
      </c>
      <c r="I1391" s="28" t="e">
        <f>VLOOKUP(F1391,표준용어사전!$B:$D,3,FALSE)</f>
        <v>#N/A</v>
      </c>
      <c r="J1391" s="28" t="s">
        <v>78</v>
      </c>
      <c r="K1391" s="27">
        <v>2000</v>
      </c>
      <c r="L1391" s="29" t="s">
        <v>571</v>
      </c>
      <c r="M1391" s="29" t="s">
        <v>728</v>
      </c>
      <c r="N1391" s="29" t="s">
        <v>75</v>
      </c>
      <c r="O1391" s="28"/>
      <c r="P1391" s="28"/>
      <c r="Q1391" s="28" t="s">
        <v>76</v>
      </c>
      <c r="R1391" s="29"/>
      <c r="S1391" s="28"/>
      <c r="T1391" s="28" t="s">
        <v>76</v>
      </c>
      <c r="U1391" s="28" t="s">
        <v>75</v>
      </c>
      <c r="V1391" s="28" t="s">
        <v>75</v>
      </c>
      <c r="W1391" s="28"/>
    </row>
    <row r="1392" spans="1:23" hidden="1">
      <c r="A1392" s="46" t="s">
        <v>711</v>
      </c>
      <c r="B1392" s="28" t="s">
        <v>1333</v>
      </c>
      <c r="C1392" s="28" t="s">
        <v>88</v>
      </c>
      <c r="D1392" s="28" t="s">
        <v>1852</v>
      </c>
      <c r="E1392" s="28" t="s">
        <v>1876</v>
      </c>
      <c r="F1392" s="28" t="s">
        <v>1877</v>
      </c>
      <c r="G1392" s="28" t="s">
        <v>1878</v>
      </c>
      <c r="H1392" s="28" t="s">
        <v>1853</v>
      </c>
      <c r="I1392" s="28" t="str">
        <f>VLOOKUP(F1392,표준용어사전!$B:$D,3,FALSE)</f>
        <v>명V256</v>
      </c>
      <c r="J1392" s="28" t="s">
        <v>78</v>
      </c>
      <c r="K1392" s="27">
        <v>2000</v>
      </c>
      <c r="L1392" s="29" t="s">
        <v>571</v>
      </c>
      <c r="M1392" s="29" t="s">
        <v>728</v>
      </c>
      <c r="N1392" s="29" t="s">
        <v>75</v>
      </c>
      <c r="O1392" s="28"/>
      <c r="P1392" s="28"/>
      <c r="Q1392" s="28" t="s">
        <v>76</v>
      </c>
      <c r="R1392" s="29"/>
      <c r="S1392" s="28"/>
      <c r="T1392" s="28" t="s">
        <v>76</v>
      </c>
      <c r="U1392" s="28" t="s">
        <v>75</v>
      </c>
      <c r="V1392" s="28" t="s">
        <v>75</v>
      </c>
      <c r="W1392" s="28"/>
    </row>
    <row r="1393" spans="1:23" hidden="1">
      <c r="A1393" s="46" t="s">
        <v>711</v>
      </c>
      <c r="B1393" s="28" t="s">
        <v>1333</v>
      </c>
      <c r="C1393" s="28" t="s">
        <v>88</v>
      </c>
      <c r="D1393" s="28" t="s">
        <v>1852</v>
      </c>
      <c r="E1393" s="28" t="s">
        <v>90</v>
      </c>
      <c r="F1393" s="28" t="s">
        <v>14</v>
      </c>
      <c r="G1393" s="28" t="s">
        <v>14</v>
      </c>
      <c r="H1393" s="28" t="s">
        <v>1853</v>
      </c>
      <c r="I1393" s="28" t="str">
        <f>VLOOKUP(F1393,표준용어사전!$B:$D,3,FALSE)</f>
        <v>연월일시분초TS</v>
      </c>
      <c r="J1393" s="28" t="s">
        <v>16</v>
      </c>
      <c r="K1393" s="27" t="s">
        <v>571</v>
      </c>
      <c r="L1393" s="29" t="s">
        <v>571</v>
      </c>
      <c r="M1393" s="29" t="s">
        <v>726</v>
      </c>
      <c r="N1393" s="29" t="s">
        <v>711</v>
      </c>
      <c r="O1393" s="28"/>
      <c r="P1393" s="28"/>
      <c r="Q1393" s="28" t="s">
        <v>76</v>
      </c>
      <c r="R1393" s="29"/>
      <c r="S1393" s="28"/>
      <c r="T1393" s="28" t="s">
        <v>574</v>
      </c>
      <c r="U1393" s="28" t="s">
        <v>75</v>
      </c>
      <c r="V1393" s="28" t="s">
        <v>75</v>
      </c>
      <c r="W1393" s="28"/>
    </row>
    <row r="1394" spans="1:23" hidden="1">
      <c r="A1394" s="46" t="s">
        <v>711</v>
      </c>
      <c r="B1394" s="28" t="s">
        <v>1333</v>
      </c>
      <c r="C1394" s="28" t="s">
        <v>88</v>
      </c>
      <c r="D1394" s="28" t="s">
        <v>1852</v>
      </c>
      <c r="E1394" s="28" t="s">
        <v>91</v>
      </c>
      <c r="F1394" s="28" t="s">
        <v>369</v>
      </c>
      <c r="G1394" s="28" t="s">
        <v>369</v>
      </c>
      <c r="H1394" s="28" t="s">
        <v>1853</v>
      </c>
      <c r="I1394" s="28" t="str">
        <f>VLOOKUP(F1394,표준용어사전!$B:$D,3,FALSE)</f>
        <v>명V20</v>
      </c>
      <c r="J1394" s="28" t="s">
        <v>78</v>
      </c>
      <c r="K1394" s="27">
        <v>20</v>
      </c>
      <c r="L1394" s="29" t="s">
        <v>571</v>
      </c>
      <c r="M1394" s="29" t="s">
        <v>727</v>
      </c>
      <c r="N1394" s="29" t="s">
        <v>75</v>
      </c>
      <c r="O1394" s="28"/>
      <c r="P1394" s="28"/>
      <c r="Q1394" s="28" t="s">
        <v>76</v>
      </c>
      <c r="R1394" s="29"/>
      <c r="S1394" s="28"/>
      <c r="T1394" s="28" t="s">
        <v>76</v>
      </c>
      <c r="U1394" s="28" t="s">
        <v>75</v>
      </c>
      <c r="V1394" s="28" t="s">
        <v>75</v>
      </c>
      <c r="W1394" s="28"/>
    </row>
    <row r="1395" spans="1:23" hidden="1">
      <c r="A1395" s="46" t="s">
        <v>711</v>
      </c>
      <c r="B1395" s="28" t="s">
        <v>1333</v>
      </c>
      <c r="C1395" s="28" t="s">
        <v>88</v>
      </c>
      <c r="D1395" s="28" t="s">
        <v>1852</v>
      </c>
      <c r="E1395" s="28" t="s">
        <v>92</v>
      </c>
      <c r="F1395" s="28" t="s">
        <v>15</v>
      </c>
      <c r="G1395" s="28" t="s">
        <v>15</v>
      </c>
      <c r="H1395" s="28" t="s">
        <v>1853</v>
      </c>
      <c r="I1395" s="28" t="str">
        <f>VLOOKUP(F1395,표준용어사전!$B:$D,3,FALSE)</f>
        <v>연월일시분초TS</v>
      </c>
      <c r="J1395" s="28" t="s">
        <v>16</v>
      </c>
      <c r="K1395" s="27" t="s">
        <v>571</v>
      </c>
      <c r="L1395" s="29" t="s">
        <v>571</v>
      </c>
      <c r="M1395" s="29" t="s">
        <v>726</v>
      </c>
      <c r="N1395" s="29" t="s">
        <v>75</v>
      </c>
      <c r="O1395" s="28"/>
      <c r="P1395" s="28"/>
      <c r="Q1395" s="28" t="s">
        <v>76</v>
      </c>
      <c r="R1395" s="29"/>
      <c r="S1395" s="28"/>
      <c r="T1395" s="28" t="s">
        <v>574</v>
      </c>
      <c r="U1395" s="28" t="s">
        <v>75</v>
      </c>
      <c r="V1395" s="28" t="s">
        <v>75</v>
      </c>
      <c r="W1395" s="28"/>
    </row>
    <row r="1396" spans="1:23" hidden="1">
      <c r="A1396" s="46" t="s">
        <v>711</v>
      </c>
      <c r="B1396" s="28" t="s">
        <v>1333</v>
      </c>
      <c r="C1396" s="28" t="s">
        <v>88</v>
      </c>
      <c r="D1396" s="28" t="s">
        <v>1852</v>
      </c>
      <c r="E1396" s="28" t="s">
        <v>93</v>
      </c>
      <c r="F1396" s="28" t="s">
        <v>370</v>
      </c>
      <c r="G1396" s="28" t="s">
        <v>370</v>
      </c>
      <c r="H1396" s="28" t="s">
        <v>1853</v>
      </c>
      <c r="I1396" s="28" t="str">
        <f>VLOOKUP(F1396,표준용어사전!$B:$D,3,FALSE)</f>
        <v>명V20</v>
      </c>
      <c r="J1396" s="28" t="s">
        <v>78</v>
      </c>
      <c r="K1396" s="27">
        <v>20</v>
      </c>
      <c r="L1396" s="29" t="s">
        <v>571</v>
      </c>
      <c r="M1396" s="29" t="s">
        <v>727</v>
      </c>
      <c r="N1396" s="29" t="s">
        <v>75</v>
      </c>
      <c r="O1396" s="28"/>
      <c r="P1396" s="28"/>
      <c r="Q1396" s="28" t="s">
        <v>76</v>
      </c>
      <c r="R1396" s="29"/>
      <c r="S1396" s="28"/>
      <c r="T1396" s="28" t="s">
        <v>76</v>
      </c>
      <c r="U1396" s="28" t="s">
        <v>75</v>
      </c>
      <c r="V1396" s="28" t="s">
        <v>75</v>
      </c>
      <c r="W1396" s="28"/>
    </row>
    <row r="1397" spans="1:23" hidden="1">
      <c r="A1397" s="46" t="s">
        <v>711</v>
      </c>
      <c r="B1397" s="28" t="s">
        <v>1333</v>
      </c>
      <c r="C1397" s="28" t="s">
        <v>88</v>
      </c>
      <c r="D1397" s="28" t="s">
        <v>1879</v>
      </c>
      <c r="E1397" s="28" t="s">
        <v>1848</v>
      </c>
      <c r="F1397" s="28" t="s">
        <v>1849</v>
      </c>
      <c r="G1397" s="28" t="s">
        <v>1850</v>
      </c>
      <c r="H1397" s="28" t="s">
        <v>1880</v>
      </c>
      <c r="I1397" s="28" t="str">
        <f>VLOOKUP(F1397,표준용어사전!$B:$D,3,FALSE)</f>
        <v>번호V50</v>
      </c>
      <c r="J1397" s="28" t="s">
        <v>78</v>
      </c>
      <c r="K1397" s="27">
        <v>50</v>
      </c>
      <c r="L1397" s="29" t="s">
        <v>571</v>
      </c>
      <c r="M1397" s="29" t="s">
        <v>720</v>
      </c>
      <c r="N1397" s="29" t="s">
        <v>711</v>
      </c>
      <c r="O1397" s="28" t="s">
        <v>73</v>
      </c>
      <c r="P1397" s="28"/>
      <c r="Q1397" s="28" t="s">
        <v>76</v>
      </c>
      <c r="R1397" s="29"/>
      <c r="S1397" s="28"/>
      <c r="T1397" s="28" t="s">
        <v>571</v>
      </c>
      <c r="U1397" s="28" t="s">
        <v>75</v>
      </c>
      <c r="V1397" s="28" t="s">
        <v>75</v>
      </c>
      <c r="W1397" s="28"/>
    </row>
    <row r="1398" spans="1:23" hidden="1">
      <c r="A1398" s="46" t="s">
        <v>711</v>
      </c>
      <c r="B1398" s="28" t="s">
        <v>1333</v>
      </c>
      <c r="C1398" s="28" t="s">
        <v>88</v>
      </c>
      <c r="D1398" s="28" t="s">
        <v>1879</v>
      </c>
      <c r="E1398" s="28" t="s">
        <v>593</v>
      </c>
      <c r="F1398" s="28" t="s">
        <v>896</v>
      </c>
      <c r="G1398" s="28" t="s">
        <v>739</v>
      </c>
      <c r="H1398" s="28" t="s">
        <v>1880</v>
      </c>
      <c r="I1398" s="28" t="str">
        <f>VLOOKUP(F1398,표준용어사전!$B:$D,3,FALSE)</f>
        <v>코드C4</v>
      </c>
      <c r="J1398" s="28" t="s">
        <v>570</v>
      </c>
      <c r="K1398" s="27">
        <v>50</v>
      </c>
      <c r="L1398" s="29" t="s">
        <v>571</v>
      </c>
      <c r="M1398" s="29" t="s">
        <v>725</v>
      </c>
      <c r="N1398" s="29" t="s">
        <v>711</v>
      </c>
      <c r="O1398" s="28" t="s">
        <v>74</v>
      </c>
      <c r="P1398" s="28"/>
      <c r="Q1398" s="28" t="s">
        <v>1929</v>
      </c>
      <c r="R1398" s="29">
        <v>1</v>
      </c>
      <c r="S1398" s="28"/>
      <c r="T1398" s="28" t="s">
        <v>571</v>
      </c>
      <c r="U1398" s="28" t="s">
        <v>75</v>
      </c>
      <c r="V1398" s="28" t="s">
        <v>75</v>
      </c>
      <c r="W1398" s="28"/>
    </row>
    <row r="1399" spans="1:23" hidden="1">
      <c r="A1399" s="46" t="s">
        <v>711</v>
      </c>
      <c r="B1399" s="28" t="s">
        <v>1333</v>
      </c>
      <c r="C1399" s="28" t="s">
        <v>88</v>
      </c>
      <c r="D1399" s="28" t="s">
        <v>1879</v>
      </c>
      <c r="E1399" s="28" t="s">
        <v>578</v>
      </c>
      <c r="F1399" s="28" t="s">
        <v>580</v>
      </c>
      <c r="G1399" s="28" t="s">
        <v>580</v>
      </c>
      <c r="H1399" s="28" t="s">
        <v>1880</v>
      </c>
      <c r="I1399" s="28" t="str">
        <f>VLOOKUP(F1399,표준용어사전!$B:$D,3,FALSE)</f>
        <v>명V20</v>
      </c>
      <c r="J1399" s="28" t="s">
        <v>78</v>
      </c>
      <c r="K1399" s="27">
        <v>20</v>
      </c>
      <c r="L1399" s="29" t="s">
        <v>571</v>
      </c>
      <c r="M1399" s="29" t="s">
        <v>727</v>
      </c>
      <c r="N1399" s="29" t="s">
        <v>711</v>
      </c>
      <c r="O1399" s="28" t="s">
        <v>624</v>
      </c>
      <c r="P1399" s="28"/>
      <c r="Q1399" s="28" t="s">
        <v>76</v>
      </c>
      <c r="R1399" s="29"/>
      <c r="S1399" s="28"/>
      <c r="T1399" s="28" t="s">
        <v>571</v>
      </c>
      <c r="U1399" s="28" t="s">
        <v>75</v>
      </c>
      <c r="V1399" s="28" t="s">
        <v>75</v>
      </c>
      <c r="W1399" s="28"/>
    </row>
    <row r="1400" spans="1:23" hidden="1">
      <c r="A1400" s="46" t="s">
        <v>711</v>
      </c>
      <c r="B1400" s="28" t="s">
        <v>1333</v>
      </c>
      <c r="C1400" s="28" t="s">
        <v>88</v>
      </c>
      <c r="D1400" s="28" t="s">
        <v>1879</v>
      </c>
      <c r="E1400" s="28" t="s">
        <v>1340</v>
      </c>
      <c r="F1400" s="28" t="s">
        <v>1341</v>
      </c>
      <c r="G1400" s="28" t="s">
        <v>1341</v>
      </c>
      <c r="H1400" s="28" t="s">
        <v>1880</v>
      </c>
      <c r="I1400" s="28" t="str">
        <f>VLOOKUP(F1400,표준용어사전!$B:$D,3,FALSE)</f>
        <v>수N10,3</v>
      </c>
      <c r="J1400" s="28" t="s">
        <v>748</v>
      </c>
      <c r="K1400" s="27">
        <v>10</v>
      </c>
      <c r="L1400" s="29">
        <v>3</v>
      </c>
      <c r="M1400" s="29" t="s">
        <v>1342</v>
      </c>
      <c r="N1400" s="29" t="s">
        <v>75</v>
      </c>
      <c r="O1400" s="28"/>
      <c r="P1400" s="28"/>
      <c r="Q1400" s="28" t="s">
        <v>76</v>
      </c>
      <c r="R1400" s="29"/>
      <c r="S1400" s="28"/>
      <c r="T1400" s="28" t="s">
        <v>571</v>
      </c>
      <c r="U1400" s="28" t="s">
        <v>75</v>
      </c>
      <c r="V1400" s="28" t="s">
        <v>75</v>
      </c>
      <c r="W1400" s="28"/>
    </row>
    <row r="1401" spans="1:23" hidden="1">
      <c r="A1401" s="46" t="s">
        <v>711</v>
      </c>
      <c r="B1401" s="28" t="s">
        <v>1333</v>
      </c>
      <c r="C1401" s="28" t="s">
        <v>88</v>
      </c>
      <c r="D1401" s="28" t="s">
        <v>1879</v>
      </c>
      <c r="E1401" s="28" t="s">
        <v>90</v>
      </c>
      <c r="F1401" s="28" t="s">
        <v>14</v>
      </c>
      <c r="G1401" s="28" t="s">
        <v>14</v>
      </c>
      <c r="H1401" s="28" t="s">
        <v>1880</v>
      </c>
      <c r="I1401" s="28" t="str">
        <f>VLOOKUP(F1401,표준용어사전!$B:$D,3,FALSE)</f>
        <v>연월일시분초TS</v>
      </c>
      <c r="J1401" s="28" t="s">
        <v>16</v>
      </c>
      <c r="K1401" s="27" t="s">
        <v>571</v>
      </c>
      <c r="L1401" s="29" t="s">
        <v>571</v>
      </c>
      <c r="M1401" s="29" t="s">
        <v>726</v>
      </c>
      <c r="N1401" s="29" t="s">
        <v>711</v>
      </c>
      <c r="O1401" s="28"/>
      <c r="P1401" s="28"/>
      <c r="Q1401" s="28" t="s">
        <v>76</v>
      </c>
      <c r="R1401" s="29"/>
      <c r="S1401" s="28"/>
      <c r="T1401" s="28" t="s">
        <v>574</v>
      </c>
      <c r="U1401" s="28" t="s">
        <v>75</v>
      </c>
      <c r="V1401" s="28" t="s">
        <v>75</v>
      </c>
      <c r="W1401" s="28"/>
    </row>
    <row r="1402" spans="1:23" hidden="1">
      <c r="A1402" s="46" t="s">
        <v>711</v>
      </c>
      <c r="B1402" s="28" t="s">
        <v>1333</v>
      </c>
      <c r="C1402" s="28" t="s">
        <v>88</v>
      </c>
      <c r="D1402" s="28" t="s">
        <v>1879</v>
      </c>
      <c r="E1402" s="28" t="s">
        <v>91</v>
      </c>
      <c r="F1402" s="28" t="s">
        <v>369</v>
      </c>
      <c r="G1402" s="28" t="s">
        <v>369</v>
      </c>
      <c r="H1402" s="28" t="s">
        <v>1880</v>
      </c>
      <c r="I1402" s="28" t="str">
        <f>VLOOKUP(F1402,표준용어사전!$B:$D,3,FALSE)</f>
        <v>명V20</v>
      </c>
      <c r="J1402" s="28" t="s">
        <v>78</v>
      </c>
      <c r="K1402" s="27">
        <v>20</v>
      </c>
      <c r="L1402" s="29" t="s">
        <v>571</v>
      </c>
      <c r="M1402" s="29" t="s">
        <v>727</v>
      </c>
      <c r="N1402" s="29" t="s">
        <v>75</v>
      </c>
      <c r="O1402" s="28"/>
      <c r="P1402" s="28"/>
      <c r="Q1402" s="28" t="s">
        <v>76</v>
      </c>
      <c r="R1402" s="29"/>
      <c r="S1402" s="28"/>
      <c r="T1402" s="28" t="s">
        <v>571</v>
      </c>
      <c r="U1402" s="28" t="s">
        <v>75</v>
      </c>
      <c r="V1402" s="28" t="s">
        <v>75</v>
      </c>
      <c r="W1402" s="28"/>
    </row>
    <row r="1403" spans="1:23" hidden="1">
      <c r="A1403" s="46" t="s">
        <v>711</v>
      </c>
      <c r="B1403" s="28" t="s">
        <v>1333</v>
      </c>
      <c r="C1403" s="28" t="s">
        <v>88</v>
      </c>
      <c r="D1403" s="28" t="s">
        <v>1879</v>
      </c>
      <c r="E1403" s="28" t="s">
        <v>92</v>
      </c>
      <c r="F1403" s="28" t="s">
        <v>15</v>
      </c>
      <c r="G1403" s="28" t="s">
        <v>15</v>
      </c>
      <c r="H1403" s="28" t="s">
        <v>1880</v>
      </c>
      <c r="I1403" s="28" t="str">
        <f>VLOOKUP(F1403,표준용어사전!$B:$D,3,FALSE)</f>
        <v>연월일시분초TS</v>
      </c>
      <c r="J1403" s="28" t="s">
        <v>16</v>
      </c>
      <c r="K1403" s="27" t="s">
        <v>571</v>
      </c>
      <c r="L1403" s="29" t="s">
        <v>571</v>
      </c>
      <c r="M1403" s="29" t="s">
        <v>726</v>
      </c>
      <c r="N1403" s="29" t="s">
        <v>75</v>
      </c>
      <c r="O1403" s="28"/>
      <c r="P1403" s="28"/>
      <c r="Q1403" s="28" t="s">
        <v>76</v>
      </c>
      <c r="R1403" s="29"/>
      <c r="S1403" s="28"/>
      <c r="T1403" s="28" t="s">
        <v>574</v>
      </c>
      <c r="U1403" s="28" t="s">
        <v>75</v>
      </c>
      <c r="V1403" s="28" t="s">
        <v>75</v>
      </c>
      <c r="W1403" s="28"/>
    </row>
    <row r="1404" spans="1:23" hidden="1">
      <c r="A1404" s="46" t="s">
        <v>711</v>
      </c>
      <c r="B1404" s="28" t="s">
        <v>1333</v>
      </c>
      <c r="C1404" s="28" t="s">
        <v>88</v>
      </c>
      <c r="D1404" s="28" t="s">
        <v>1879</v>
      </c>
      <c r="E1404" s="28" t="s">
        <v>93</v>
      </c>
      <c r="F1404" s="28" t="s">
        <v>370</v>
      </c>
      <c r="G1404" s="28" t="s">
        <v>370</v>
      </c>
      <c r="H1404" s="28" t="s">
        <v>1880</v>
      </c>
      <c r="I1404" s="28" t="str">
        <f>VLOOKUP(F1404,표준용어사전!$B:$D,3,FALSE)</f>
        <v>명V20</v>
      </c>
      <c r="J1404" s="28" t="s">
        <v>78</v>
      </c>
      <c r="K1404" s="27">
        <v>20</v>
      </c>
      <c r="L1404" s="29" t="s">
        <v>571</v>
      </c>
      <c r="M1404" s="29" t="s">
        <v>727</v>
      </c>
      <c r="N1404" s="29" t="s">
        <v>75</v>
      </c>
      <c r="O1404" s="28"/>
      <c r="P1404" s="28"/>
      <c r="Q1404" s="28" t="s">
        <v>76</v>
      </c>
      <c r="R1404" s="29"/>
      <c r="S1404" s="28"/>
      <c r="T1404" s="28" t="s">
        <v>571</v>
      </c>
      <c r="U1404" s="28" t="s">
        <v>75</v>
      </c>
      <c r="V1404" s="28" t="s">
        <v>75</v>
      </c>
      <c r="W1404" s="28"/>
    </row>
    <row r="1405" spans="1:23" hidden="1">
      <c r="A1405" s="46" t="s">
        <v>711</v>
      </c>
      <c r="B1405" s="28" t="s">
        <v>1333</v>
      </c>
      <c r="C1405" s="28" t="s">
        <v>88</v>
      </c>
      <c r="D1405" s="28" t="s">
        <v>1881</v>
      </c>
      <c r="E1405" s="28" t="s">
        <v>89</v>
      </c>
      <c r="F1405" s="28" t="s">
        <v>501</v>
      </c>
      <c r="G1405" s="28" t="s">
        <v>501</v>
      </c>
      <c r="H1405" s="28" t="s">
        <v>1882</v>
      </c>
      <c r="I1405" s="28" t="str">
        <f>VLOOKUP(F1405,표준용어사전!$B:$D,3,FALSE)</f>
        <v>명V20</v>
      </c>
      <c r="J1405" s="28" t="s">
        <v>718</v>
      </c>
      <c r="K1405" s="27">
        <v>50</v>
      </c>
      <c r="L1405" s="29" t="s">
        <v>571</v>
      </c>
      <c r="M1405" s="29" t="s">
        <v>720</v>
      </c>
      <c r="N1405" s="29" t="s">
        <v>711</v>
      </c>
      <c r="O1405" s="28" t="s">
        <v>73</v>
      </c>
      <c r="P1405" s="28"/>
      <c r="Q1405" s="28" t="s">
        <v>76</v>
      </c>
      <c r="R1405" s="29"/>
      <c r="S1405" s="28"/>
      <c r="T1405" s="28"/>
      <c r="U1405" s="28" t="s">
        <v>75</v>
      </c>
      <c r="V1405" s="28" t="s">
        <v>75</v>
      </c>
      <c r="W1405" s="28"/>
    </row>
    <row r="1406" spans="1:23" hidden="1">
      <c r="A1406" s="46" t="s">
        <v>711</v>
      </c>
      <c r="B1406" s="28" t="s">
        <v>1333</v>
      </c>
      <c r="C1406" s="28" t="s">
        <v>88</v>
      </c>
      <c r="D1406" s="28" t="s">
        <v>1881</v>
      </c>
      <c r="E1406" s="28" t="s">
        <v>240</v>
      </c>
      <c r="F1406" s="28" t="s">
        <v>1883</v>
      </c>
      <c r="G1406" s="28" t="s">
        <v>477</v>
      </c>
      <c r="H1406" s="28" t="s">
        <v>1882</v>
      </c>
      <c r="I1406" s="28" t="str">
        <f>VLOOKUP(F1406,표준용어사전!$B:$D,3,FALSE)</f>
        <v>명V512</v>
      </c>
      <c r="J1406" s="28" t="s">
        <v>718</v>
      </c>
      <c r="K1406" s="27">
        <v>512</v>
      </c>
      <c r="L1406" s="29" t="s">
        <v>571</v>
      </c>
      <c r="M1406" s="29" t="s">
        <v>721</v>
      </c>
      <c r="N1406" s="29" t="s">
        <v>711</v>
      </c>
      <c r="O1406" s="28" t="s">
        <v>74</v>
      </c>
      <c r="P1406" s="28"/>
      <c r="Q1406" s="28" t="s">
        <v>76</v>
      </c>
      <c r="R1406" s="29"/>
      <c r="S1406" s="28"/>
      <c r="T1406" s="28"/>
      <c r="U1406" s="28" t="s">
        <v>75</v>
      </c>
      <c r="V1406" s="28" t="s">
        <v>75</v>
      </c>
      <c r="W1406" s="28"/>
    </row>
    <row r="1407" spans="1:23" hidden="1">
      <c r="A1407" s="46" t="s">
        <v>711</v>
      </c>
      <c r="B1407" s="28" t="s">
        <v>1333</v>
      </c>
      <c r="C1407" s="28" t="s">
        <v>88</v>
      </c>
      <c r="D1407" s="28" t="s">
        <v>1881</v>
      </c>
      <c r="E1407" s="28" t="s">
        <v>1860</v>
      </c>
      <c r="F1407" s="28" t="s">
        <v>1861</v>
      </c>
      <c r="G1407" s="28" t="s">
        <v>1861</v>
      </c>
      <c r="H1407" s="28" t="s">
        <v>1882</v>
      </c>
      <c r="I1407" s="28" t="e">
        <f>VLOOKUP(F1407,표준용어사전!$B:$D,3,FALSE)</f>
        <v>#N/A</v>
      </c>
      <c r="J1407" s="28" t="s">
        <v>709</v>
      </c>
      <c r="K1407" s="27">
        <v>1</v>
      </c>
      <c r="L1407" s="29" t="s">
        <v>571</v>
      </c>
      <c r="M1407" s="29" t="s">
        <v>722</v>
      </c>
      <c r="N1407" s="29" t="s">
        <v>711</v>
      </c>
      <c r="O1407" s="28" t="s">
        <v>624</v>
      </c>
      <c r="P1407" s="28"/>
      <c r="Q1407" s="28"/>
      <c r="R1407" s="29"/>
      <c r="S1407" s="28"/>
      <c r="T1407" s="28"/>
      <c r="U1407" s="28" t="s">
        <v>75</v>
      </c>
      <c r="V1407" s="28" t="s">
        <v>75</v>
      </c>
      <c r="W1407" s="28"/>
    </row>
    <row r="1408" spans="1:23" hidden="1">
      <c r="A1408" s="46" t="s">
        <v>711</v>
      </c>
      <c r="B1408" s="28" t="s">
        <v>1333</v>
      </c>
      <c r="C1408" s="28" t="s">
        <v>88</v>
      </c>
      <c r="D1408" s="28" t="s">
        <v>1881</v>
      </c>
      <c r="E1408" s="28" t="s">
        <v>43</v>
      </c>
      <c r="F1408" s="28" t="s">
        <v>1611</v>
      </c>
      <c r="G1408" s="28" t="s">
        <v>1611</v>
      </c>
      <c r="H1408" s="28" t="s">
        <v>1882</v>
      </c>
      <c r="I1408" s="28" t="e">
        <f>VLOOKUP(F1408,표준용어사전!$B:$D,3,FALSE)</f>
        <v>#N/A</v>
      </c>
      <c r="J1408" s="28" t="s">
        <v>748</v>
      </c>
      <c r="K1408" s="27">
        <v>10</v>
      </c>
      <c r="L1408" s="29" t="s">
        <v>571</v>
      </c>
      <c r="M1408" s="29">
        <v>9999999999</v>
      </c>
      <c r="N1408" s="29" t="s">
        <v>711</v>
      </c>
      <c r="O1408" s="28" t="s">
        <v>1884</v>
      </c>
      <c r="P1408" s="28"/>
      <c r="Q1408" s="28" t="s">
        <v>76</v>
      </c>
      <c r="R1408" s="29"/>
      <c r="S1408" s="28"/>
      <c r="T1408" s="28"/>
      <c r="U1408" s="28" t="s">
        <v>75</v>
      </c>
      <c r="V1408" s="28" t="s">
        <v>75</v>
      </c>
      <c r="W1408" s="28"/>
    </row>
    <row r="1409" spans="1:23" hidden="1">
      <c r="A1409" s="46" t="s">
        <v>711</v>
      </c>
      <c r="B1409" s="28" t="s">
        <v>1333</v>
      </c>
      <c r="C1409" s="28" t="s">
        <v>88</v>
      </c>
      <c r="D1409" s="28" t="s">
        <v>1881</v>
      </c>
      <c r="E1409" s="28" t="s">
        <v>1885</v>
      </c>
      <c r="F1409" s="28" t="s">
        <v>1886</v>
      </c>
      <c r="G1409" s="28" t="s">
        <v>1887</v>
      </c>
      <c r="H1409" s="28" t="s">
        <v>1882</v>
      </c>
      <c r="I1409" s="28" t="e">
        <f>VLOOKUP(F1409,표준용어사전!$B:$D,3,FALSE)</f>
        <v>#N/A</v>
      </c>
      <c r="J1409" s="28" t="s">
        <v>63</v>
      </c>
      <c r="K1409" s="27">
        <v>14</v>
      </c>
      <c r="L1409" s="29" t="s">
        <v>571</v>
      </c>
      <c r="M1409" s="29" t="s">
        <v>1888</v>
      </c>
      <c r="N1409" s="29" t="s">
        <v>75</v>
      </c>
      <c r="O1409" s="28"/>
      <c r="P1409" s="28"/>
      <c r="Q1409" s="28" t="s">
        <v>76</v>
      </c>
      <c r="R1409" s="29"/>
      <c r="S1409" s="28"/>
      <c r="T1409" s="28"/>
      <c r="U1409" s="28" t="s">
        <v>75</v>
      </c>
      <c r="V1409" s="28" t="s">
        <v>75</v>
      </c>
      <c r="W1409" s="28"/>
    </row>
    <row r="1410" spans="1:23" hidden="1">
      <c r="A1410" s="46" t="s">
        <v>711</v>
      </c>
      <c r="B1410" s="28" t="s">
        <v>1333</v>
      </c>
      <c r="C1410" s="28" t="s">
        <v>88</v>
      </c>
      <c r="D1410" s="28" t="s">
        <v>1881</v>
      </c>
      <c r="E1410" s="28" t="s">
        <v>1889</v>
      </c>
      <c r="F1410" s="28" t="s">
        <v>1890</v>
      </c>
      <c r="G1410" s="28" t="s">
        <v>1890</v>
      </c>
      <c r="H1410" s="28" t="s">
        <v>1882</v>
      </c>
      <c r="I1410" s="28" t="str">
        <f>VLOOKUP(F1410,표준용어사전!$B:$D,3,FALSE)</f>
        <v>내용TXT</v>
      </c>
      <c r="J1410" s="28" t="s">
        <v>713</v>
      </c>
      <c r="K1410" s="27" t="s">
        <v>571</v>
      </c>
      <c r="L1410" s="29" t="s">
        <v>571</v>
      </c>
      <c r="M1410" s="29"/>
      <c r="N1410" s="29" t="s">
        <v>572</v>
      </c>
      <c r="O1410" s="28"/>
      <c r="P1410" s="28"/>
      <c r="Q1410" s="28" t="s">
        <v>76</v>
      </c>
      <c r="R1410" s="29"/>
      <c r="S1410" s="28"/>
      <c r="T1410" s="28" t="s">
        <v>576</v>
      </c>
      <c r="U1410" s="28" t="s">
        <v>75</v>
      </c>
      <c r="V1410" s="28" t="s">
        <v>75</v>
      </c>
      <c r="W1410" s="28"/>
    </row>
    <row r="1411" spans="1:23" hidden="1">
      <c r="A1411" s="46" t="s">
        <v>711</v>
      </c>
      <c r="B1411" s="28" t="s">
        <v>1333</v>
      </c>
      <c r="C1411" s="28" t="s">
        <v>88</v>
      </c>
      <c r="D1411" s="28" t="s">
        <v>1881</v>
      </c>
      <c r="E1411" s="28" t="s">
        <v>162</v>
      </c>
      <c r="F1411" s="28" t="s">
        <v>421</v>
      </c>
      <c r="G1411" s="28" t="s">
        <v>421</v>
      </c>
      <c r="H1411" s="28" t="s">
        <v>1882</v>
      </c>
      <c r="I1411" s="28" t="str">
        <f>VLOOKUP(F1411,표준용어사전!$B:$D,3,FALSE)</f>
        <v>여부C1</v>
      </c>
      <c r="J1411" s="28" t="s">
        <v>709</v>
      </c>
      <c r="K1411" s="27">
        <v>1</v>
      </c>
      <c r="L1411" s="29" t="s">
        <v>571</v>
      </c>
      <c r="M1411" s="29" t="s">
        <v>722</v>
      </c>
      <c r="N1411" s="29" t="s">
        <v>572</v>
      </c>
      <c r="O1411" s="28"/>
      <c r="P1411" s="28"/>
      <c r="Q1411" s="28" t="s">
        <v>76</v>
      </c>
      <c r="R1411" s="29"/>
      <c r="S1411" s="28"/>
      <c r="T1411" s="28"/>
      <c r="U1411" s="28" t="s">
        <v>75</v>
      </c>
      <c r="V1411" s="28" t="s">
        <v>75</v>
      </c>
      <c r="W1411" s="28"/>
    </row>
    <row r="1412" spans="1:23" hidden="1">
      <c r="A1412" s="46" t="s">
        <v>711</v>
      </c>
      <c r="B1412" s="28" t="s">
        <v>1333</v>
      </c>
      <c r="C1412" s="28" t="s">
        <v>88</v>
      </c>
      <c r="D1412" s="28" t="s">
        <v>1881</v>
      </c>
      <c r="E1412" s="28" t="s">
        <v>90</v>
      </c>
      <c r="F1412" s="28" t="s">
        <v>14</v>
      </c>
      <c r="G1412" s="28" t="s">
        <v>14</v>
      </c>
      <c r="H1412" s="28" t="s">
        <v>1882</v>
      </c>
      <c r="I1412" s="28" t="str">
        <f>VLOOKUP(F1412,표준용어사전!$B:$D,3,FALSE)</f>
        <v>연월일시분초TS</v>
      </c>
      <c r="J1412" s="28" t="s">
        <v>16</v>
      </c>
      <c r="K1412" s="27" t="s">
        <v>571</v>
      </c>
      <c r="L1412" s="29" t="s">
        <v>571</v>
      </c>
      <c r="M1412" s="29" t="s">
        <v>726</v>
      </c>
      <c r="N1412" s="29" t="s">
        <v>711</v>
      </c>
      <c r="O1412" s="28"/>
      <c r="P1412" s="28"/>
      <c r="Q1412" s="28" t="s">
        <v>76</v>
      </c>
      <c r="R1412" s="29"/>
      <c r="S1412" s="28"/>
      <c r="T1412" s="28" t="s">
        <v>574</v>
      </c>
      <c r="U1412" s="28" t="s">
        <v>75</v>
      </c>
      <c r="V1412" s="28" t="s">
        <v>75</v>
      </c>
      <c r="W1412" s="28"/>
    </row>
    <row r="1413" spans="1:23" hidden="1">
      <c r="A1413" s="46" t="s">
        <v>711</v>
      </c>
      <c r="B1413" s="28" t="s">
        <v>1333</v>
      </c>
      <c r="C1413" s="28" t="s">
        <v>88</v>
      </c>
      <c r="D1413" s="28" t="s">
        <v>1881</v>
      </c>
      <c r="E1413" s="28" t="s">
        <v>91</v>
      </c>
      <c r="F1413" s="28" t="s">
        <v>369</v>
      </c>
      <c r="G1413" s="28" t="s">
        <v>369</v>
      </c>
      <c r="H1413" s="28" t="s">
        <v>1882</v>
      </c>
      <c r="I1413" s="28" t="str">
        <f>VLOOKUP(F1413,표준용어사전!$B:$D,3,FALSE)</f>
        <v>명V20</v>
      </c>
      <c r="J1413" s="28" t="s">
        <v>78</v>
      </c>
      <c r="K1413" s="27">
        <v>20</v>
      </c>
      <c r="L1413" s="29" t="s">
        <v>571</v>
      </c>
      <c r="M1413" s="29" t="s">
        <v>727</v>
      </c>
      <c r="N1413" s="29" t="s">
        <v>75</v>
      </c>
      <c r="O1413" s="28"/>
      <c r="P1413" s="28"/>
      <c r="Q1413" s="28" t="s">
        <v>76</v>
      </c>
      <c r="R1413" s="29"/>
      <c r="S1413" s="28"/>
      <c r="T1413" s="28" t="s">
        <v>571</v>
      </c>
      <c r="U1413" s="28" t="s">
        <v>75</v>
      </c>
      <c r="V1413" s="28" t="s">
        <v>75</v>
      </c>
      <c r="W1413" s="28"/>
    </row>
    <row r="1414" spans="1:23" hidden="1">
      <c r="A1414" s="46" t="s">
        <v>711</v>
      </c>
      <c r="B1414" s="28" t="s">
        <v>1333</v>
      </c>
      <c r="C1414" s="28" t="s">
        <v>88</v>
      </c>
      <c r="D1414" s="28" t="s">
        <v>1881</v>
      </c>
      <c r="E1414" s="28" t="s">
        <v>92</v>
      </c>
      <c r="F1414" s="28" t="s">
        <v>15</v>
      </c>
      <c r="G1414" s="28" t="s">
        <v>15</v>
      </c>
      <c r="H1414" s="28" t="s">
        <v>1882</v>
      </c>
      <c r="I1414" s="28" t="str">
        <f>VLOOKUP(F1414,표준용어사전!$B:$D,3,FALSE)</f>
        <v>연월일시분초TS</v>
      </c>
      <c r="J1414" s="28" t="s">
        <v>16</v>
      </c>
      <c r="K1414" s="27" t="s">
        <v>571</v>
      </c>
      <c r="L1414" s="29" t="s">
        <v>571</v>
      </c>
      <c r="M1414" s="29" t="s">
        <v>726</v>
      </c>
      <c r="N1414" s="29" t="s">
        <v>75</v>
      </c>
      <c r="O1414" s="28"/>
      <c r="P1414" s="28"/>
      <c r="Q1414" s="28" t="s">
        <v>76</v>
      </c>
      <c r="R1414" s="29"/>
      <c r="S1414" s="28"/>
      <c r="T1414" s="28" t="s">
        <v>574</v>
      </c>
      <c r="U1414" s="28" t="s">
        <v>75</v>
      </c>
      <c r="V1414" s="28" t="s">
        <v>75</v>
      </c>
      <c r="W1414" s="28"/>
    </row>
    <row r="1415" spans="1:23" hidden="1">
      <c r="A1415" s="46" t="s">
        <v>711</v>
      </c>
      <c r="B1415" s="28" t="s">
        <v>1333</v>
      </c>
      <c r="C1415" s="28" t="s">
        <v>88</v>
      </c>
      <c r="D1415" s="28" t="s">
        <v>1881</v>
      </c>
      <c r="E1415" s="28" t="s">
        <v>93</v>
      </c>
      <c r="F1415" s="28" t="s">
        <v>370</v>
      </c>
      <c r="G1415" s="28" t="s">
        <v>370</v>
      </c>
      <c r="H1415" s="28" t="s">
        <v>1882</v>
      </c>
      <c r="I1415" s="28" t="str">
        <f>VLOOKUP(F1415,표준용어사전!$B:$D,3,FALSE)</f>
        <v>명V20</v>
      </c>
      <c r="J1415" s="28" t="s">
        <v>78</v>
      </c>
      <c r="K1415" s="27">
        <v>20</v>
      </c>
      <c r="L1415" s="29" t="s">
        <v>571</v>
      </c>
      <c r="M1415" s="29" t="s">
        <v>727</v>
      </c>
      <c r="N1415" s="29" t="s">
        <v>75</v>
      </c>
      <c r="O1415" s="28"/>
      <c r="P1415" s="28"/>
      <c r="Q1415" s="28" t="s">
        <v>76</v>
      </c>
      <c r="R1415" s="29"/>
      <c r="S1415" s="28"/>
      <c r="T1415" s="28" t="s">
        <v>571</v>
      </c>
      <c r="U1415" s="28" t="s">
        <v>75</v>
      </c>
      <c r="V1415" s="28" t="s">
        <v>75</v>
      </c>
      <c r="W1415" s="28"/>
    </row>
    <row r="1416" spans="1:23" hidden="1">
      <c r="A1416" s="46" t="s">
        <v>711</v>
      </c>
      <c r="B1416" s="28" t="s">
        <v>1333</v>
      </c>
      <c r="C1416" s="28" t="s">
        <v>88</v>
      </c>
      <c r="D1416" s="28" t="s">
        <v>1891</v>
      </c>
      <c r="E1416" s="28" t="s">
        <v>1892</v>
      </c>
      <c r="F1416" s="28" t="s">
        <v>1893</v>
      </c>
      <c r="G1416" s="28" t="s">
        <v>1893</v>
      </c>
      <c r="H1416" s="28" t="s">
        <v>1894</v>
      </c>
      <c r="I1416" s="28" t="str">
        <f>VLOOKUP(F1416,표준용어사전!$B:$D,3,FALSE)</f>
        <v>번호I</v>
      </c>
      <c r="J1416" s="28" t="s">
        <v>717</v>
      </c>
      <c r="K1416" s="27" t="s">
        <v>927</v>
      </c>
      <c r="L1416" s="29" t="s">
        <v>571</v>
      </c>
      <c r="M1416" s="29"/>
      <c r="N1416" s="29" t="s">
        <v>711</v>
      </c>
      <c r="O1416" s="28" t="s">
        <v>641</v>
      </c>
      <c r="P1416" s="28"/>
      <c r="Q1416" s="28" t="s">
        <v>76</v>
      </c>
      <c r="R1416" s="29"/>
      <c r="S1416" s="28"/>
      <c r="T1416" s="28"/>
      <c r="U1416" s="28" t="s">
        <v>75</v>
      </c>
      <c r="V1416" s="28" t="s">
        <v>75</v>
      </c>
      <c r="W1416" s="28"/>
    </row>
    <row r="1417" spans="1:23" hidden="1">
      <c r="A1417" s="46" t="s">
        <v>711</v>
      </c>
      <c r="B1417" s="28" t="s">
        <v>1333</v>
      </c>
      <c r="C1417" s="28" t="s">
        <v>88</v>
      </c>
      <c r="D1417" s="28" t="s">
        <v>1891</v>
      </c>
      <c r="E1417" s="28" t="s">
        <v>246</v>
      </c>
      <c r="F1417" s="28" t="s">
        <v>17</v>
      </c>
      <c r="G1417" s="28" t="s">
        <v>17</v>
      </c>
      <c r="H1417" s="28" t="s">
        <v>1894</v>
      </c>
      <c r="I1417" s="28" t="str">
        <f>VLOOKUP(F1417,표준용어사전!$B:$D,3,FALSE)</f>
        <v>명V20</v>
      </c>
      <c r="J1417" s="28" t="s">
        <v>718</v>
      </c>
      <c r="K1417" s="27">
        <v>20</v>
      </c>
      <c r="L1417" s="29" t="s">
        <v>571</v>
      </c>
      <c r="M1417" s="29" t="s">
        <v>727</v>
      </c>
      <c r="N1417" s="29" t="s">
        <v>711</v>
      </c>
      <c r="O1417" s="28"/>
      <c r="P1417" s="28"/>
      <c r="Q1417" s="28" t="s">
        <v>76</v>
      </c>
      <c r="R1417" s="29"/>
      <c r="S1417" s="28"/>
      <c r="T1417" s="28"/>
      <c r="U1417" s="28" t="s">
        <v>75</v>
      </c>
      <c r="V1417" s="28" t="s">
        <v>75</v>
      </c>
      <c r="W1417" s="28"/>
    </row>
    <row r="1418" spans="1:23" hidden="1">
      <c r="A1418" s="46" t="s">
        <v>711</v>
      </c>
      <c r="B1418" s="28" t="s">
        <v>1333</v>
      </c>
      <c r="C1418" s="28" t="s">
        <v>88</v>
      </c>
      <c r="D1418" s="28" t="s">
        <v>1891</v>
      </c>
      <c r="E1418" s="28" t="s">
        <v>89</v>
      </c>
      <c r="F1418" s="28" t="s">
        <v>501</v>
      </c>
      <c r="G1418" s="28" t="s">
        <v>501</v>
      </c>
      <c r="H1418" s="28" t="s">
        <v>1894</v>
      </c>
      <c r="I1418" s="28" t="str">
        <f>VLOOKUP(F1418,표준용어사전!$B:$D,3,FALSE)</f>
        <v>명V20</v>
      </c>
      <c r="J1418" s="28" t="s">
        <v>718</v>
      </c>
      <c r="K1418" s="27">
        <v>50</v>
      </c>
      <c r="L1418" s="29" t="s">
        <v>571</v>
      </c>
      <c r="M1418" s="29" t="s">
        <v>720</v>
      </c>
      <c r="N1418" s="29" t="s">
        <v>711</v>
      </c>
      <c r="O1418" s="28"/>
      <c r="P1418" s="28"/>
      <c r="Q1418" s="28" t="s">
        <v>1930</v>
      </c>
      <c r="R1418" s="29">
        <v>1</v>
      </c>
      <c r="S1418" s="28"/>
      <c r="T1418" s="28"/>
      <c r="U1418" s="28" t="s">
        <v>75</v>
      </c>
      <c r="V1418" s="28" t="s">
        <v>75</v>
      </c>
      <c r="W1418" s="28"/>
    </row>
    <row r="1419" spans="1:23" hidden="1">
      <c r="A1419" s="46" t="s">
        <v>711</v>
      </c>
      <c r="B1419" s="28" t="s">
        <v>1333</v>
      </c>
      <c r="C1419" s="28" t="s">
        <v>88</v>
      </c>
      <c r="D1419" s="28" t="s">
        <v>1891</v>
      </c>
      <c r="E1419" s="28" t="s">
        <v>1895</v>
      </c>
      <c r="F1419" s="28" t="s">
        <v>1883</v>
      </c>
      <c r="G1419" s="28" t="s">
        <v>1883</v>
      </c>
      <c r="H1419" s="28" t="s">
        <v>1894</v>
      </c>
      <c r="I1419" s="28" t="str">
        <f>VLOOKUP(F1419,표준용어사전!$B:$D,3,FALSE)</f>
        <v>명V512</v>
      </c>
      <c r="J1419" s="28" t="s">
        <v>718</v>
      </c>
      <c r="K1419" s="27">
        <v>512</v>
      </c>
      <c r="L1419" s="29" t="s">
        <v>571</v>
      </c>
      <c r="M1419" s="29" t="s">
        <v>721</v>
      </c>
      <c r="N1419" s="29" t="s">
        <v>711</v>
      </c>
      <c r="O1419" s="28"/>
      <c r="P1419" s="28"/>
      <c r="Q1419" s="28" t="s">
        <v>76</v>
      </c>
      <c r="R1419" s="29"/>
      <c r="S1419" s="28"/>
      <c r="T1419" s="28"/>
      <c r="U1419" s="28" t="s">
        <v>75</v>
      </c>
      <c r="V1419" s="28" t="s">
        <v>75</v>
      </c>
      <c r="W1419" s="28"/>
    </row>
    <row r="1420" spans="1:23" hidden="1">
      <c r="A1420" s="46" t="s">
        <v>711</v>
      </c>
      <c r="B1420" s="28" t="s">
        <v>1333</v>
      </c>
      <c r="C1420" s="28" t="s">
        <v>88</v>
      </c>
      <c r="D1420" s="28" t="s">
        <v>1891</v>
      </c>
      <c r="E1420" s="28" t="s">
        <v>1860</v>
      </c>
      <c r="F1420" s="28" t="s">
        <v>1861</v>
      </c>
      <c r="G1420" s="28" t="s">
        <v>1861</v>
      </c>
      <c r="H1420" s="28" t="s">
        <v>1894</v>
      </c>
      <c r="I1420" s="28" t="e">
        <f>VLOOKUP(F1420,표준용어사전!$B:$D,3,FALSE)</f>
        <v>#N/A</v>
      </c>
      <c r="J1420" s="28" t="s">
        <v>709</v>
      </c>
      <c r="K1420" s="27">
        <v>1</v>
      </c>
      <c r="L1420" s="29" t="s">
        <v>571</v>
      </c>
      <c r="M1420" s="29" t="s">
        <v>722</v>
      </c>
      <c r="N1420" s="29" t="s">
        <v>711</v>
      </c>
      <c r="O1420" s="28"/>
      <c r="P1420" s="28"/>
      <c r="Q1420" s="28"/>
      <c r="R1420" s="29"/>
      <c r="S1420" s="28"/>
      <c r="T1420" s="28"/>
      <c r="U1420" s="28" t="s">
        <v>75</v>
      </c>
      <c r="V1420" s="28" t="s">
        <v>75</v>
      </c>
      <c r="W1420" s="28"/>
    </row>
    <row r="1421" spans="1:23" hidden="1">
      <c r="A1421" s="46" t="s">
        <v>711</v>
      </c>
      <c r="B1421" s="28" t="s">
        <v>1333</v>
      </c>
      <c r="C1421" s="28" t="s">
        <v>88</v>
      </c>
      <c r="D1421" s="28" t="s">
        <v>1891</v>
      </c>
      <c r="E1421" s="28" t="s">
        <v>43</v>
      </c>
      <c r="F1421" s="28" t="s">
        <v>1611</v>
      </c>
      <c r="G1421" s="28" t="s">
        <v>1611</v>
      </c>
      <c r="H1421" s="28" t="s">
        <v>1894</v>
      </c>
      <c r="I1421" s="28" t="e">
        <f>VLOOKUP(F1421,표준용어사전!$B:$D,3,FALSE)</f>
        <v>#N/A</v>
      </c>
      <c r="J1421" s="28" t="s">
        <v>748</v>
      </c>
      <c r="K1421" s="27">
        <v>10</v>
      </c>
      <c r="L1421" s="29" t="s">
        <v>571</v>
      </c>
      <c r="M1421" s="29">
        <v>9999999999</v>
      </c>
      <c r="N1421" s="29" t="s">
        <v>711</v>
      </c>
      <c r="O1421" s="28"/>
      <c r="P1421" s="28"/>
      <c r="Q1421" s="28" t="s">
        <v>76</v>
      </c>
      <c r="R1421" s="29"/>
      <c r="S1421" s="28"/>
      <c r="T1421" s="28"/>
      <c r="U1421" s="28" t="s">
        <v>75</v>
      </c>
      <c r="V1421" s="28" t="s">
        <v>75</v>
      </c>
      <c r="W1421" s="28"/>
    </row>
    <row r="1422" spans="1:23" hidden="1">
      <c r="A1422" s="46" t="s">
        <v>711</v>
      </c>
      <c r="B1422" s="28" t="s">
        <v>1333</v>
      </c>
      <c r="C1422" s="28" t="s">
        <v>88</v>
      </c>
      <c r="D1422" s="28" t="s">
        <v>1891</v>
      </c>
      <c r="E1422" s="28" t="s">
        <v>1885</v>
      </c>
      <c r="F1422" s="28" t="s">
        <v>1886</v>
      </c>
      <c r="G1422" s="28" t="s">
        <v>1887</v>
      </c>
      <c r="H1422" s="28" t="s">
        <v>1894</v>
      </c>
      <c r="I1422" s="28" t="e">
        <f>VLOOKUP(F1422,표준용어사전!$B:$D,3,FALSE)</f>
        <v>#N/A</v>
      </c>
      <c r="J1422" s="28" t="s">
        <v>63</v>
      </c>
      <c r="K1422" s="27">
        <v>14</v>
      </c>
      <c r="L1422" s="29" t="s">
        <v>571</v>
      </c>
      <c r="M1422" s="29" t="s">
        <v>1888</v>
      </c>
      <c r="N1422" s="29" t="s">
        <v>75</v>
      </c>
      <c r="O1422" s="28"/>
      <c r="P1422" s="28"/>
      <c r="Q1422" s="28" t="s">
        <v>76</v>
      </c>
      <c r="R1422" s="29"/>
      <c r="S1422" s="28"/>
      <c r="T1422" s="28"/>
      <c r="U1422" s="28" t="s">
        <v>75</v>
      </c>
      <c r="V1422" s="28" t="s">
        <v>75</v>
      </c>
      <c r="W1422" s="28"/>
    </row>
    <row r="1423" spans="1:23" hidden="1">
      <c r="A1423" s="46" t="s">
        <v>711</v>
      </c>
      <c r="B1423" s="28" t="s">
        <v>1333</v>
      </c>
      <c r="C1423" s="28" t="s">
        <v>88</v>
      </c>
      <c r="D1423" s="28" t="s">
        <v>1891</v>
      </c>
      <c r="E1423" s="28" t="s">
        <v>268</v>
      </c>
      <c r="F1423" s="28" t="s">
        <v>500</v>
      </c>
      <c r="G1423" s="28" t="s">
        <v>763</v>
      </c>
      <c r="H1423" s="28" t="s">
        <v>1894</v>
      </c>
      <c r="I1423" s="28" t="str">
        <f>VLOOKUP(F1423,표준용어사전!$B:$D,3,FALSE)</f>
        <v>코드C1</v>
      </c>
      <c r="J1423" s="28" t="s">
        <v>709</v>
      </c>
      <c r="K1423" s="27">
        <v>1</v>
      </c>
      <c r="L1423" s="29" t="s">
        <v>571</v>
      </c>
      <c r="M1423" s="29" t="s">
        <v>722</v>
      </c>
      <c r="N1423" s="29" t="s">
        <v>572</v>
      </c>
      <c r="O1423" s="28"/>
      <c r="P1423" s="28"/>
      <c r="Q1423" s="28" t="s">
        <v>1931</v>
      </c>
      <c r="R1423" s="29">
        <v>2</v>
      </c>
      <c r="S1423" s="28"/>
      <c r="T1423" s="28"/>
      <c r="U1423" s="28" t="s">
        <v>75</v>
      </c>
      <c r="V1423" s="28" t="s">
        <v>75</v>
      </c>
      <c r="W1423" s="28"/>
    </row>
    <row r="1424" spans="1:23" hidden="1">
      <c r="A1424" s="46" t="s">
        <v>711</v>
      </c>
      <c r="B1424" s="28" t="s">
        <v>1333</v>
      </c>
      <c r="C1424" s="28" t="s">
        <v>88</v>
      </c>
      <c r="D1424" s="28" t="s">
        <v>1891</v>
      </c>
      <c r="E1424" s="28" t="s">
        <v>252</v>
      </c>
      <c r="F1424" s="28" t="s">
        <v>77</v>
      </c>
      <c r="G1424" s="28" t="s">
        <v>77</v>
      </c>
      <c r="H1424" s="28" t="s">
        <v>1894</v>
      </c>
      <c r="I1424" s="28" t="str">
        <f>VLOOKUP(F1424,표준용어사전!$B:$D,3,FALSE)</f>
        <v>내용TXT</v>
      </c>
      <c r="J1424" s="28" t="s">
        <v>713</v>
      </c>
      <c r="K1424" s="27" t="s">
        <v>571</v>
      </c>
      <c r="L1424" s="29" t="s">
        <v>571</v>
      </c>
      <c r="M1424" s="29"/>
      <c r="N1424" s="29" t="s">
        <v>572</v>
      </c>
      <c r="O1424" s="28"/>
      <c r="P1424" s="28"/>
      <c r="Q1424" s="28" t="s">
        <v>76</v>
      </c>
      <c r="R1424" s="29"/>
      <c r="S1424" s="28"/>
      <c r="T1424" s="28"/>
      <c r="U1424" s="28" t="s">
        <v>75</v>
      </c>
      <c r="V1424" s="28" t="s">
        <v>75</v>
      </c>
      <c r="W1424" s="28"/>
    </row>
    <row r="1425" spans="1:23" hidden="1">
      <c r="A1425" s="46" t="s">
        <v>711</v>
      </c>
      <c r="B1425" s="28" t="s">
        <v>1333</v>
      </c>
      <c r="C1425" s="28" t="s">
        <v>88</v>
      </c>
      <c r="D1425" s="28" t="s">
        <v>1891</v>
      </c>
      <c r="E1425" s="28" t="s">
        <v>90</v>
      </c>
      <c r="F1425" s="28" t="s">
        <v>14</v>
      </c>
      <c r="G1425" s="28" t="s">
        <v>14</v>
      </c>
      <c r="H1425" s="28" t="s">
        <v>1894</v>
      </c>
      <c r="I1425" s="28" t="str">
        <f>VLOOKUP(F1425,표준용어사전!$B:$D,3,FALSE)</f>
        <v>연월일시분초TS</v>
      </c>
      <c r="J1425" s="28" t="s">
        <v>16</v>
      </c>
      <c r="K1425" s="27" t="s">
        <v>571</v>
      </c>
      <c r="L1425" s="29" t="s">
        <v>571</v>
      </c>
      <c r="M1425" s="29" t="s">
        <v>726</v>
      </c>
      <c r="N1425" s="29" t="s">
        <v>711</v>
      </c>
      <c r="O1425" s="28"/>
      <c r="P1425" s="28"/>
      <c r="Q1425" s="28" t="s">
        <v>76</v>
      </c>
      <c r="R1425" s="29"/>
      <c r="S1425" s="28"/>
      <c r="T1425" s="28" t="s">
        <v>574</v>
      </c>
      <c r="U1425" s="28" t="s">
        <v>75</v>
      </c>
      <c r="V1425" s="28" t="s">
        <v>75</v>
      </c>
      <c r="W1425" s="28"/>
    </row>
    <row r="1426" spans="1:23" hidden="1">
      <c r="A1426" s="46" t="s">
        <v>711</v>
      </c>
      <c r="B1426" s="28" t="s">
        <v>1333</v>
      </c>
      <c r="C1426" s="28" t="s">
        <v>88</v>
      </c>
      <c r="D1426" s="28" t="s">
        <v>1891</v>
      </c>
      <c r="E1426" s="28" t="s">
        <v>91</v>
      </c>
      <c r="F1426" s="28" t="s">
        <v>369</v>
      </c>
      <c r="G1426" s="28" t="s">
        <v>369</v>
      </c>
      <c r="H1426" s="28" t="s">
        <v>1894</v>
      </c>
      <c r="I1426" s="28" t="str">
        <f>VLOOKUP(F1426,표준용어사전!$B:$D,3,FALSE)</f>
        <v>명V20</v>
      </c>
      <c r="J1426" s="28" t="s">
        <v>78</v>
      </c>
      <c r="K1426" s="27">
        <v>20</v>
      </c>
      <c r="L1426" s="29" t="s">
        <v>571</v>
      </c>
      <c r="M1426" s="29" t="s">
        <v>727</v>
      </c>
      <c r="N1426" s="29" t="s">
        <v>75</v>
      </c>
      <c r="O1426" s="28"/>
      <c r="P1426" s="28"/>
      <c r="Q1426" s="28" t="s">
        <v>76</v>
      </c>
      <c r="R1426" s="29"/>
      <c r="S1426" s="28"/>
      <c r="T1426" s="28" t="s">
        <v>571</v>
      </c>
      <c r="U1426" s="28" t="s">
        <v>75</v>
      </c>
      <c r="V1426" s="28" t="s">
        <v>75</v>
      </c>
      <c r="W1426" s="28"/>
    </row>
    <row r="1427" spans="1:23" hidden="1">
      <c r="A1427" s="46" t="s">
        <v>711</v>
      </c>
      <c r="B1427" s="28" t="s">
        <v>1333</v>
      </c>
      <c r="C1427" s="28" t="s">
        <v>88</v>
      </c>
      <c r="D1427" s="28" t="s">
        <v>1891</v>
      </c>
      <c r="E1427" s="28" t="s">
        <v>92</v>
      </c>
      <c r="F1427" s="28" t="s">
        <v>15</v>
      </c>
      <c r="G1427" s="28" t="s">
        <v>15</v>
      </c>
      <c r="H1427" s="28" t="s">
        <v>1894</v>
      </c>
      <c r="I1427" s="28" t="str">
        <f>VLOOKUP(F1427,표준용어사전!$B:$D,3,FALSE)</f>
        <v>연월일시분초TS</v>
      </c>
      <c r="J1427" s="28" t="s">
        <v>16</v>
      </c>
      <c r="K1427" s="27" t="s">
        <v>571</v>
      </c>
      <c r="L1427" s="29" t="s">
        <v>571</v>
      </c>
      <c r="M1427" s="29" t="s">
        <v>726</v>
      </c>
      <c r="N1427" s="29" t="s">
        <v>75</v>
      </c>
      <c r="O1427" s="28"/>
      <c r="P1427" s="28"/>
      <c r="Q1427" s="28" t="s">
        <v>76</v>
      </c>
      <c r="R1427" s="29"/>
      <c r="S1427" s="28"/>
      <c r="T1427" s="28" t="s">
        <v>574</v>
      </c>
      <c r="U1427" s="28" t="s">
        <v>75</v>
      </c>
      <c r="V1427" s="28" t="s">
        <v>75</v>
      </c>
      <c r="W1427" s="28"/>
    </row>
    <row r="1428" spans="1:23" hidden="1">
      <c r="A1428" s="46" t="s">
        <v>711</v>
      </c>
      <c r="B1428" s="28" t="s">
        <v>1333</v>
      </c>
      <c r="C1428" s="28" t="s">
        <v>88</v>
      </c>
      <c r="D1428" s="28" t="s">
        <v>1891</v>
      </c>
      <c r="E1428" s="28" t="s">
        <v>93</v>
      </c>
      <c r="F1428" s="28" t="s">
        <v>370</v>
      </c>
      <c r="G1428" s="28" t="s">
        <v>370</v>
      </c>
      <c r="H1428" s="28" t="s">
        <v>1894</v>
      </c>
      <c r="I1428" s="28" t="str">
        <f>VLOOKUP(F1428,표준용어사전!$B:$D,3,FALSE)</f>
        <v>명V20</v>
      </c>
      <c r="J1428" s="28" t="s">
        <v>78</v>
      </c>
      <c r="K1428" s="27">
        <v>20</v>
      </c>
      <c r="L1428" s="29" t="s">
        <v>571</v>
      </c>
      <c r="M1428" s="29" t="s">
        <v>727</v>
      </c>
      <c r="N1428" s="29" t="s">
        <v>75</v>
      </c>
      <c r="O1428" s="28"/>
      <c r="P1428" s="28"/>
      <c r="Q1428" s="28" t="s">
        <v>76</v>
      </c>
      <c r="R1428" s="29"/>
      <c r="S1428" s="28"/>
      <c r="T1428" s="28" t="s">
        <v>571</v>
      </c>
      <c r="U1428" s="28" t="s">
        <v>75</v>
      </c>
      <c r="V1428" s="28" t="s">
        <v>75</v>
      </c>
      <c r="W1428" s="28"/>
    </row>
    <row r="1429" spans="1:23" hidden="1">
      <c r="A1429" s="46" t="s">
        <v>711</v>
      </c>
      <c r="B1429" s="28" t="s">
        <v>1333</v>
      </c>
      <c r="C1429" s="28" t="s">
        <v>88</v>
      </c>
      <c r="D1429" s="28" t="s">
        <v>1896</v>
      </c>
      <c r="E1429" s="28" t="s">
        <v>1897</v>
      </c>
      <c r="F1429" s="28" t="s">
        <v>1898</v>
      </c>
      <c r="G1429" s="28" t="s">
        <v>1898</v>
      </c>
      <c r="H1429" s="28" t="s">
        <v>1899</v>
      </c>
      <c r="I1429" s="28" t="str">
        <f>VLOOKUP(F1429,표준용어사전!$B:$D,3,FALSE)</f>
        <v>번호I</v>
      </c>
      <c r="J1429" s="28" t="s">
        <v>717</v>
      </c>
      <c r="K1429" s="27" t="s">
        <v>571</v>
      </c>
      <c r="L1429" s="29" t="s">
        <v>571</v>
      </c>
      <c r="M1429" s="29"/>
      <c r="N1429" s="29" t="s">
        <v>711</v>
      </c>
      <c r="O1429" s="28" t="s">
        <v>641</v>
      </c>
      <c r="P1429" s="28"/>
      <c r="Q1429" s="28" t="s">
        <v>76</v>
      </c>
      <c r="R1429" s="29"/>
      <c r="S1429" s="28"/>
      <c r="T1429" s="28"/>
      <c r="U1429" s="28" t="s">
        <v>75</v>
      </c>
      <c r="V1429" s="28" t="s">
        <v>75</v>
      </c>
      <c r="W1429" s="28"/>
    </row>
    <row r="1430" spans="1:23" hidden="1">
      <c r="A1430" s="46" t="s">
        <v>711</v>
      </c>
      <c r="B1430" s="28" t="s">
        <v>1333</v>
      </c>
      <c r="C1430" s="28" t="s">
        <v>88</v>
      </c>
      <c r="D1430" s="28" t="s">
        <v>1896</v>
      </c>
      <c r="E1430" s="28" t="s">
        <v>246</v>
      </c>
      <c r="F1430" s="28" t="s">
        <v>17</v>
      </c>
      <c r="G1430" s="28" t="s">
        <v>17</v>
      </c>
      <c r="H1430" s="28" t="s">
        <v>1899</v>
      </c>
      <c r="I1430" s="28" t="str">
        <f>VLOOKUP(F1430,표준용어사전!$B:$D,3,FALSE)</f>
        <v>명V20</v>
      </c>
      <c r="J1430" s="28" t="s">
        <v>718</v>
      </c>
      <c r="K1430" s="24">
        <v>20</v>
      </c>
      <c r="L1430" s="29" t="s">
        <v>571</v>
      </c>
      <c r="M1430" s="29" t="s">
        <v>727</v>
      </c>
      <c r="N1430" s="29" t="s">
        <v>711</v>
      </c>
      <c r="O1430" s="28"/>
      <c r="P1430" s="28"/>
      <c r="Q1430" s="28" t="s">
        <v>76</v>
      </c>
      <c r="R1430" s="29"/>
      <c r="S1430" s="28"/>
      <c r="T1430" s="28"/>
      <c r="U1430" s="28" t="s">
        <v>75</v>
      </c>
      <c r="V1430" s="28" t="s">
        <v>75</v>
      </c>
      <c r="W1430" s="28"/>
    </row>
    <row r="1431" spans="1:23" hidden="1">
      <c r="A1431" s="46" t="s">
        <v>711</v>
      </c>
      <c r="B1431" s="28" t="s">
        <v>1333</v>
      </c>
      <c r="C1431" s="28" t="s">
        <v>88</v>
      </c>
      <c r="D1431" s="28" t="s">
        <v>1896</v>
      </c>
      <c r="E1431" s="28" t="s">
        <v>1848</v>
      </c>
      <c r="F1431" s="28" t="s">
        <v>1849</v>
      </c>
      <c r="G1431" s="28" t="s">
        <v>1850</v>
      </c>
      <c r="H1431" s="28" t="s">
        <v>1899</v>
      </c>
      <c r="I1431" s="28" t="str">
        <f>VLOOKUP(F1431,표준용어사전!$B:$D,3,FALSE)</f>
        <v>번호V50</v>
      </c>
      <c r="J1431" s="28" t="s">
        <v>718</v>
      </c>
      <c r="K1431" s="24">
        <v>50</v>
      </c>
      <c r="L1431" s="29" t="s">
        <v>571</v>
      </c>
      <c r="M1431" s="29" t="s">
        <v>720</v>
      </c>
      <c r="N1431" s="29" t="s">
        <v>711</v>
      </c>
      <c r="O1431" s="28"/>
      <c r="P1431" s="28"/>
      <c r="Q1431" s="28" t="s">
        <v>76</v>
      </c>
      <c r="R1431" s="29"/>
      <c r="S1431" s="28"/>
      <c r="T1431" s="28"/>
      <c r="U1431" s="28" t="s">
        <v>75</v>
      </c>
      <c r="V1431" s="28" t="s">
        <v>75</v>
      </c>
      <c r="W1431" s="28"/>
    </row>
    <row r="1432" spans="1:23" hidden="1">
      <c r="A1432" s="46" t="s">
        <v>711</v>
      </c>
      <c r="B1432" s="28" t="s">
        <v>1333</v>
      </c>
      <c r="C1432" s="28" t="s">
        <v>88</v>
      </c>
      <c r="D1432" s="28" t="s">
        <v>1896</v>
      </c>
      <c r="E1432" s="28" t="s">
        <v>89</v>
      </c>
      <c r="F1432" s="28" t="s">
        <v>501</v>
      </c>
      <c r="G1432" s="28" t="s">
        <v>501</v>
      </c>
      <c r="H1432" s="28" t="s">
        <v>1899</v>
      </c>
      <c r="I1432" s="28" t="str">
        <f>VLOOKUP(F1432,표준용어사전!$B:$D,3,FALSE)</f>
        <v>명V20</v>
      </c>
      <c r="J1432" s="28" t="s">
        <v>718</v>
      </c>
      <c r="K1432" s="27">
        <v>50</v>
      </c>
      <c r="L1432" s="29" t="s">
        <v>571</v>
      </c>
      <c r="M1432" s="29" t="s">
        <v>720</v>
      </c>
      <c r="N1432" s="29" t="s">
        <v>711</v>
      </c>
      <c r="O1432" s="28"/>
      <c r="P1432" s="28"/>
      <c r="Q1432" s="28" t="s">
        <v>76</v>
      </c>
      <c r="R1432" s="29"/>
      <c r="S1432" s="28"/>
      <c r="T1432" s="28"/>
      <c r="U1432" s="28" t="s">
        <v>75</v>
      </c>
      <c r="V1432" s="28" t="s">
        <v>75</v>
      </c>
      <c r="W1432" s="28"/>
    </row>
    <row r="1433" spans="1:23" hidden="1">
      <c r="A1433" s="46" t="s">
        <v>711</v>
      </c>
      <c r="B1433" s="28" t="s">
        <v>1333</v>
      </c>
      <c r="C1433" s="28" t="s">
        <v>88</v>
      </c>
      <c r="D1433" s="28" t="s">
        <v>1896</v>
      </c>
      <c r="E1433" s="28" t="s">
        <v>1860</v>
      </c>
      <c r="F1433" s="28" t="s">
        <v>1861</v>
      </c>
      <c r="G1433" s="28" t="s">
        <v>1861</v>
      </c>
      <c r="H1433" s="28" t="s">
        <v>1899</v>
      </c>
      <c r="I1433" s="28" t="e">
        <f>VLOOKUP(F1433,표준용어사전!$B:$D,3,FALSE)</f>
        <v>#N/A</v>
      </c>
      <c r="J1433" s="28" t="s">
        <v>709</v>
      </c>
      <c r="K1433" s="27">
        <v>1</v>
      </c>
      <c r="L1433" s="29" t="s">
        <v>571</v>
      </c>
      <c r="M1433" s="29" t="s">
        <v>722</v>
      </c>
      <c r="N1433" s="29" t="s">
        <v>711</v>
      </c>
      <c r="O1433" s="28"/>
      <c r="P1433" s="28"/>
      <c r="Q1433" s="28"/>
      <c r="R1433" s="29"/>
      <c r="S1433" s="28"/>
      <c r="T1433" s="28"/>
      <c r="U1433" s="28" t="s">
        <v>75</v>
      </c>
      <c r="V1433" s="28" t="s">
        <v>75</v>
      </c>
      <c r="W1433" s="28"/>
    </row>
    <row r="1434" spans="1:23" hidden="1">
      <c r="A1434" s="46" t="s">
        <v>711</v>
      </c>
      <c r="B1434" s="28" t="s">
        <v>1333</v>
      </c>
      <c r="C1434" s="28" t="s">
        <v>88</v>
      </c>
      <c r="D1434" s="28" t="s">
        <v>1896</v>
      </c>
      <c r="E1434" s="28" t="s">
        <v>268</v>
      </c>
      <c r="F1434" s="28" t="s">
        <v>500</v>
      </c>
      <c r="G1434" s="28" t="s">
        <v>763</v>
      </c>
      <c r="H1434" s="28" t="s">
        <v>1899</v>
      </c>
      <c r="I1434" s="28" t="str">
        <f>VLOOKUP(F1434,표준용어사전!$B:$D,3,FALSE)</f>
        <v>코드C1</v>
      </c>
      <c r="J1434" s="28" t="s">
        <v>709</v>
      </c>
      <c r="K1434" s="24">
        <v>1</v>
      </c>
      <c r="L1434" s="29" t="s">
        <v>571</v>
      </c>
      <c r="M1434" s="29" t="s">
        <v>722</v>
      </c>
      <c r="N1434" s="29" t="s">
        <v>75</v>
      </c>
      <c r="O1434" s="28"/>
      <c r="P1434" s="28"/>
      <c r="Q1434" s="28" t="s">
        <v>76</v>
      </c>
      <c r="R1434" s="29"/>
      <c r="S1434" s="28"/>
      <c r="T1434" s="28"/>
      <c r="U1434" s="28" t="s">
        <v>75</v>
      </c>
      <c r="V1434" s="28" t="s">
        <v>75</v>
      </c>
      <c r="W1434" s="28"/>
    </row>
    <row r="1435" spans="1:23" hidden="1">
      <c r="A1435" s="46" t="s">
        <v>711</v>
      </c>
      <c r="B1435" s="28" t="s">
        <v>1333</v>
      </c>
      <c r="C1435" s="28" t="s">
        <v>88</v>
      </c>
      <c r="D1435" s="28" t="s">
        <v>1896</v>
      </c>
      <c r="E1435" s="28" t="s">
        <v>252</v>
      </c>
      <c r="F1435" s="28" t="s">
        <v>77</v>
      </c>
      <c r="G1435" s="28" t="s">
        <v>77</v>
      </c>
      <c r="H1435" s="28" t="s">
        <v>1899</v>
      </c>
      <c r="I1435" s="28" t="str">
        <f>VLOOKUP(F1435,표준용어사전!$B:$D,3,FALSE)</f>
        <v>내용TXT</v>
      </c>
      <c r="J1435" s="28" t="s">
        <v>713</v>
      </c>
      <c r="K1435" s="27" t="s">
        <v>571</v>
      </c>
      <c r="L1435" s="29" t="s">
        <v>571</v>
      </c>
      <c r="M1435" s="29"/>
      <c r="N1435" s="29" t="s">
        <v>75</v>
      </c>
      <c r="O1435" s="28"/>
      <c r="P1435" s="28"/>
      <c r="Q1435" s="28" t="s">
        <v>76</v>
      </c>
      <c r="R1435" s="29"/>
      <c r="S1435" s="28"/>
      <c r="T1435" s="28"/>
      <c r="U1435" s="28" t="s">
        <v>75</v>
      </c>
      <c r="V1435" s="28" t="s">
        <v>75</v>
      </c>
      <c r="W1435" s="28"/>
    </row>
    <row r="1436" spans="1:23" hidden="1">
      <c r="A1436" s="46" t="s">
        <v>711</v>
      </c>
      <c r="B1436" s="28" t="s">
        <v>1333</v>
      </c>
      <c r="C1436" s="28" t="s">
        <v>88</v>
      </c>
      <c r="D1436" s="28" t="s">
        <v>1896</v>
      </c>
      <c r="E1436" s="28" t="s">
        <v>90</v>
      </c>
      <c r="F1436" s="28" t="s">
        <v>14</v>
      </c>
      <c r="G1436" s="28" t="s">
        <v>14</v>
      </c>
      <c r="H1436" s="28" t="s">
        <v>1899</v>
      </c>
      <c r="I1436" s="28" t="str">
        <f>VLOOKUP(F1436,표준용어사전!$B:$D,3,FALSE)</f>
        <v>연월일시분초TS</v>
      </c>
      <c r="J1436" s="28" t="s">
        <v>16</v>
      </c>
      <c r="K1436" s="27" t="s">
        <v>571</v>
      </c>
      <c r="L1436" s="29" t="s">
        <v>571</v>
      </c>
      <c r="M1436" s="29" t="s">
        <v>726</v>
      </c>
      <c r="N1436" s="29" t="s">
        <v>711</v>
      </c>
      <c r="O1436" s="28"/>
      <c r="P1436" s="28"/>
      <c r="Q1436" s="28" t="s">
        <v>76</v>
      </c>
      <c r="R1436" s="29"/>
      <c r="S1436" s="28"/>
      <c r="T1436" s="28" t="s">
        <v>574</v>
      </c>
      <c r="U1436" s="28" t="s">
        <v>75</v>
      </c>
      <c r="V1436" s="28" t="s">
        <v>75</v>
      </c>
      <c r="W1436" s="28"/>
    </row>
    <row r="1437" spans="1:23" hidden="1">
      <c r="A1437" s="46" t="s">
        <v>711</v>
      </c>
      <c r="B1437" s="28" t="s">
        <v>1333</v>
      </c>
      <c r="C1437" s="28" t="s">
        <v>88</v>
      </c>
      <c r="D1437" s="28" t="s">
        <v>1896</v>
      </c>
      <c r="E1437" s="28" t="s">
        <v>91</v>
      </c>
      <c r="F1437" s="28" t="s">
        <v>369</v>
      </c>
      <c r="G1437" s="28" t="s">
        <v>369</v>
      </c>
      <c r="H1437" s="28" t="s">
        <v>1899</v>
      </c>
      <c r="I1437" s="28" t="str">
        <f>VLOOKUP(F1437,표준용어사전!$B:$D,3,FALSE)</f>
        <v>명V20</v>
      </c>
      <c r="J1437" s="28" t="s">
        <v>78</v>
      </c>
      <c r="K1437" s="27">
        <v>20</v>
      </c>
      <c r="L1437" s="29" t="s">
        <v>571</v>
      </c>
      <c r="M1437" s="29" t="s">
        <v>727</v>
      </c>
      <c r="N1437" s="29" t="s">
        <v>75</v>
      </c>
      <c r="O1437" s="28"/>
      <c r="P1437" s="28"/>
      <c r="Q1437" s="28" t="s">
        <v>76</v>
      </c>
      <c r="R1437" s="29"/>
      <c r="S1437" s="28"/>
      <c r="T1437" s="28" t="s">
        <v>571</v>
      </c>
      <c r="U1437" s="28" t="s">
        <v>75</v>
      </c>
      <c r="V1437" s="28" t="s">
        <v>75</v>
      </c>
      <c r="W1437" s="28"/>
    </row>
    <row r="1438" spans="1:23" hidden="1">
      <c r="A1438" s="46" t="s">
        <v>711</v>
      </c>
      <c r="B1438" s="28" t="s">
        <v>1333</v>
      </c>
      <c r="C1438" s="28" t="s">
        <v>88</v>
      </c>
      <c r="D1438" s="28" t="s">
        <v>1896</v>
      </c>
      <c r="E1438" s="28" t="s">
        <v>92</v>
      </c>
      <c r="F1438" s="28" t="s">
        <v>15</v>
      </c>
      <c r="G1438" s="28" t="s">
        <v>15</v>
      </c>
      <c r="H1438" s="28" t="s">
        <v>1899</v>
      </c>
      <c r="I1438" s="28" t="str">
        <f>VLOOKUP(F1438,표준용어사전!$B:$D,3,FALSE)</f>
        <v>연월일시분초TS</v>
      </c>
      <c r="J1438" s="28" t="s">
        <v>16</v>
      </c>
      <c r="K1438" s="27" t="s">
        <v>571</v>
      </c>
      <c r="L1438" s="29" t="s">
        <v>571</v>
      </c>
      <c r="M1438" s="29" t="s">
        <v>726</v>
      </c>
      <c r="N1438" s="29" t="s">
        <v>75</v>
      </c>
      <c r="O1438" s="28"/>
      <c r="P1438" s="28"/>
      <c r="Q1438" s="28" t="s">
        <v>76</v>
      </c>
      <c r="R1438" s="29"/>
      <c r="S1438" s="28"/>
      <c r="T1438" s="28" t="s">
        <v>574</v>
      </c>
      <c r="U1438" s="28" t="s">
        <v>75</v>
      </c>
      <c r="V1438" s="28" t="s">
        <v>75</v>
      </c>
      <c r="W1438" s="28"/>
    </row>
    <row r="1439" spans="1:23" hidden="1">
      <c r="A1439" s="46" t="s">
        <v>711</v>
      </c>
      <c r="B1439" s="28" t="s">
        <v>1333</v>
      </c>
      <c r="C1439" s="28" t="s">
        <v>88</v>
      </c>
      <c r="D1439" s="28" t="s">
        <v>1896</v>
      </c>
      <c r="E1439" s="28" t="s">
        <v>93</v>
      </c>
      <c r="F1439" s="28" t="s">
        <v>370</v>
      </c>
      <c r="G1439" s="28" t="s">
        <v>370</v>
      </c>
      <c r="H1439" s="28" t="s">
        <v>1899</v>
      </c>
      <c r="I1439" s="28" t="str">
        <f>VLOOKUP(F1439,표준용어사전!$B:$D,3,FALSE)</f>
        <v>명V20</v>
      </c>
      <c r="J1439" s="28" t="s">
        <v>78</v>
      </c>
      <c r="K1439" s="27">
        <v>20</v>
      </c>
      <c r="L1439" s="29" t="s">
        <v>571</v>
      </c>
      <c r="M1439" s="29" t="s">
        <v>727</v>
      </c>
      <c r="N1439" s="29" t="s">
        <v>75</v>
      </c>
      <c r="O1439" s="28"/>
      <c r="P1439" s="28"/>
      <c r="Q1439" s="28" t="s">
        <v>76</v>
      </c>
      <c r="R1439" s="29"/>
      <c r="S1439" s="28"/>
      <c r="T1439" s="28" t="s">
        <v>571</v>
      </c>
      <c r="U1439" s="28" t="s">
        <v>75</v>
      </c>
      <c r="V1439" s="28" t="s">
        <v>75</v>
      </c>
      <c r="W1439" s="28"/>
    </row>
    <row r="1440" spans="1:23" hidden="1">
      <c r="A1440" s="46" t="s">
        <v>711</v>
      </c>
      <c r="B1440" s="28" t="s">
        <v>1333</v>
      </c>
      <c r="C1440" s="28" t="s">
        <v>88</v>
      </c>
      <c r="D1440" s="28" t="s">
        <v>1900</v>
      </c>
      <c r="E1440" s="28" t="s">
        <v>89</v>
      </c>
      <c r="F1440" s="28" t="s">
        <v>501</v>
      </c>
      <c r="G1440" s="28" t="s">
        <v>760</v>
      </c>
      <c r="H1440" s="28" t="s">
        <v>1901</v>
      </c>
      <c r="I1440" s="28" t="str">
        <f>VLOOKUP(F1440,표준용어사전!$B:$D,3,FALSE)</f>
        <v>명V20</v>
      </c>
      <c r="J1440" s="28" t="s">
        <v>718</v>
      </c>
      <c r="K1440" s="27">
        <v>50</v>
      </c>
      <c r="L1440" s="29" t="s">
        <v>571</v>
      </c>
      <c r="M1440" s="29" t="s">
        <v>720</v>
      </c>
      <c r="N1440" s="29" t="s">
        <v>711</v>
      </c>
      <c r="O1440" s="28" t="s">
        <v>641</v>
      </c>
      <c r="P1440" s="28"/>
      <c r="Q1440" s="28" t="s">
        <v>76</v>
      </c>
      <c r="R1440" s="29"/>
      <c r="S1440" s="28"/>
      <c r="T1440" s="28"/>
      <c r="U1440" s="28" t="s">
        <v>75</v>
      </c>
      <c r="V1440" s="28" t="s">
        <v>75</v>
      </c>
      <c r="W1440" s="28"/>
    </row>
    <row r="1441" spans="1:23" hidden="1">
      <c r="A1441" s="46" t="s">
        <v>711</v>
      </c>
      <c r="B1441" s="28" t="s">
        <v>1333</v>
      </c>
      <c r="C1441" s="28" t="s">
        <v>88</v>
      </c>
      <c r="D1441" s="28" t="s">
        <v>1900</v>
      </c>
      <c r="E1441" s="28" t="s">
        <v>1902</v>
      </c>
      <c r="F1441" s="28" t="s">
        <v>1903</v>
      </c>
      <c r="G1441" s="28" t="s">
        <v>1903</v>
      </c>
      <c r="H1441" s="28" t="s">
        <v>1901</v>
      </c>
      <c r="I1441" s="28" t="str">
        <f>VLOOKUP(F1441,표준용어사전!$B:$D,3,FALSE)</f>
        <v>명V50</v>
      </c>
      <c r="J1441" s="28" t="s">
        <v>718</v>
      </c>
      <c r="K1441" s="27">
        <v>50</v>
      </c>
      <c r="L1441" s="29" t="s">
        <v>571</v>
      </c>
      <c r="M1441" s="29" t="s">
        <v>720</v>
      </c>
      <c r="N1441" s="29" t="s">
        <v>711</v>
      </c>
      <c r="O1441" s="28" t="s">
        <v>573</v>
      </c>
      <c r="P1441" s="28"/>
      <c r="Q1441" s="28" t="s">
        <v>1932</v>
      </c>
      <c r="R1441" s="29">
        <v>1</v>
      </c>
      <c r="S1441" s="28"/>
      <c r="T1441" s="28"/>
      <c r="U1441" s="28" t="s">
        <v>75</v>
      </c>
      <c r="V1441" s="28" t="s">
        <v>75</v>
      </c>
      <c r="W1441" s="28"/>
    </row>
    <row r="1442" spans="1:23" hidden="1">
      <c r="A1442" s="46" t="s">
        <v>711</v>
      </c>
      <c r="B1442" s="28" t="s">
        <v>1333</v>
      </c>
      <c r="C1442" s="28" t="s">
        <v>88</v>
      </c>
      <c r="D1442" s="28" t="s">
        <v>1900</v>
      </c>
      <c r="E1442" s="28" t="s">
        <v>90</v>
      </c>
      <c r="F1442" s="28" t="s">
        <v>14</v>
      </c>
      <c r="G1442" s="28" t="s">
        <v>14</v>
      </c>
      <c r="H1442" s="28" t="s">
        <v>1904</v>
      </c>
      <c r="I1442" s="28" t="str">
        <f>VLOOKUP(F1442,표준용어사전!$B:$D,3,FALSE)</f>
        <v>연월일시분초TS</v>
      </c>
      <c r="J1442" s="28" t="s">
        <v>16</v>
      </c>
      <c r="K1442" s="27" t="s">
        <v>571</v>
      </c>
      <c r="L1442" s="29" t="s">
        <v>571</v>
      </c>
      <c r="M1442" s="29" t="s">
        <v>726</v>
      </c>
      <c r="N1442" s="29" t="s">
        <v>711</v>
      </c>
      <c r="O1442" s="28"/>
      <c r="P1442" s="28"/>
      <c r="Q1442" s="28" t="s">
        <v>76</v>
      </c>
      <c r="R1442" s="29"/>
      <c r="S1442" s="28"/>
      <c r="T1442" s="28" t="s">
        <v>574</v>
      </c>
      <c r="U1442" s="28" t="s">
        <v>75</v>
      </c>
      <c r="V1442" s="28" t="s">
        <v>75</v>
      </c>
      <c r="W1442" s="28"/>
    </row>
    <row r="1443" spans="1:23" hidden="1">
      <c r="A1443" s="46" t="s">
        <v>711</v>
      </c>
      <c r="B1443" s="28" t="s">
        <v>1333</v>
      </c>
      <c r="C1443" s="28" t="s">
        <v>88</v>
      </c>
      <c r="D1443" s="28" t="s">
        <v>1905</v>
      </c>
      <c r="E1443" s="28" t="s">
        <v>91</v>
      </c>
      <c r="F1443" s="28" t="s">
        <v>369</v>
      </c>
      <c r="G1443" s="28" t="s">
        <v>369</v>
      </c>
      <c r="H1443" s="28" t="s">
        <v>1901</v>
      </c>
      <c r="I1443" s="28" t="str">
        <f>VLOOKUP(F1443,표준용어사전!$B:$D,3,FALSE)</f>
        <v>명V20</v>
      </c>
      <c r="J1443" s="28" t="s">
        <v>78</v>
      </c>
      <c r="K1443" s="27">
        <v>20</v>
      </c>
      <c r="L1443" s="29" t="s">
        <v>571</v>
      </c>
      <c r="M1443" s="29" t="s">
        <v>727</v>
      </c>
      <c r="N1443" s="29" t="s">
        <v>75</v>
      </c>
      <c r="O1443" s="28"/>
      <c r="P1443" s="28"/>
      <c r="Q1443" s="28" t="s">
        <v>76</v>
      </c>
      <c r="R1443" s="29"/>
      <c r="S1443" s="28"/>
      <c r="T1443" s="28" t="s">
        <v>571</v>
      </c>
      <c r="U1443" s="28" t="s">
        <v>75</v>
      </c>
      <c r="V1443" s="28" t="s">
        <v>75</v>
      </c>
      <c r="W1443" s="28"/>
    </row>
    <row r="1444" spans="1:23" hidden="1">
      <c r="A1444" s="46" t="s">
        <v>711</v>
      </c>
      <c r="B1444" s="28" t="s">
        <v>1333</v>
      </c>
      <c r="C1444" s="28" t="s">
        <v>88</v>
      </c>
      <c r="D1444" s="28" t="s">
        <v>1900</v>
      </c>
      <c r="E1444" s="28" t="s">
        <v>92</v>
      </c>
      <c r="F1444" s="28" t="s">
        <v>15</v>
      </c>
      <c r="G1444" s="28" t="s">
        <v>15</v>
      </c>
      <c r="H1444" s="28" t="s">
        <v>1901</v>
      </c>
      <c r="I1444" s="28" t="str">
        <f>VLOOKUP(F1444,표준용어사전!$B:$D,3,FALSE)</f>
        <v>연월일시분초TS</v>
      </c>
      <c r="J1444" s="28" t="s">
        <v>16</v>
      </c>
      <c r="K1444" s="27" t="s">
        <v>571</v>
      </c>
      <c r="L1444" s="29" t="s">
        <v>571</v>
      </c>
      <c r="M1444" s="29" t="s">
        <v>726</v>
      </c>
      <c r="N1444" s="29" t="s">
        <v>75</v>
      </c>
      <c r="O1444" s="28"/>
      <c r="P1444" s="28"/>
      <c r="Q1444" s="28" t="s">
        <v>76</v>
      </c>
      <c r="R1444" s="29"/>
      <c r="S1444" s="28"/>
      <c r="T1444" s="28" t="s">
        <v>574</v>
      </c>
      <c r="U1444" s="28" t="s">
        <v>75</v>
      </c>
      <c r="V1444" s="28" t="s">
        <v>75</v>
      </c>
      <c r="W1444" s="28"/>
    </row>
    <row r="1445" spans="1:23" hidden="1">
      <c r="A1445" s="46" t="s">
        <v>711</v>
      </c>
      <c r="B1445" s="28" t="s">
        <v>1333</v>
      </c>
      <c r="C1445" s="28" t="s">
        <v>88</v>
      </c>
      <c r="D1445" s="28" t="s">
        <v>1900</v>
      </c>
      <c r="E1445" s="28" t="s">
        <v>93</v>
      </c>
      <c r="F1445" s="28" t="s">
        <v>370</v>
      </c>
      <c r="G1445" s="28" t="s">
        <v>370</v>
      </c>
      <c r="H1445" s="28" t="s">
        <v>1901</v>
      </c>
      <c r="I1445" s="28" t="str">
        <f>VLOOKUP(F1445,표준용어사전!$B:$D,3,FALSE)</f>
        <v>명V20</v>
      </c>
      <c r="J1445" s="28" t="s">
        <v>78</v>
      </c>
      <c r="K1445" s="27">
        <v>20</v>
      </c>
      <c r="L1445" s="29" t="s">
        <v>571</v>
      </c>
      <c r="M1445" s="29" t="s">
        <v>727</v>
      </c>
      <c r="N1445" s="29" t="s">
        <v>75</v>
      </c>
      <c r="O1445" s="28"/>
      <c r="P1445" s="28"/>
      <c r="Q1445" s="28" t="s">
        <v>76</v>
      </c>
      <c r="R1445" s="29"/>
      <c r="S1445" s="28"/>
      <c r="T1445" s="28" t="s">
        <v>571</v>
      </c>
      <c r="U1445" s="28" t="s">
        <v>75</v>
      </c>
      <c r="V1445" s="28" t="s">
        <v>75</v>
      </c>
      <c r="W1445" s="28"/>
    </row>
    <row r="1446" spans="1:23" hidden="1">
      <c r="A1446" s="46" t="s">
        <v>711</v>
      </c>
      <c r="B1446" s="28" t="s">
        <v>1333</v>
      </c>
      <c r="C1446" s="28" t="s">
        <v>88</v>
      </c>
      <c r="D1446" s="28" t="s">
        <v>1906</v>
      </c>
      <c r="E1446" s="28" t="s">
        <v>1902</v>
      </c>
      <c r="F1446" s="28" t="s">
        <v>1903</v>
      </c>
      <c r="G1446" s="28" t="s">
        <v>1903</v>
      </c>
      <c r="H1446" s="28" t="s">
        <v>1907</v>
      </c>
      <c r="I1446" s="28" t="str">
        <f>VLOOKUP(F1446,표준용어사전!$B:$D,3,FALSE)</f>
        <v>명V50</v>
      </c>
      <c r="J1446" s="28" t="s">
        <v>718</v>
      </c>
      <c r="K1446" s="27">
        <v>50</v>
      </c>
      <c r="L1446" s="29" t="s">
        <v>571</v>
      </c>
      <c r="M1446" s="29" t="s">
        <v>720</v>
      </c>
      <c r="N1446" s="29" t="s">
        <v>711</v>
      </c>
      <c r="O1446" s="28" t="s">
        <v>641</v>
      </c>
      <c r="P1446" s="28"/>
      <c r="Q1446" s="28" t="s">
        <v>76</v>
      </c>
      <c r="R1446" s="29"/>
      <c r="S1446" s="28"/>
      <c r="T1446" s="28"/>
      <c r="U1446" s="28" t="s">
        <v>75</v>
      </c>
      <c r="V1446" s="28" t="s">
        <v>75</v>
      </c>
      <c r="W1446" s="28"/>
    </row>
    <row r="1447" spans="1:23" hidden="1">
      <c r="A1447" s="46" t="s">
        <v>711</v>
      </c>
      <c r="B1447" s="28" t="s">
        <v>1333</v>
      </c>
      <c r="C1447" s="28" t="s">
        <v>88</v>
      </c>
      <c r="D1447" s="28" t="s">
        <v>1906</v>
      </c>
      <c r="E1447" s="28" t="s">
        <v>209</v>
      </c>
      <c r="F1447" s="28" t="s">
        <v>44</v>
      </c>
      <c r="G1447" s="28" t="s">
        <v>44</v>
      </c>
      <c r="H1447" s="28" t="s">
        <v>1907</v>
      </c>
      <c r="I1447" s="28" t="e">
        <f>VLOOKUP(F1447,표준용어사전!$B:$D,3,FALSE)</f>
        <v>#N/A</v>
      </c>
      <c r="J1447" s="28" t="s">
        <v>718</v>
      </c>
      <c r="K1447" s="27">
        <v>2000</v>
      </c>
      <c r="L1447" s="29" t="s">
        <v>571</v>
      </c>
      <c r="M1447" s="29" t="s">
        <v>728</v>
      </c>
      <c r="N1447" s="29" t="s">
        <v>75</v>
      </c>
      <c r="O1447" s="28"/>
      <c r="P1447" s="28"/>
      <c r="Q1447" s="28" t="s">
        <v>1933</v>
      </c>
      <c r="R1447" s="29">
        <v>1</v>
      </c>
      <c r="S1447" s="28"/>
      <c r="T1447" s="28"/>
      <c r="U1447" s="28" t="s">
        <v>75</v>
      </c>
      <c r="V1447" s="28" t="s">
        <v>75</v>
      </c>
      <c r="W1447" s="28"/>
    </row>
    <row r="1448" spans="1:23" hidden="1">
      <c r="A1448" s="46" t="s">
        <v>711</v>
      </c>
      <c r="B1448" s="28" t="s">
        <v>1333</v>
      </c>
      <c r="C1448" s="28" t="s">
        <v>88</v>
      </c>
      <c r="D1448" s="28" t="s">
        <v>1906</v>
      </c>
      <c r="E1448" s="28" t="s">
        <v>210</v>
      </c>
      <c r="F1448" s="28" t="s">
        <v>455</v>
      </c>
      <c r="G1448" s="28" t="s">
        <v>455</v>
      </c>
      <c r="H1448" s="28" t="s">
        <v>1907</v>
      </c>
      <c r="I1448" s="28" t="e">
        <f>VLOOKUP(F1448,표준용어사전!$B:$D,3,FALSE)</f>
        <v>#N/A</v>
      </c>
      <c r="J1448" s="28" t="s">
        <v>713</v>
      </c>
      <c r="K1448" s="27" t="s">
        <v>571</v>
      </c>
      <c r="L1448" s="29" t="s">
        <v>571</v>
      </c>
      <c r="M1448" s="29"/>
      <c r="N1448" s="29" t="s">
        <v>75</v>
      </c>
      <c r="O1448" s="28"/>
      <c r="P1448" s="28"/>
      <c r="Q1448" s="28" t="s">
        <v>76</v>
      </c>
      <c r="R1448" s="29"/>
      <c r="S1448" s="28"/>
      <c r="T1448" s="28"/>
      <c r="U1448" s="28" t="s">
        <v>75</v>
      </c>
      <c r="V1448" s="28" t="s">
        <v>75</v>
      </c>
      <c r="W1448" s="28"/>
    </row>
    <row r="1449" spans="1:23" hidden="1">
      <c r="A1449" s="46" t="s">
        <v>711</v>
      </c>
      <c r="B1449" s="28" t="s">
        <v>1333</v>
      </c>
      <c r="C1449" s="28" t="s">
        <v>88</v>
      </c>
      <c r="D1449" s="28" t="s">
        <v>1906</v>
      </c>
      <c r="E1449" s="28" t="s">
        <v>204</v>
      </c>
      <c r="F1449" s="28" t="s">
        <v>452</v>
      </c>
      <c r="G1449" s="28" t="s">
        <v>452</v>
      </c>
      <c r="H1449" s="28" t="s">
        <v>1907</v>
      </c>
      <c r="I1449" s="28" t="e">
        <f>VLOOKUP(F1449,표준용어사전!$B:$D,3,FALSE)</f>
        <v>#N/A</v>
      </c>
      <c r="J1449" s="28" t="s">
        <v>713</v>
      </c>
      <c r="K1449" s="27" t="s">
        <v>571</v>
      </c>
      <c r="L1449" s="29" t="s">
        <v>571</v>
      </c>
      <c r="M1449" s="29"/>
      <c r="N1449" s="29" t="s">
        <v>75</v>
      </c>
      <c r="O1449" s="28"/>
      <c r="P1449" s="28"/>
      <c r="Q1449" s="28" t="s">
        <v>76</v>
      </c>
      <c r="R1449" s="29"/>
      <c r="S1449" s="28"/>
      <c r="T1449" s="28"/>
      <c r="U1449" s="28" t="s">
        <v>75</v>
      </c>
      <c r="V1449" s="28" t="s">
        <v>75</v>
      </c>
      <c r="W1449" s="28"/>
    </row>
    <row r="1450" spans="1:23" hidden="1">
      <c r="A1450" s="46" t="s">
        <v>711</v>
      </c>
      <c r="B1450" s="28" t="s">
        <v>1410</v>
      </c>
      <c r="C1450" s="28" t="s">
        <v>88</v>
      </c>
      <c r="D1450" s="28" t="s">
        <v>1906</v>
      </c>
      <c r="E1450" s="28" t="s">
        <v>1908</v>
      </c>
      <c r="F1450" s="28" t="s">
        <v>1632</v>
      </c>
      <c r="G1450" s="28" t="s">
        <v>1632</v>
      </c>
      <c r="H1450" s="28" t="s">
        <v>1907</v>
      </c>
      <c r="I1450" s="28" t="e">
        <f>VLOOKUP(F1450,표준용어사전!$B:$D,3,FALSE)</f>
        <v>#N/A</v>
      </c>
      <c r="J1450" s="28" t="s">
        <v>709</v>
      </c>
      <c r="K1450" s="24">
        <v>4</v>
      </c>
      <c r="L1450" s="29" t="s">
        <v>571</v>
      </c>
      <c r="M1450" s="29" t="s">
        <v>929</v>
      </c>
      <c r="N1450" s="29" t="s">
        <v>75</v>
      </c>
      <c r="O1450" s="28"/>
      <c r="P1450" s="28"/>
      <c r="Q1450" s="28" t="s">
        <v>76</v>
      </c>
      <c r="R1450" s="29"/>
      <c r="S1450" s="28"/>
      <c r="T1450" s="28" t="s">
        <v>1634</v>
      </c>
      <c r="U1450" s="28" t="s">
        <v>75</v>
      </c>
      <c r="V1450" s="28" t="s">
        <v>75</v>
      </c>
      <c r="W1450" s="28"/>
    </row>
    <row r="1451" spans="1:23" hidden="1">
      <c r="A1451" s="46" t="s">
        <v>711</v>
      </c>
      <c r="B1451" s="28" t="s">
        <v>1333</v>
      </c>
      <c r="C1451" s="28" t="s">
        <v>88</v>
      </c>
      <c r="D1451" s="28" t="s">
        <v>1906</v>
      </c>
      <c r="E1451" s="28" t="s">
        <v>211</v>
      </c>
      <c r="F1451" s="28" t="s">
        <v>1593</v>
      </c>
      <c r="G1451" s="28" t="s">
        <v>1593</v>
      </c>
      <c r="H1451" s="28" t="s">
        <v>1907</v>
      </c>
      <c r="I1451" s="28" t="e">
        <f>VLOOKUP(F1451,표준용어사전!$B:$D,3,FALSE)</f>
        <v>#N/A</v>
      </c>
      <c r="J1451" s="28" t="s">
        <v>718</v>
      </c>
      <c r="K1451" s="27">
        <v>2000</v>
      </c>
      <c r="L1451" s="29" t="s">
        <v>571</v>
      </c>
      <c r="M1451" s="29" t="s">
        <v>728</v>
      </c>
      <c r="N1451" s="29" t="s">
        <v>75</v>
      </c>
      <c r="O1451" s="28"/>
      <c r="P1451" s="28"/>
      <c r="Q1451" s="28" t="s">
        <v>76</v>
      </c>
      <c r="R1451" s="29"/>
      <c r="S1451" s="28"/>
      <c r="T1451" s="28"/>
      <c r="U1451" s="28" t="s">
        <v>75</v>
      </c>
      <c r="V1451" s="28" t="s">
        <v>75</v>
      </c>
      <c r="W1451" s="28"/>
    </row>
    <row r="1452" spans="1:23" hidden="1">
      <c r="A1452" s="46" t="s">
        <v>711</v>
      </c>
      <c r="B1452" s="28" t="s">
        <v>1333</v>
      </c>
      <c r="C1452" s="28" t="s">
        <v>88</v>
      </c>
      <c r="D1452" s="28" t="s">
        <v>1906</v>
      </c>
      <c r="E1452" s="28" t="s">
        <v>90</v>
      </c>
      <c r="F1452" s="28" t="s">
        <v>14</v>
      </c>
      <c r="G1452" s="28" t="s">
        <v>14</v>
      </c>
      <c r="H1452" s="28" t="s">
        <v>1907</v>
      </c>
      <c r="I1452" s="28" t="str">
        <f>VLOOKUP(F1452,표준용어사전!$B:$D,3,FALSE)</f>
        <v>연월일시분초TS</v>
      </c>
      <c r="J1452" s="28" t="s">
        <v>16</v>
      </c>
      <c r="K1452" s="27" t="s">
        <v>571</v>
      </c>
      <c r="L1452" s="29" t="s">
        <v>571</v>
      </c>
      <c r="M1452" s="29" t="s">
        <v>726</v>
      </c>
      <c r="N1452" s="29" t="s">
        <v>711</v>
      </c>
      <c r="O1452" s="28"/>
      <c r="P1452" s="28"/>
      <c r="Q1452" s="28" t="s">
        <v>76</v>
      </c>
      <c r="R1452" s="29"/>
      <c r="S1452" s="28"/>
      <c r="T1452" s="28" t="s">
        <v>574</v>
      </c>
      <c r="U1452" s="28" t="s">
        <v>75</v>
      </c>
      <c r="V1452" s="28" t="s">
        <v>75</v>
      </c>
      <c r="W1452" s="28"/>
    </row>
    <row r="1453" spans="1:23" hidden="1">
      <c r="A1453" s="46" t="s">
        <v>711</v>
      </c>
      <c r="B1453" s="28" t="s">
        <v>1333</v>
      </c>
      <c r="C1453" s="28" t="s">
        <v>88</v>
      </c>
      <c r="D1453" s="28" t="s">
        <v>1906</v>
      </c>
      <c r="E1453" s="28" t="s">
        <v>91</v>
      </c>
      <c r="F1453" s="28" t="s">
        <v>369</v>
      </c>
      <c r="G1453" s="28" t="s">
        <v>369</v>
      </c>
      <c r="H1453" s="28" t="s">
        <v>1907</v>
      </c>
      <c r="I1453" s="28" t="str">
        <f>VLOOKUP(F1453,표준용어사전!$B:$D,3,FALSE)</f>
        <v>명V20</v>
      </c>
      <c r="J1453" s="28" t="s">
        <v>78</v>
      </c>
      <c r="K1453" s="27">
        <v>20</v>
      </c>
      <c r="L1453" s="29" t="s">
        <v>571</v>
      </c>
      <c r="M1453" s="29" t="s">
        <v>727</v>
      </c>
      <c r="N1453" s="29" t="s">
        <v>75</v>
      </c>
      <c r="O1453" s="28"/>
      <c r="P1453" s="28"/>
      <c r="Q1453" s="28" t="s">
        <v>76</v>
      </c>
      <c r="R1453" s="29"/>
      <c r="S1453" s="28"/>
      <c r="T1453" s="28" t="s">
        <v>571</v>
      </c>
      <c r="U1453" s="28" t="s">
        <v>75</v>
      </c>
      <c r="V1453" s="28" t="s">
        <v>75</v>
      </c>
      <c r="W1453" s="28"/>
    </row>
    <row r="1454" spans="1:23" hidden="1">
      <c r="A1454" s="46" t="s">
        <v>711</v>
      </c>
      <c r="B1454" s="28" t="s">
        <v>1333</v>
      </c>
      <c r="C1454" s="28" t="s">
        <v>88</v>
      </c>
      <c r="D1454" s="28" t="s">
        <v>1906</v>
      </c>
      <c r="E1454" s="28" t="s">
        <v>92</v>
      </c>
      <c r="F1454" s="28" t="s">
        <v>15</v>
      </c>
      <c r="G1454" s="28" t="s">
        <v>15</v>
      </c>
      <c r="H1454" s="28" t="s">
        <v>1907</v>
      </c>
      <c r="I1454" s="28" t="str">
        <f>VLOOKUP(F1454,표준용어사전!$B:$D,3,FALSE)</f>
        <v>연월일시분초TS</v>
      </c>
      <c r="J1454" s="28" t="s">
        <v>16</v>
      </c>
      <c r="K1454" s="27" t="s">
        <v>571</v>
      </c>
      <c r="L1454" s="29" t="s">
        <v>571</v>
      </c>
      <c r="M1454" s="29" t="s">
        <v>726</v>
      </c>
      <c r="N1454" s="29" t="s">
        <v>75</v>
      </c>
      <c r="O1454" s="28"/>
      <c r="P1454" s="28"/>
      <c r="Q1454" s="28" t="s">
        <v>76</v>
      </c>
      <c r="R1454" s="29"/>
      <c r="S1454" s="28"/>
      <c r="T1454" s="28" t="s">
        <v>574</v>
      </c>
      <c r="U1454" s="28" t="s">
        <v>75</v>
      </c>
      <c r="V1454" s="28" t="s">
        <v>75</v>
      </c>
      <c r="W1454" s="28"/>
    </row>
    <row r="1455" spans="1:23" hidden="1">
      <c r="A1455" s="46" t="s">
        <v>711</v>
      </c>
      <c r="B1455" s="28" t="s">
        <v>1333</v>
      </c>
      <c r="C1455" s="28" t="s">
        <v>88</v>
      </c>
      <c r="D1455" s="28" t="s">
        <v>1906</v>
      </c>
      <c r="E1455" s="28" t="s">
        <v>93</v>
      </c>
      <c r="F1455" s="28" t="s">
        <v>370</v>
      </c>
      <c r="G1455" s="28" t="s">
        <v>370</v>
      </c>
      <c r="H1455" s="28" t="s">
        <v>1907</v>
      </c>
      <c r="I1455" s="28" t="str">
        <f>VLOOKUP(F1455,표준용어사전!$B:$D,3,FALSE)</f>
        <v>명V20</v>
      </c>
      <c r="J1455" s="28" t="s">
        <v>78</v>
      </c>
      <c r="K1455" s="27">
        <v>20</v>
      </c>
      <c r="L1455" s="29" t="s">
        <v>571</v>
      </c>
      <c r="M1455" s="29" t="s">
        <v>727</v>
      </c>
      <c r="N1455" s="29" t="s">
        <v>75</v>
      </c>
      <c r="O1455" s="28"/>
      <c r="P1455" s="28"/>
      <c r="Q1455" s="28" t="s">
        <v>76</v>
      </c>
      <c r="R1455" s="29"/>
      <c r="S1455" s="28"/>
      <c r="T1455" s="28" t="s">
        <v>571</v>
      </c>
      <c r="U1455" s="28" t="s">
        <v>75</v>
      </c>
      <c r="V1455" s="28" t="s">
        <v>75</v>
      </c>
      <c r="W1455" s="28"/>
    </row>
    <row r="1456" spans="1:23" hidden="1">
      <c r="A1456" s="46" t="s">
        <v>711</v>
      </c>
      <c r="B1456" s="28" t="s">
        <v>1333</v>
      </c>
      <c r="C1456" s="28" t="s">
        <v>88</v>
      </c>
      <c r="D1456" s="28" t="s">
        <v>1909</v>
      </c>
      <c r="E1456" s="28" t="s">
        <v>213</v>
      </c>
      <c r="F1456" s="28" t="s">
        <v>457</v>
      </c>
      <c r="G1456" s="28" t="s">
        <v>457</v>
      </c>
      <c r="H1456" s="28" t="s">
        <v>1910</v>
      </c>
      <c r="I1456" s="28" t="str">
        <f>VLOOKUP(F1456,표준용어사전!$B:$D,3,FALSE)</f>
        <v>번호I</v>
      </c>
      <c r="J1456" s="28" t="s">
        <v>717</v>
      </c>
      <c r="K1456" s="27" t="s">
        <v>571</v>
      </c>
      <c r="L1456" s="29" t="s">
        <v>571</v>
      </c>
      <c r="M1456" s="29"/>
      <c r="N1456" s="29" t="s">
        <v>711</v>
      </c>
      <c r="O1456" s="28" t="s">
        <v>641</v>
      </c>
      <c r="P1456" s="28"/>
      <c r="Q1456" s="28" t="s">
        <v>76</v>
      </c>
      <c r="R1456" s="29"/>
      <c r="S1456" s="28"/>
      <c r="T1456" s="28"/>
      <c r="U1456" s="28" t="s">
        <v>75</v>
      </c>
      <c r="V1456" s="28" t="s">
        <v>75</v>
      </c>
      <c r="W1456" s="28"/>
    </row>
    <row r="1457" spans="1:23" hidden="1">
      <c r="A1457" s="46" t="s">
        <v>711</v>
      </c>
      <c r="B1457" s="28" t="s">
        <v>1333</v>
      </c>
      <c r="C1457" s="28" t="s">
        <v>88</v>
      </c>
      <c r="D1457" s="28" t="s">
        <v>1909</v>
      </c>
      <c r="E1457" s="28" t="s">
        <v>1902</v>
      </c>
      <c r="F1457" s="28" t="s">
        <v>1903</v>
      </c>
      <c r="G1457" s="28" t="s">
        <v>1903</v>
      </c>
      <c r="H1457" s="28" t="s">
        <v>1910</v>
      </c>
      <c r="I1457" s="28" t="str">
        <f>VLOOKUP(F1457,표준용어사전!$B:$D,3,FALSE)</f>
        <v>명V50</v>
      </c>
      <c r="J1457" s="28" t="s">
        <v>718</v>
      </c>
      <c r="K1457" s="27">
        <v>50</v>
      </c>
      <c r="L1457" s="29" t="s">
        <v>571</v>
      </c>
      <c r="M1457" s="29" t="s">
        <v>720</v>
      </c>
      <c r="N1457" s="29" t="s">
        <v>711</v>
      </c>
      <c r="O1457" s="28" t="s">
        <v>573</v>
      </c>
      <c r="P1457" s="28"/>
      <c r="Q1457" s="28" t="s">
        <v>76</v>
      </c>
      <c r="R1457" s="29"/>
      <c r="S1457" s="28"/>
      <c r="T1457" s="28"/>
      <c r="U1457" s="28" t="s">
        <v>75</v>
      </c>
      <c r="V1457" s="28" t="s">
        <v>75</v>
      </c>
      <c r="W1457" s="28"/>
    </row>
    <row r="1458" spans="1:23" hidden="1">
      <c r="A1458" s="46" t="s">
        <v>711</v>
      </c>
      <c r="B1458" s="28" t="s">
        <v>1333</v>
      </c>
      <c r="C1458" s="28" t="s">
        <v>88</v>
      </c>
      <c r="D1458" s="28" t="s">
        <v>1909</v>
      </c>
      <c r="E1458" s="28" t="s">
        <v>242</v>
      </c>
      <c r="F1458" s="28" t="s">
        <v>479</v>
      </c>
      <c r="G1458" s="28" t="s">
        <v>479</v>
      </c>
      <c r="H1458" s="28" t="s">
        <v>1910</v>
      </c>
      <c r="I1458" s="28" t="str">
        <f>VLOOKUP(F1458,표준용어사전!$B:$D,3,FALSE)</f>
        <v>명TXT</v>
      </c>
      <c r="J1458" s="28" t="s">
        <v>713</v>
      </c>
      <c r="K1458" s="27" t="s">
        <v>571</v>
      </c>
      <c r="L1458" s="29" t="s">
        <v>571</v>
      </c>
      <c r="M1458" s="29"/>
      <c r="N1458" s="29" t="s">
        <v>75</v>
      </c>
      <c r="O1458" s="28"/>
      <c r="P1458" s="28"/>
      <c r="Q1458" s="28" t="s">
        <v>76</v>
      </c>
      <c r="R1458" s="29"/>
      <c r="S1458" s="28"/>
      <c r="T1458" s="28"/>
      <c r="U1458" s="28" t="s">
        <v>75</v>
      </c>
      <c r="V1458" s="28" t="s">
        <v>75</v>
      </c>
      <c r="W1458" s="28"/>
    </row>
    <row r="1459" spans="1:23" hidden="1">
      <c r="A1459" s="46" t="s">
        <v>711</v>
      </c>
      <c r="B1459" s="28" t="s">
        <v>1333</v>
      </c>
      <c r="C1459" s="28" t="s">
        <v>88</v>
      </c>
      <c r="D1459" s="28" t="s">
        <v>1909</v>
      </c>
      <c r="E1459" s="28" t="s">
        <v>90</v>
      </c>
      <c r="F1459" s="28" t="s">
        <v>14</v>
      </c>
      <c r="G1459" s="28" t="s">
        <v>14</v>
      </c>
      <c r="H1459" s="28" t="s">
        <v>1910</v>
      </c>
      <c r="I1459" s="28" t="str">
        <f>VLOOKUP(F1459,표준용어사전!$B:$D,3,FALSE)</f>
        <v>연월일시분초TS</v>
      </c>
      <c r="J1459" s="28" t="s">
        <v>16</v>
      </c>
      <c r="K1459" s="27" t="s">
        <v>571</v>
      </c>
      <c r="L1459" s="29" t="s">
        <v>571</v>
      </c>
      <c r="M1459" s="29" t="s">
        <v>726</v>
      </c>
      <c r="N1459" s="29" t="s">
        <v>711</v>
      </c>
      <c r="O1459" s="28"/>
      <c r="P1459" s="28"/>
      <c r="Q1459" s="28" t="s">
        <v>76</v>
      </c>
      <c r="R1459" s="29"/>
      <c r="S1459" s="28"/>
      <c r="T1459" s="28" t="s">
        <v>574</v>
      </c>
      <c r="U1459" s="28" t="s">
        <v>75</v>
      </c>
      <c r="V1459" s="28" t="s">
        <v>75</v>
      </c>
      <c r="W1459" s="28"/>
    </row>
    <row r="1460" spans="1:23" hidden="1">
      <c r="A1460" s="46" t="s">
        <v>711</v>
      </c>
      <c r="B1460" s="28" t="s">
        <v>1333</v>
      </c>
      <c r="C1460" s="28" t="s">
        <v>88</v>
      </c>
      <c r="D1460" s="28" t="s">
        <v>1909</v>
      </c>
      <c r="E1460" s="28" t="s">
        <v>91</v>
      </c>
      <c r="F1460" s="28" t="s">
        <v>369</v>
      </c>
      <c r="G1460" s="28" t="s">
        <v>369</v>
      </c>
      <c r="H1460" s="28" t="s">
        <v>1911</v>
      </c>
      <c r="I1460" s="28" t="str">
        <f>VLOOKUP(F1460,표준용어사전!$B:$D,3,FALSE)</f>
        <v>명V20</v>
      </c>
      <c r="J1460" s="28" t="s">
        <v>78</v>
      </c>
      <c r="K1460" s="27">
        <v>20</v>
      </c>
      <c r="L1460" s="29" t="s">
        <v>571</v>
      </c>
      <c r="M1460" s="29" t="s">
        <v>727</v>
      </c>
      <c r="N1460" s="29" t="s">
        <v>75</v>
      </c>
      <c r="O1460" s="28"/>
      <c r="P1460" s="28"/>
      <c r="Q1460" s="28" t="s">
        <v>76</v>
      </c>
      <c r="R1460" s="29"/>
      <c r="S1460" s="28"/>
      <c r="T1460" s="28" t="s">
        <v>571</v>
      </c>
      <c r="U1460" s="28" t="s">
        <v>75</v>
      </c>
      <c r="V1460" s="28" t="s">
        <v>75</v>
      </c>
      <c r="W1460" s="28"/>
    </row>
    <row r="1461" spans="1:23" hidden="1">
      <c r="A1461" s="46" t="s">
        <v>711</v>
      </c>
      <c r="B1461" s="28" t="s">
        <v>1333</v>
      </c>
      <c r="C1461" s="28" t="s">
        <v>88</v>
      </c>
      <c r="D1461" s="28" t="s">
        <v>1912</v>
      </c>
      <c r="E1461" s="28" t="s">
        <v>92</v>
      </c>
      <c r="F1461" s="28" t="s">
        <v>15</v>
      </c>
      <c r="G1461" s="28" t="s">
        <v>15</v>
      </c>
      <c r="H1461" s="28" t="s">
        <v>1910</v>
      </c>
      <c r="I1461" s="28" t="str">
        <f>VLOOKUP(F1461,표준용어사전!$B:$D,3,FALSE)</f>
        <v>연월일시분초TS</v>
      </c>
      <c r="J1461" s="28" t="s">
        <v>16</v>
      </c>
      <c r="K1461" s="27" t="s">
        <v>571</v>
      </c>
      <c r="L1461" s="29" t="s">
        <v>571</v>
      </c>
      <c r="M1461" s="29" t="s">
        <v>726</v>
      </c>
      <c r="N1461" s="29" t="s">
        <v>75</v>
      </c>
      <c r="O1461" s="28"/>
      <c r="P1461" s="28"/>
      <c r="Q1461" s="28" t="s">
        <v>76</v>
      </c>
      <c r="R1461" s="29"/>
      <c r="S1461" s="28"/>
      <c r="T1461" s="28" t="s">
        <v>574</v>
      </c>
      <c r="U1461" s="28" t="s">
        <v>75</v>
      </c>
      <c r="V1461" s="28" t="s">
        <v>75</v>
      </c>
      <c r="W1461" s="28"/>
    </row>
    <row r="1462" spans="1:23" hidden="1">
      <c r="A1462" s="46" t="s">
        <v>711</v>
      </c>
      <c r="B1462" s="28" t="s">
        <v>1333</v>
      </c>
      <c r="C1462" s="28" t="s">
        <v>88</v>
      </c>
      <c r="D1462" s="28" t="s">
        <v>1909</v>
      </c>
      <c r="E1462" s="28" t="s">
        <v>93</v>
      </c>
      <c r="F1462" s="28" t="s">
        <v>370</v>
      </c>
      <c r="G1462" s="28" t="s">
        <v>370</v>
      </c>
      <c r="H1462" s="28" t="s">
        <v>1910</v>
      </c>
      <c r="I1462" s="28" t="str">
        <f>VLOOKUP(F1462,표준용어사전!$B:$D,3,FALSE)</f>
        <v>명V20</v>
      </c>
      <c r="J1462" s="28" t="s">
        <v>78</v>
      </c>
      <c r="K1462" s="27">
        <v>20</v>
      </c>
      <c r="L1462" s="29" t="s">
        <v>571</v>
      </c>
      <c r="M1462" s="29" t="s">
        <v>727</v>
      </c>
      <c r="N1462" s="29" t="s">
        <v>75</v>
      </c>
      <c r="O1462" s="28"/>
      <c r="P1462" s="28"/>
      <c r="Q1462" s="28" t="s">
        <v>76</v>
      </c>
      <c r="R1462" s="29"/>
      <c r="S1462" s="28"/>
      <c r="T1462" s="28" t="s">
        <v>571</v>
      </c>
      <c r="U1462" s="28" t="s">
        <v>75</v>
      </c>
      <c r="V1462" s="28" t="s">
        <v>75</v>
      </c>
      <c r="W1462" s="28"/>
    </row>
    <row r="1463" spans="1:23" hidden="1">
      <c r="A1463" s="46" t="s">
        <v>711</v>
      </c>
      <c r="B1463" s="28" t="s">
        <v>1333</v>
      </c>
      <c r="C1463" s="28" t="s">
        <v>88</v>
      </c>
      <c r="D1463" s="28" t="s">
        <v>1913</v>
      </c>
      <c r="E1463" s="28" t="s">
        <v>215</v>
      </c>
      <c r="F1463" s="28" t="s">
        <v>458</v>
      </c>
      <c r="G1463" s="28" t="s">
        <v>458</v>
      </c>
      <c r="H1463" s="28" t="s">
        <v>1914</v>
      </c>
      <c r="I1463" s="28" t="str">
        <f>VLOOKUP(F1463,표준용어사전!$B:$D,3,FALSE)</f>
        <v>번호I</v>
      </c>
      <c r="J1463" s="28" t="s">
        <v>717</v>
      </c>
      <c r="K1463" s="27" t="s">
        <v>571</v>
      </c>
      <c r="L1463" s="29" t="s">
        <v>571</v>
      </c>
      <c r="M1463" s="29"/>
      <c r="N1463" s="29" t="s">
        <v>711</v>
      </c>
      <c r="O1463" s="28" t="s">
        <v>641</v>
      </c>
      <c r="P1463" s="28"/>
      <c r="Q1463" s="28" t="s">
        <v>76</v>
      </c>
      <c r="R1463" s="29"/>
      <c r="S1463" s="28"/>
      <c r="T1463" s="28"/>
      <c r="U1463" s="28" t="s">
        <v>75</v>
      </c>
      <c r="V1463" s="28" t="s">
        <v>75</v>
      </c>
      <c r="W1463" s="28"/>
    </row>
    <row r="1464" spans="1:23" hidden="1">
      <c r="A1464" s="46" t="s">
        <v>711</v>
      </c>
      <c r="B1464" s="28" t="s">
        <v>1333</v>
      </c>
      <c r="C1464" s="28" t="s">
        <v>88</v>
      </c>
      <c r="D1464" s="28" t="s">
        <v>1915</v>
      </c>
      <c r="E1464" s="28" t="s">
        <v>1902</v>
      </c>
      <c r="F1464" s="28" t="s">
        <v>1903</v>
      </c>
      <c r="G1464" s="28" t="s">
        <v>1903</v>
      </c>
      <c r="H1464" s="28" t="s">
        <v>1914</v>
      </c>
      <c r="I1464" s="28" t="str">
        <f>VLOOKUP(F1464,표준용어사전!$B:$D,3,FALSE)</f>
        <v>명V50</v>
      </c>
      <c r="J1464" s="28" t="s">
        <v>718</v>
      </c>
      <c r="K1464" s="27">
        <v>50</v>
      </c>
      <c r="L1464" s="29" t="s">
        <v>571</v>
      </c>
      <c r="M1464" s="29" t="s">
        <v>720</v>
      </c>
      <c r="N1464" s="29" t="s">
        <v>711</v>
      </c>
      <c r="O1464" s="28" t="s">
        <v>573</v>
      </c>
      <c r="P1464" s="28"/>
      <c r="Q1464" s="28" t="s">
        <v>76</v>
      </c>
      <c r="R1464" s="29"/>
      <c r="S1464" s="28"/>
      <c r="T1464" s="28"/>
      <c r="U1464" s="28" t="s">
        <v>75</v>
      </c>
      <c r="V1464" s="28" t="s">
        <v>75</v>
      </c>
      <c r="W1464" s="28"/>
    </row>
    <row r="1465" spans="1:23" hidden="1">
      <c r="A1465" s="46" t="s">
        <v>711</v>
      </c>
      <c r="B1465" s="28" t="s">
        <v>1333</v>
      </c>
      <c r="C1465" s="28" t="s">
        <v>88</v>
      </c>
      <c r="D1465" s="28" t="s">
        <v>1915</v>
      </c>
      <c r="E1465" s="28" t="s">
        <v>836</v>
      </c>
      <c r="F1465" s="28" t="s">
        <v>749</v>
      </c>
      <c r="G1465" s="28" t="s">
        <v>749</v>
      </c>
      <c r="H1465" s="28" t="s">
        <v>1916</v>
      </c>
      <c r="I1465" s="28" t="str">
        <f>VLOOKUP(F1465,표준용어사전!$B:$D,3,FALSE)</f>
        <v>명TXT</v>
      </c>
      <c r="J1465" s="28" t="s">
        <v>713</v>
      </c>
      <c r="K1465" s="27" t="s">
        <v>571</v>
      </c>
      <c r="L1465" s="29" t="s">
        <v>571</v>
      </c>
      <c r="M1465" s="29"/>
      <c r="N1465" s="29" t="s">
        <v>75</v>
      </c>
      <c r="O1465" s="28"/>
      <c r="P1465" s="28"/>
      <c r="Q1465" s="28" t="s">
        <v>76</v>
      </c>
      <c r="R1465" s="29"/>
      <c r="S1465" s="28"/>
      <c r="T1465" s="28"/>
      <c r="U1465" s="28" t="s">
        <v>75</v>
      </c>
      <c r="V1465" s="28" t="s">
        <v>75</v>
      </c>
      <c r="W1465" s="28"/>
    </row>
    <row r="1466" spans="1:23" hidden="1">
      <c r="A1466" s="46" t="s">
        <v>711</v>
      </c>
      <c r="B1466" s="28" t="s">
        <v>1333</v>
      </c>
      <c r="C1466" s="28" t="s">
        <v>88</v>
      </c>
      <c r="D1466" s="28" t="s">
        <v>1915</v>
      </c>
      <c r="E1466" s="28" t="s">
        <v>90</v>
      </c>
      <c r="F1466" s="28" t="s">
        <v>14</v>
      </c>
      <c r="G1466" s="28" t="s">
        <v>14</v>
      </c>
      <c r="H1466" s="28" t="s">
        <v>1914</v>
      </c>
      <c r="I1466" s="28" t="str">
        <f>VLOOKUP(F1466,표준용어사전!$B:$D,3,FALSE)</f>
        <v>연월일시분초TS</v>
      </c>
      <c r="J1466" s="28" t="s">
        <v>16</v>
      </c>
      <c r="K1466" s="27" t="s">
        <v>571</v>
      </c>
      <c r="L1466" s="29" t="s">
        <v>571</v>
      </c>
      <c r="M1466" s="29" t="s">
        <v>726</v>
      </c>
      <c r="N1466" s="29" t="s">
        <v>711</v>
      </c>
      <c r="O1466" s="28"/>
      <c r="P1466" s="28"/>
      <c r="Q1466" s="28" t="s">
        <v>76</v>
      </c>
      <c r="R1466" s="29"/>
      <c r="S1466" s="28"/>
      <c r="T1466" s="28" t="s">
        <v>574</v>
      </c>
      <c r="U1466" s="28" t="s">
        <v>75</v>
      </c>
      <c r="V1466" s="28" t="s">
        <v>75</v>
      </c>
      <c r="W1466" s="28"/>
    </row>
    <row r="1467" spans="1:23" hidden="1">
      <c r="A1467" s="46" t="s">
        <v>711</v>
      </c>
      <c r="B1467" s="28" t="s">
        <v>1333</v>
      </c>
      <c r="C1467" s="28" t="s">
        <v>88</v>
      </c>
      <c r="D1467" s="28" t="s">
        <v>1915</v>
      </c>
      <c r="E1467" s="28" t="s">
        <v>91</v>
      </c>
      <c r="F1467" s="28" t="s">
        <v>369</v>
      </c>
      <c r="G1467" s="28" t="s">
        <v>369</v>
      </c>
      <c r="H1467" s="28" t="s">
        <v>1914</v>
      </c>
      <c r="I1467" s="28" t="str">
        <f>VLOOKUP(F1467,표준용어사전!$B:$D,3,FALSE)</f>
        <v>명V20</v>
      </c>
      <c r="J1467" s="28" t="s">
        <v>78</v>
      </c>
      <c r="K1467" s="27">
        <v>20</v>
      </c>
      <c r="L1467" s="29" t="s">
        <v>571</v>
      </c>
      <c r="M1467" s="29" t="s">
        <v>727</v>
      </c>
      <c r="N1467" s="29" t="s">
        <v>75</v>
      </c>
      <c r="O1467" s="28"/>
      <c r="P1467" s="28"/>
      <c r="Q1467" s="28" t="s">
        <v>76</v>
      </c>
      <c r="R1467" s="29"/>
      <c r="S1467" s="28"/>
      <c r="T1467" s="28" t="s">
        <v>571</v>
      </c>
      <c r="U1467" s="28" t="s">
        <v>75</v>
      </c>
      <c r="V1467" s="28" t="s">
        <v>75</v>
      </c>
      <c r="W1467" s="28"/>
    </row>
    <row r="1468" spans="1:23" hidden="1">
      <c r="A1468" s="46" t="s">
        <v>711</v>
      </c>
      <c r="B1468" s="28" t="s">
        <v>1333</v>
      </c>
      <c r="C1468" s="28" t="s">
        <v>88</v>
      </c>
      <c r="D1468" s="28" t="s">
        <v>1915</v>
      </c>
      <c r="E1468" s="28" t="s">
        <v>92</v>
      </c>
      <c r="F1468" s="28" t="s">
        <v>15</v>
      </c>
      <c r="G1468" s="28" t="s">
        <v>15</v>
      </c>
      <c r="H1468" s="28" t="s">
        <v>1914</v>
      </c>
      <c r="I1468" s="28" t="str">
        <f>VLOOKUP(F1468,표준용어사전!$B:$D,3,FALSE)</f>
        <v>연월일시분초TS</v>
      </c>
      <c r="J1468" s="28" t="s">
        <v>16</v>
      </c>
      <c r="K1468" s="27" t="s">
        <v>571</v>
      </c>
      <c r="L1468" s="29" t="s">
        <v>571</v>
      </c>
      <c r="M1468" s="29" t="s">
        <v>726</v>
      </c>
      <c r="N1468" s="29" t="s">
        <v>75</v>
      </c>
      <c r="O1468" s="28"/>
      <c r="P1468" s="28"/>
      <c r="Q1468" s="28" t="s">
        <v>76</v>
      </c>
      <c r="R1468" s="29"/>
      <c r="S1468" s="28"/>
      <c r="T1468" s="28" t="s">
        <v>574</v>
      </c>
      <c r="U1468" s="28" t="s">
        <v>75</v>
      </c>
      <c r="V1468" s="28" t="s">
        <v>75</v>
      </c>
      <c r="W1468" s="28"/>
    </row>
    <row r="1469" spans="1:23" hidden="1">
      <c r="A1469" s="46" t="s">
        <v>711</v>
      </c>
      <c r="B1469" s="28" t="s">
        <v>1333</v>
      </c>
      <c r="C1469" s="28" t="s">
        <v>88</v>
      </c>
      <c r="D1469" s="28" t="s">
        <v>1915</v>
      </c>
      <c r="E1469" s="28" t="s">
        <v>93</v>
      </c>
      <c r="F1469" s="28" t="s">
        <v>370</v>
      </c>
      <c r="G1469" s="28" t="s">
        <v>370</v>
      </c>
      <c r="H1469" s="28" t="s">
        <v>1914</v>
      </c>
      <c r="I1469" s="28" t="str">
        <f>VLOOKUP(F1469,표준용어사전!$B:$D,3,FALSE)</f>
        <v>명V20</v>
      </c>
      <c r="J1469" s="28" t="s">
        <v>78</v>
      </c>
      <c r="K1469" s="27">
        <v>20</v>
      </c>
      <c r="L1469" s="29" t="s">
        <v>571</v>
      </c>
      <c r="M1469" s="29" t="s">
        <v>727</v>
      </c>
      <c r="N1469" s="29" t="s">
        <v>75</v>
      </c>
      <c r="O1469" s="28"/>
      <c r="P1469" s="28"/>
      <c r="Q1469" s="28" t="s">
        <v>76</v>
      </c>
      <c r="R1469" s="29"/>
      <c r="S1469" s="28"/>
      <c r="T1469" s="28" t="s">
        <v>571</v>
      </c>
      <c r="U1469" s="28" t="s">
        <v>75</v>
      </c>
      <c r="V1469" s="28" t="s">
        <v>75</v>
      </c>
      <c r="W1469" s="28"/>
    </row>
    <row r="1470" spans="1:23" hidden="1">
      <c r="A1470" s="46" t="s">
        <v>711</v>
      </c>
      <c r="B1470" s="28" t="s">
        <v>1333</v>
      </c>
      <c r="C1470" s="28" t="s">
        <v>88</v>
      </c>
      <c r="D1470" s="28" t="s">
        <v>1917</v>
      </c>
      <c r="E1470" s="28" t="s">
        <v>1918</v>
      </c>
      <c r="F1470" s="28" t="s">
        <v>1919</v>
      </c>
      <c r="G1470" s="28" t="s">
        <v>1919</v>
      </c>
      <c r="H1470" s="28" t="s">
        <v>1920</v>
      </c>
      <c r="I1470" s="28" t="e">
        <f>VLOOKUP(F1470,표준용어사전!$B:$D,3,FALSE)</f>
        <v>#N/A</v>
      </c>
      <c r="J1470" s="28" t="s">
        <v>717</v>
      </c>
      <c r="K1470" s="27" t="s">
        <v>571</v>
      </c>
      <c r="L1470" s="29" t="s">
        <v>571</v>
      </c>
      <c r="M1470" s="29"/>
      <c r="N1470" s="29" t="s">
        <v>711</v>
      </c>
      <c r="O1470" s="28" t="s">
        <v>73</v>
      </c>
      <c r="P1470" s="28"/>
      <c r="Q1470" s="28" t="s">
        <v>76</v>
      </c>
      <c r="R1470" s="29"/>
      <c r="S1470" s="28"/>
      <c r="T1470" s="28"/>
      <c r="U1470" s="28" t="s">
        <v>75</v>
      </c>
      <c r="V1470" s="28" t="s">
        <v>75</v>
      </c>
      <c r="W1470" s="28"/>
    </row>
    <row r="1471" spans="1:23" hidden="1">
      <c r="A1471" s="46" t="s">
        <v>711</v>
      </c>
      <c r="B1471" s="28" t="s">
        <v>1333</v>
      </c>
      <c r="C1471" s="28" t="s">
        <v>88</v>
      </c>
      <c r="D1471" s="28" t="s">
        <v>1917</v>
      </c>
      <c r="E1471" s="28" t="s">
        <v>246</v>
      </c>
      <c r="F1471" s="28" t="s">
        <v>17</v>
      </c>
      <c r="G1471" s="28" t="s">
        <v>17</v>
      </c>
      <c r="H1471" s="28" t="s">
        <v>1920</v>
      </c>
      <c r="I1471" s="28" t="str">
        <f>VLOOKUP(F1471,표준용어사전!$B:$D,3,FALSE)</f>
        <v>명V20</v>
      </c>
      <c r="J1471" s="28" t="s">
        <v>718</v>
      </c>
      <c r="K1471" s="27">
        <v>20</v>
      </c>
      <c r="L1471" s="29" t="s">
        <v>571</v>
      </c>
      <c r="M1471" s="29" t="s">
        <v>727</v>
      </c>
      <c r="N1471" s="29" t="s">
        <v>711</v>
      </c>
      <c r="O1471" s="28"/>
      <c r="P1471" s="28"/>
      <c r="Q1471" s="28" t="s">
        <v>76</v>
      </c>
      <c r="R1471" s="29"/>
      <c r="S1471" s="28"/>
      <c r="T1471" s="28"/>
      <c r="U1471" s="28" t="s">
        <v>75</v>
      </c>
      <c r="V1471" s="28" t="s">
        <v>75</v>
      </c>
      <c r="W1471" s="28"/>
    </row>
    <row r="1472" spans="1:23" hidden="1">
      <c r="A1472" s="46" t="s">
        <v>711</v>
      </c>
      <c r="B1472" s="28" t="s">
        <v>1333</v>
      </c>
      <c r="C1472" s="28" t="s">
        <v>88</v>
      </c>
      <c r="D1472" s="28" t="s">
        <v>1917</v>
      </c>
      <c r="E1472" s="28" t="s">
        <v>89</v>
      </c>
      <c r="F1472" s="28" t="s">
        <v>501</v>
      </c>
      <c r="G1472" s="28" t="s">
        <v>501</v>
      </c>
      <c r="H1472" s="28" t="s">
        <v>1920</v>
      </c>
      <c r="I1472" s="28" t="str">
        <f>VLOOKUP(F1472,표준용어사전!$B:$D,3,FALSE)</f>
        <v>명V20</v>
      </c>
      <c r="J1472" s="28" t="s">
        <v>718</v>
      </c>
      <c r="K1472" s="27">
        <v>50</v>
      </c>
      <c r="L1472" s="29" t="s">
        <v>571</v>
      </c>
      <c r="M1472" s="29" t="s">
        <v>720</v>
      </c>
      <c r="N1472" s="29" t="s">
        <v>711</v>
      </c>
      <c r="O1472" s="28"/>
      <c r="P1472" s="28"/>
      <c r="Q1472" s="28" t="s">
        <v>1934</v>
      </c>
      <c r="R1472" s="29">
        <v>1</v>
      </c>
      <c r="S1472" s="28"/>
      <c r="T1472" s="28"/>
      <c r="U1472" s="28" t="s">
        <v>75</v>
      </c>
      <c r="V1472" s="28" t="s">
        <v>75</v>
      </c>
      <c r="W1472" s="28"/>
    </row>
    <row r="1473" spans="1:23" hidden="1">
      <c r="A1473" s="46" t="s">
        <v>711</v>
      </c>
      <c r="B1473" s="28" t="s">
        <v>1333</v>
      </c>
      <c r="C1473" s="28" t="s">
        <v>88</v>
      </c>
      <c r="D1473" s="28" t="s">
        <v>1921</v>
      </c>
      <c r="E1473" s="28" t="s">
        <v>268</v>
      </c>
      <c r="F1473" s="28" t="s">
        <v>500</v>
      </c>
      <c r="G1473" s="28" t="s">
        <v>763</v>
      </c>
      <c r="H1473" s="28" t="s">
        <v>1920</v>
      </c>
      <c r="I1473" s="28" t="str">
        <f>VLOOKUP(F1473,표준용어사전!$B:$D,3,FALSE)</f>
        <v>코드C1</v>
      </c>
      <c r="J1473" s="28" t="s">
        <v>709</v>
      </c>
      <c r="K1473" s="27">
        <v>1</v>
      </c>
      <c r="L1473" s="29" t="s">
        <v>571</v>
      </c>
      <c r="M1473" s="29" t="s">
        <v>722</v>
      </c>
      <c r="N1473" s="29" t="s">
        <v>572</v>
      </c>
      <c r="O1473" s="28"/>
      <c r="P1473" s="28"/>
      <c r="Q1473" s="28" t="s">
        <v>1935</v>
      </c>
      <c r="R1473" s="29">
        <v>2</v>
      </c>
      <c r="S1473" s="28"/>
      <c r="T1473" s="28"/>
      <c r="U1473" s="28" t="s">
        <v>75</v>
      </c>
      <c r="V1473" s="28" t="s">
        <v>75</v>
      </c>
      <c r="W1473" s="28"/>
    </row>
    <row r="1474" spans="1:23" hidden="1">
      <c r="A1474" s="46" t="s">
        <v>711</v>
      </c>
      <c r="B1474" s="28" t="s">
        <v>1333</v>
      </c>
      <c r="C1474" s="28" t="s">
        <v>88</v>
      </c>
      <c r="D1474" s="28" t="s">
        <v>1921</v>
      </c>
      <c r="E1474" s="28" t="s">
        <v>252</v>
      </c>
      <c r="F1474" s="28" t="s">
        <v>77</v>
      </c>
      <c r="G1474" s="28" t="s">
        <v>77</v>
      </c>
      <c r="H1474" s="28" t="s">
        <v>1920</v>
      </c>
      <c r="I1474" s="28" t="str">
        <f>VLOOKUP(F1474,표준용어사전!$B:$D,3,FALSE)</f>
        <v>내용TXT</v>
      </c>
      <c r="J1474" s="28" t="s">
        <v>713</v>
      </c>
      <c r="K1474" s="27" t="s">
        <v>571</v>
      </c>
      <c r="L1474" s="29" t="s">
        <v>571</v>
      </c>
      <c r="M1474" s="29"/>
      <c r="N1474" s="29" t="s">
        <v>572</v>
      </c>
      <c r="O1474" s="28"/>
      <c r="P1474" s="28"/>
      <c r="Q1474" s="28" t="s">
        <v>76</v>
      </c>
      <c r="R1474" s="29"/>
      <c r="S1474" s="28"/>
      <c r="T1474" s="28"/>
      <c r="U1474" s="28" t="s">
        <v>75</v>
      </c>
      <c r="V1474" s="28" t="s">
        <v>75</v>
      </c>
      <c r="W1474" s="28"/>
    </row>
    <row r="1475" spans="1:23" hidden="1">
      <c r="A1475" s="46" t="s">
        <v>711</v>
      </c>
      <c r="B1475" s="28" t="s">
        <v>1333</v>
      </c>
      <c r="C1475" s="28" t="s">
        <v>88</v>
      </c>
      <c r="D1475" s="28" t="s">
        <v>1917</v>
      </c>
      <c r="E1475" s="28" t="s">
        <v>90</v>
      </c>
      <c r="F1475" s="28" t="s">
        <v>14</v>
      </c>
      <c r="G1475" s="28" t="s">
        <v>14</v>
      </c>
      <c r="H1475" s="28" t="s">
        <v>1920</v>
      </c>
      <c r="I1475" s="28" t="str">
        <f>VLOOKUP(F1475,표준용어사전!$B:$D,3,FALSE)</f>
        <v>연월일시분초TS</v>
      </c>
      <c r="J1475" s="28" t="s">
        <v>16</v>
      </c>
      <c r="K1475" s="27" t="s">
        <v>571</v>
      </c>
      <c r="L1475" s="29" t="s">
        <v>571</v>
      </c>
      <c r="M1475" s="29" t="s">
        <v>726</v>
      </c>
      <c r="N1475" s="29" t="s">
        <v>711</v>
      </c>
      <c r="O1475" s="28"/>
      <c r="P1475" s="28"/>
      <c r="Q1475" s="28" t="s">
        <v>76</v>
      </c>
      <c r="R1475" s="29"/>
      <c r="S1475" s="28"/>
      <c r="T1475" s="28" t="s">
        <v>574</v>
      </c>
      <c r="U1475" s="28" t="s">
        <v>75</v>
      </c>
      <c r="V1475" s="28" t="s">
        <v>75</v>
      </c>
      <c r="W1475" s="28"/>
    </row>
    <row r="1476" spans="1:23" hidden="1">
      <c r="A1476" s="46" t="s">
        <v>711</v>
      </c>
      <c r="B1476" s="28" t="s">
        <v>1333</v>
      </c>
      <c r="C1476" s="28" t="s">
        <v>88</v>
      </c>
      <c r="D1476" s="28" t="s">
        <v>1917</v>
      </c>
      <c r="E1476" s="28" t="s">
        <v>91</v>
      </c>
      <c r="F1476" s="28" t="s">
        <v>369</v>
      </c>
      <c r="G1476" s="28" t="s">
        <v>369</v>
      </c>
      <c r="H1476" s="28" t="s">
        <v>1920</v>
      </c>
      <c r="I1476" s="28" t="str">
        <f>VLOOKUP(F1476,표준용어사전!$B:$D,3,FALSE)</f>
        <v>명V20</v>
      </c>
      <c r="J1476" s="28" t="s">
        <v>78</v>
      </c>
      <c r="K1476" s="27">
        <v>20</v>
      </c>
      <c r="L1476" s="29" t="s">
        <v>571</v>
      </c>
      <c r="M1476" s="29" t="s">
        <v>727</v>
      </c>
      <c r="N1476" s="29" t="s">
        <v>75</v>
      </c>
      <c r="O1476" s="28"/>
      <c r="P1476" s="28"/>
      <c r="Q1476" s="28" t="s">
        <v>76</v>
      </c>
      <c r="R1476" s="29"/>
      <c r="S1476" s="28"/>
      <c r="T1476" s="28" t="s">
        <v>571</v>
      </c>
      <c r="U1476" s="28" t="s">
        <v>75</v>
      </c>
      <c r="V1476" s="28" t="s">
        <v>75</v>
      </c>
      <c r="W1476" s="28"/>
    </row>
    <row r="1477" spans="1:23" hidden="1">
      <c r="A1477" s="46" t="s">
        <v>711</v>
      </c>
      <c r="B1477" s="28" t="s">
        <v>1333</v>
      </c>
      <c r="C1477" s="28" t="s">
        <v>88</v>
      </c>
      <c r="D1477" s="28" t="s">
        <v>1917</v>
      </c>
      <c r="E1477" s="28" t="s">
        <v>92</v>
      </c>
      <c r="F1477" s="28" t="s">
        <v>15</v>
      </c>
      <c r="G1477" s="28" t="s">
        <v>15</v>
      </c>
      <c r="H1477" s="28" t="s">
        <v>1920</v>
      </c>
      <c r="I1477" s="28" t="str">
        <f>VLOOKUP(F1477,표준용어사전!$B:$D,3,FALSE)</f>
        <v>연월일시분초TS</v>
      </c>
      <c r="J1477" s="28" t="s">
        <v>16</v>
      </c>
      <c r="K1477" s="27" t="s">
        <v>571</v>
      </c>
      <c r="L1477" s="29" t="s">
        <v>571</v>
      </c>
      <c r="M1477" s="29" t="s">
        <v>726</v>
      </c>
      <c r="N1477" s="29" t="s">
        <v>75</v>
      </c>
      <c r="O1477" s="28"/>
      <c r="P1477" s="28"/>
      <c r="Q1477" s="28" t="s">
        <v>76</v>
      </c>
      <c r="R1477" s="29"/>
      <c r="S1477" s="28"/>
      <c r="T1477" s="28" t="s">
        <v>574</v>
      </c>
      <c r="U1477" s="28" t="s">
        <v>75</v>
      </c>
      <c r="V1477" s="28" t="s">
        <v>75</v>
      </c>
      <c r="W1477" s="28"/>
    </row>
    <row r="1478" spans="1:23" hidden="1">
      <c r="A1478" s="46" t="s">
        <v>711</v>
      </c>
      <c r="B1478" s="28" t="s">
        <v>1333</v>
      </c>
      <c r="C1478" s="28" t="s">
        <v>88</v>
      </c>
      <c r="D1478" s="28" t="s">
        <v>1917</v>
      </c>
      <c r="E1478" s="28" t="s">
        <v>93</v>
      </c>
      <c r="F1478" s="28" t="s">
        <v>370</v>
      </c>
      <c r="G1478" s="28" t="s">
        <v>370</v>
      </c>
      <c r="H1478" s="28" t="s">
        <v>1920</v>
      </c>
      <c r="I1478" s="28" t="str">
        <f>VLOOKUP(F1478,표준용어사전!$B:$D,3,FALSE)</f>
        <v>명V20</v>
      </c>
      <c r="J1478" s="28" t="s">
        <v>78</v>
      </c>
      <c r="K1478" s="27">
        <v>20</v>
      </c>
      <c r="L1478" s="29" t="s">
        <v>571</v>
      </c>
      <c r="M1478" s="29" t="s">
        <v>727</v>
      </c>
      <c r="N1478" s="29" t="s">
        <v>75</v>
      </c>
      <c r="O1478" s="28"/>
      <c r="P1478" s="28"/>
      <c r="Q1478" s="28" t="s">
        <v>76</v>
      </c>
      <c r="R1478" s="29"/>
      <c r="S1478" s="28"/>
      <c r="T1478" s="28" t="s">
        <v>571</v>
      </c>
      <c r="U1478" s="28" t="s">
        <v>75</v>
      </c>
      <c r="V1478" s="28" t="s">
        <v>75</v>
      </c>
      <c r="W1478" s="28"/>
    </row>
    <row r="1479" spans="1:23" hidden="1">
      <c r="A1479" s="46" t="s">
        <v>711</v>
      </c>
      <c r="B1479" s="28" t="s">
        <v>1333</v>
      </c>
      <c r="C1479" s="28" t="s">
        <v>88</v>
      </c>
      <c r="D1479" s="28" t="s">
        <v>1922</v>
      </c>
      <c r="E1479" s="28" t="s">
        <v>1923</v>
      </c>
      <c r="F1479" s="28" t="s">
        <v>1924</v>
      </c>
      <c r="G1479" s="28" t="s">
        <v>1924</v>
      </c>
      <c r="H1479" s="28" t="s">
        <v>1925</v>
      </c>
      <c r="I1479" s="28" t="e">
        <f>VLOOKUP(F1479,표준용어사전!$B:$D,3,FALSE)</f>
        <v>#N/A</v>
      </c>
      <c r="J1479" s="28" t="s">
        <v>717</v>
      </c>
      <c r="K1479" s="27" t="s">
        <v>927</v>
      </c>
      <c r="L1479" s="29" t="s">
        <v>571</v>
      </c>
      <c r="M1479" s="29"/>
      <c r="N1479" s="29" t="s">
        <v>711</v>
      </c>
      <c r="O1479" s="28" t="s">
        <v>641</v>
      </c>
      <c r="P1479" s="28"/>
      <c r="Q1479" s="28" t="s">
        <v>76</v>
      </c>
      <c r="R1479" s="29"/>
      <c r="S1479" s="28"/>
      <c r="T1479" s="28"/>
      <c r="U1479" s="28" t="s">
        <v>75</v>
      </c>
      <c r="V1479" s="28" t="s">
        <v>75</v>
      </c>
      <c r="W1479" s="28"/>
    </row>
    <row r="1480" spans="1:23" hidden="1">
      <c r="A1480" s="46" t="s">
        <v>711</v>
      </c>
      <c r="B1480" s="28" t="s">
        <v>1333</v>
      </c>
      <c r="C1480" s="28" t="s">
        <v>88</v>
      </c>
      <c r="D1480" s="28" t="s">
        <v>1922</v>
      </c>
      <c r="E1480" s="28" t="s">
        <v>246</v>
      </c>
      <c r="F1480" s="28" t="s">
        <v>17</v>
      </c>
      <c r="G1480" s="28" t="s">
        <v>17</v>
      </c>
      <c r="H1480" s="28" t="s">
        <v>1925</v>
      </c>
      <c r="I1480" s="28" t="str">
        <f>VLOOKUP(F1480,표준용어사전!$B:$D,3,FALSE)</f>
        <v>명V20</v>
      </c>
      <c r="J1480" s="28" t="s">
        <v>718</v>
      </c>
      <c r="K1480" s="24">
        <v>20</v>
      </c>
      <c r="L1480" s="29" t="s">
        <v>571</v>
      </c>
      <c r="M1480" s="29" t="s">
        <v>727</v>
      </c>
      <c r="N1480" s="29" t="s">
        <v>711</v>
      </c>
      <c r="O1480" s="28"/>
      <c r="P1480" s="28"/>
      <c r="Q1480" s="28" t="s">
        <v>76</v>
      </c>
      <c r="R1480" s="29"/>
      <c r="S1480" s="28"/>
      <c r="T1480" s="28"/>
      <c r="U1480" s="28" t="s">
        <v>75</v>
      </c>
      <c r="V1480" s="28" t="s">
        <v>75</v>
      </c>
      <c r="W1480" s="28"/>
    </row>
    <row r="1481" spans="1:23" hidden="1">
      <c r="A1481" s="46" t="s">
        <v>711</v>
      </c>
      <c r="B1481" s="28" t="s">
        <v>1333</v>
      </c>
      <c r="C1481" s="28" t="s">
        <v>88</v>
      </c>
      <c r="D1481" s="28" t="s">
        <v>1922</v>
      </c>
      <c r="E1481" s="28" t="s">
        <v>1902</v>
      </c>
      <c r="F1481" s="28" t="s">
        <v>1903</v>
      </c>
      <c r="G1481" s="28" t="s">
        <v>1903</v>
      </c>
      <c r="H1481" s="28" t="s">
        <v>1926</v>
      </c>
      <c r="I1481" s="28" t="str">
        <f>VLOOKUP(F1481,표준용어사전!$B:$D,3,FALSE)</f>
        <v>명V50</v>
      </c>
      <c r="J1481" s="28" t="s">
        <v>718</v>
      </c>
      <c r="K1481" s="24">
        <v>50</v>
      </c>
      <c r="L1481" s="29" t="s">
        <v>571</v>
      </c>
      <c r="M1481" s="29" t="s">
        <v>720</v>
      </c>
      <c r="N1481" s="29" t="s">
        <v>711</v>
      </c>
      <c r="O1481" s="28"/>
      <c r="P1481" s="28"/>
      <c r="Q1481" s="28" t="s">
        <v>1956</v>
      </c>
      <c r="R1481" s="29">
        <v>1</v>
      </c>
      <c r="S1481" s="28"/>
      <c r="T1481" s="28"/>
      <c r="U1481" s="28" t="s">
        <v>75</v>
      </c>
      <c r="V1481" s="28" t="s">
        <v>75</v>
      </c>
      <c r="W1481" s="28"/>
    </row>
    <row r="1482" spans="1:23" hidden="1">
      <c r="A1482" s="46" t="s">
        <v>711</v>
      </c>
      <c r="B1482" s="28" t="s">
        <v>1333</v>
      </c>
      <c r="C1482" s="28" t="s">
        <v>88</v>
      </c>
      <c r="D1482" s="28" t="s">
        <v>1927</v>
      </c>
      <c r="E1482" s="28" t="s">
        <v>268</v>
      </c>
      <c r="F1482" s="28" t="s">
        <v>500</v>
      </c>
      <c r="G1482" s="28" t="s">
        <v>763</v>
      </c>
      <c r="H1482" s="28" t="s">
        <v>1925</v>
      </c>
      <c r="I1482" s="28" t="str">
        <f>VLOOKUP(F1482,표준용어사전!$B:$D,3,FALSE)</f>
        <v>코드C1</v>
      </c>
      <c r="J1482" s="28" t="s">
        <v>709</v>
      </c>
      <c r="K1482" s="24">
        <v>1</v>
      </c>
      <c r="L1482" s="29" t="s">
        <v>571</v>
      </c>
      <c r="M1482" s="29" t="s">
        <v>722</v>
      </c>
      <c r="N1482" s="29" t="s">
        <v>75</v>
      </c>
      <c r="O1482" s="28"/>
      <c r="P1482" s="28"/>
      <c r="Q1482" s="28" t="s">
        <v>76</v>
      </c>
      <c r="R1482" s="29"/>
      <c r="S1482" s="28"/>
      <c r="T1482" s="28"/>
      <c r="U1482" s="28" t="s">
        <v>75</v>
      </c>
      <c r="V1482" s="28" t="s">
        <v>75</v>
      </c>
      <c r="W1482" s="28"/>
    </row>
    <row r="1483" spans="1:23" hidden="1">
      <c r="A1483" s="46" t="s">
        <v>711</v>
      </c>
      <c r="B1483" s="28" t="s">
        <v>1333</v>
      </c>
      <c r="C1483" s="28" t="s">
        <v>88</v>
      </c>
      <c r="D1483" s="28" t="s">
        <v>1922</v>
      </c>
      <c r="E1483" s="28" t="s">
        <v>252</v>
      </c>
      <c r="F1483" s="28" t="s">
        <v>77</v>
      </c>
      <c r="G1483" s="28" t="s">
        <v>77</v>
      </c>
      <c r="H1483" s="28" t="s">
        <v>1925</v>
      </c>
      <c r="I1483" s="28" t="str">
        <f>VLOOKUP(F1483,표준용어사전!$B:$D,3,FALSE)</f>
        <v>내용TXT</v>
      </c>
      <c r="J1483" s="28" t="s">
        <v>713</v>
      </c>
      <c r="K1483" s="27" t="s">
        <v>571</v>
      </c>
      <c r="L1483" s="29" t="s">
        <v>571</v>
      </c>
      <c r="M1483" s="29"/>
      <c r="N1483" s="29" t="s">
        <v>75</v>
      </c>
      <c r="O1483" s="28"/>
      <c r="P1483" s="28"/>
      <c r="Q1483" s="28" t="s">
        <v>76</v>
      </c>
      <c r="R1483" s="29"/>
      <c r="S1483" s="28"/>
      <c r="T1483" s="28"/>
      <c r="U1483" s="28" t="s">
        <v>75</v>
      </c>
      <c r="V1483" s="28" t="s">
        <v>75</v>
      </c>
      <c r="W1483" s="28"/>
    </row>
    <row r="1484" spans="1:23" hidden="1">
      <c r="A1484" s="46" t="s">
        <v>711</v>
      </c>
      <c r="B1484" s="28" t="s">
        <v>1333</v>
      </c>
      <c r="C1484" s="28" t="s">
        <v>88</v>
      </c>
      <c r="D1484" s="28" t="s">
        <v>1922</v>
      </c>
      <c r="E1484" s="28" t="s">
        <v>90</v>
      </c>
      <c r="F1484" s="28" t="s">
        <v>14</v>
      </c>
      <c r="G1484" s="28" t="s">
        <v>14</v>
      </c>
      <c r="H1484" s="28" t="s">
        <v>1925</v>
      </c>
      <c r="I1484" s="28" t="str">
        <f>VLOOKUP(F1484,표준용어사전!$B:$D,3,FALSE)</f>
        <v>연월일시분초TS</v>
      </c>
      <c r="J1484" s="28" t="s">
        <v>16</v>
      </c>
      <c r="K1484" s="27" t="s">
        <v>571</v>
      </c>
      <c r="L1484" s="29" t="s">
        <v>571</v>
      </c>
      <c r="M1484" s="29" t="s">
        <v>726</v>
      </c>
      <c r="N1484" s="29" t="s">
        <v>711</v>
      </c>
      <c r="O1484" s="28"/>
      <c r="P1484" s="28"/>
      <c r="Q1484" s="28" t="s">
        <v>76</v>
      </c>
      <c r="R1484" s="29"/>
      <c r="S1484" s="28"/>
      <c r="T1484" s="28" t="s">
        <v>574</v>
      </c>
      <c r="U1484" s="28" t="s">
        <v>75</v>
      </c>
      <c r="V1484" s="28" t="s">
        <v>75</v>
      </c>
      <c r="W1484" s="28"/>
    </row>
    <row r="1485" spans="1:23" hidden="1">
      <c r="A1485" s="46" t="s">
        <v>711</v>
      </c>
      <c r="B1485" s="28" t="s">
        <v>1333</v>
      </c>
      <c r="C1485" s="28" t="s">
        <v>88</v>
      </c>
      <c r="D1485" s="28" t="s">
        <v>1922</v>
      </c>
      <c r="E1485" s="28" t="s">
        <v>91</v>
      </c>
      <c r="F1485" s="28" t="s">
        <v>369</v>
      </c>
      <c r="G1485" s="28" t="s">
        <v>369</v>
      </c>
      <c r="H1485" s="28" t="s">
        <v>1925</v>
      </c>
      <c r="I1485" s="28" t="str">
        <f>VLOOKUP(F1485,표준용어사전!$B:$D,3,FALSE)</f>
        <v>명V20</v>
      </c>
      <c r="J1485" s="28" t="s">
        <v>78</v>
      </c>
      <c r="K1485" s="27">
        <v>20</v>
      </c>
      <c r="L1485" s="29" t="s">
        <v>571</v>
      </c>
      <c r="M1485" s="29" t="s">
        <v>727</v>
      </c>
      <c r="N1485" s="29" t="s">
        <v>75</v>
      </c>
      <c r="O1485" s="28"/>
      <c r="P1485" s="28"/>
      <c r="Q1485" s="28" t="s">
        <v>76</v>
      </c>
      <c r="R1485" s="29"/>
      <c r="S1485" s="28"/>
      <c r="T1485" s="28" t="s">
        <v>571</v>
      </c>
      <c r="U1485" s="28" t="s">
        <v>75</v>
      </c>
      <c r="V1485" s="28" t="s">
        <v>75</v>
      </c>
      <c r="W1485" s="28"/>
    </row>
    <row r="1486" spans="1:23" hidden="1">
      <c r="A1486" s="46" t="s">
        <v>711</v>
      </c>
      <c r="B1486" s="28" t="s">
        <v>1333</v>
      </c>
      <c r="C1486" s="28" t="s">
        <v>88</v>
      </c>
      <c r="D1486" s="28" t="s">
        <v>1922</v>
      </c>
      <c r="E1486" s="28" t="s">
        <v>92</v>
      </c>
      <c r="F1486" s="28" t="s">
        <v>15</v>
      </c>
      <c r="G1486" s="28" t="s">
        <v>15</v>
      </c>
      <c r="H1486" s="28" t="s">
        <v>1925</v>
      </c>
      <c r="I1486" s="28" t="str">
        <f>VLOOKUP(F1486,표준용어사전!$B:$D,3,FALSE)</f>
        <v>연월일시분초TS</v>
      </c>
      <c r="J1486" s="28" t="s">
        <v>16</v>
      </c>
      <c r="K1486" s="27" t="s">
        <v>571</v>
      </c>
      <c r="L1486" s="29" t="s">
        <v>571</v>
      </c>
      <c r="M1486" s="29" t="s">
        <v>726</v>
      </c>
      <c r="N1486" s="29" t="s">
        <v>75</v>
      </c>
      <c r="O1486" s="28"/>
      <c r="P1486" s="28"/>
      <c r="Q1486" s="28" t="s">
        <v>76</v>
      </c>
      <c r="R1486" s="29"/>
      <c r="S1486" s="28"/>
      <c r="T1486" s="28" t="s">
        <v>574</v>
      </c>
      <c r="U1486" s="28" t="s">
        <v>75</v>
      </c>
      <c r="V1486" s="28" t="s">
        <v>75</v>
      </c>
      <c r="W1486" s="28"/>
    </row>
    <row r="1487" spans="1:23" hidden="1">
      <c r="A1487" s="46" t="s">
        <v>711</v>
      </c>
      <c r="B1487" s="28" t="s">
        <v>1333</v>
      </c>
      <c r="C1487" s="28" t="s">
        <v>88</v>
      </c>
      <c r="D1487" s="28" t="s">
        <v>1922</v>
      </c>
      <c r="E1487" s="28" t="s">
        <v>93</v>
      </c>
      <c r="F1487" s="28" t="s">
        <v>370</v>
      </c>
      <c r="G1487" s="28" t="s">
        <v>370</v>
      </c>
      <c r="H1487" s="28" t="s">
        <v>1925</v>
      </c>
      <c r="I1487" s="28" t="str">
        <f>VLOOKUP(F1487,표준용어사전!$B:$D,3,FALSE)</f>
        <v>명V20</v>
      </c>
      <c r="J1487" s="28" t="s">
        <v>78</v>
      </c>
      <c r="K1487" s="27">
        <v>20</v>
      </c>
      <c r="L1487" s="29" t="s">
        <v>571</v>
      </c>
      <c r="M1487" s="29" t="s">
        <v>727</v>
      </c>
      <c r="N1487" s="29" t="s">
        <v>75</v>
      </c>
      <c r="O1487" s="28"/>
      <c r="P1487" s="28"/>
      <c r="Q1487" s="28" t="s">
        <v>76</v>
      </c>
      <c r="R1487" s="29"/>
      <c r="S1487" s="28"/>
      <c r="T1487" s="28" t="s">
        <v>571</v>
      </c>
      <c r="U1487" s="28" t="s">
        <v>75</v>
      </c>
      <c r="V1487" s="28" t="s">
        <v>75</v>
      </c>
      <c r="W1487" s="28"/>
    </row>
    <row r="1488" spans="1:23" hidden="1">
      <c r="A1488" s="46" t="s">
        <v>711</v>
      </c>
      <c r="B1488" s="28" t="s">
        <v>1338</v>
      </c>
      <c r="C1488" s="28" t="s">
        <v>944</v>
      </c>
      <c r="D1488" s="28" t="s">
        <v>1881</v>
      </c>
      <c r="E1488" s="28" t="s">
        <v>1431</v>
      </c>
      <c r="F1488" s="28" t="s">
        <v>1626</v>
      </c>
      <c r="G1488" s="28" t="s">
        <v>1626</v>
      </c>
      <c r="H1488" s="28" t="s">
        <v>1882</v>
      </c>
      <c r="I1488" s="28" t="e">
        <f>VLOOKUP(F1488,표준용어사전!$B:$D,3,FALSE)</f>
        <v>#N/A</v>
      </c>
      <c r="J1488" s="28" t="s">
        <v>1349</v>
      </c>
      <c r="K1488" s="27" t="s">
        <v>927</v>
      </c>
      <c r="L1488" s="29" t="s">
        <v>927</v>
      </c>
      <c r="M1488" s="29" t="s">
        <v>1353</v>
      </c>
      <c r="N1488" s="29" t="s">
        <v>572</v>
      </c>
      <c r="O1488" s="28"/>
      <c r="P1488" s="28"/>
      <c r="Q1488" s="28" t="s">
        <v>76</v>
      </c>
      <c r="R1488" s="29"/>
      <c r="S1488" s="28"/>
      <c r="T1488" s="28"/>
      <c r="U1488" s="28" t="s">
        <v>75</v>
      </c>
      <c r="V1488" s="28" t="s">
        <v>75</v>
      </c>
      <c r="W1488" s="28"/>
    </row>
    <row r="1489" spans="1:23" hidden="1">
      <c r="A1489" s="46" t="s">
        <v>711</v>
      </c>
      <c r="B1489" s="28" t="s">
        <v>1338</v>
      </c>
      <c r="C1489" s="28" t="s">
        <v>944</v>
      </c>
      <c r="D1489" s="28" t="s">
        <v>1881</v>
      </c>
      <c r="E1489" s="28" t="s">
        <v>89</v>
      </c>
      <c r="F1489" s="28" t="s">
        <v>501</v>
      </c>
      <c r="G1489" s="28" t="s">
        <v>501</v>
      </c>
      <c r="H1489" s="28" t="s">
        <v>1882</v>
      </c>
      <c r="I1489" s="28" t="str">
        <f>VLOOKUP(F1489,표준용어사전!$B:$D,3,FALSE)</f>
        <v>명V20</v>
      </c>
      <c r="J1489" s="28" t="s">
        <v>718</v>
      </c>
      <c r="K1489" s="27">
        <v>50</v>
      </c>
      <c r="L1489" s="29" t="s">
        <v>571</v>
      </c>
      <c r="M1489" s="29" t="s">
        <v>720</v>
      </c>
      <c r="N1489" s="29" t="s">
        <v>572</v>
      </c>
      <c r="O1489" s="28"/>
      <c r="P1489" s="28"/>
      <c r="Q1489" s="28" t="s">
        <v>76</v>
      </c>
      <c r="R1489" s="29"/>
      <c r="S1489" s="28"/>
      <c r="T1489" s="28"/>
      <c r="U1489" s="28" t="s">
        <v>75</v>
      </c>
      <c r="V1489" s="28" t="s">
        <v>75</v>
      </c>
      <c r="W1489" s="28"/>
    </row>
    <row r="1490" spans="1:23" hidden="1">
      <c r="A1490" s="46" t="s">
        <v>711</v>
      </c>
      <c r="B1490" s="28" t="s">
        <v>1338</v>
      </c>
      <c r="C1490" s="28" t="s">
        <v>944</v>
      </c>
      <c r="D1490" s="28" t="s">
        <v>1881</v>
      </c>
      <c r="E1490" s="28" t="s">
        <v>240</v>
      </c>
      <c r="F1490" s="28" t="s">
        <v>1883</v>
      </c>
      <c r="G1490" s="28" t="s">
        <v>477</v>
      </c>
      <c r="H1490" s="28" t="s">
        <v>1882</v>
      </c>
      <c r="I1490" s="28" t="str">
        <f>VLOOKUP(F1490,표준용어사전!$B:$D,3,FALSE)</f>
        <v>명V512</v>
      </c>
      <c r="J1490" s="28" t="s">
        <v>718</v>
      </c>
      <c r="K1490" s="27">
        <v>512</v>
      </c>
      <c r="L1490" s="29" t="s">
        <v>571</v>
      </c>
      <c r="M1490" s="29" t="s">
        <v>721</v>
      </c>
      <c r="N1490" s="29" t="s">
        <v>572</v>
      </c>
      <c r="O1490" s="28"/>
      <c r="P1490" s="28"/>
      <c r="Q1490" s="28" t="s">
        <v>76</v>
      </c>
      <c r="R1490" s="29"/>
      <c r="S1490" s="28"/>
      <c r="T1490" s="28"/>
      <c r="U1490" s="28" t="s">
        <v>75</v>
      </c>
      <c r="V1490" s="28" t="s">
        <v>75</v>
      </c>
      <c r="W1490" s="28"/>
    </row>
    <row r="1491" spans="1:23" hidden="1">
      <c r="A1491" s="46" t="s">
        <v>711</v>
      </c>
      <c r="B1491" s="28" t="s">
        <v>1338</v>
      </c>
      <c r="C1491" s="28" t="s">
        <v>944</v>
      </c>
      <c r="D1491" s="28" t="s">
        <v>1881</v>
      </c>
      <c r="E1491" s="28" t="s">
        <v>1860</v>
      </c>
      <c r="F1491" s="28" t="s">
        <v>1861</v>
      </c>
      <c r="G1491" s="28" t="s">
        <v>1861</v>
      </c>
      <c r="H1491" s="28" t="s">
        <v>1882</v>
      </c>
      <c r="I1491" s="28" t="e">
        <f>VLOOKUP(F1491,표준용어사전!$B:$D,3,FALSE)</f>
        <v>#N/A</v>
      </c>
      <c r="J1491" s="28" t="s">
        <v>709</v>
      </c>
      <c r="K1491" s="27">
        <v>1</v>
      </c>
      <c r="L1491" s="29" t="s">
        <v>571</v>
      </c>
      <c r="M1491" s="29" t="s">
        <v>722</v>
      </c>
      <c r="N1491" s="29" t="s">
        <v>572</v>
      </c>
      <c r="O1491" s="28"/>
      <c r="P1491" s="28"/>
      <c r="Q1491" s="28"/>
      <c r="R1491" s="29"/>
      <c r="S1491" s="28"/>
      <c r="T1491" s="28"/>
      <c r="U1491" s="28" t="s">
        <v>75</v>
      </c>
      <c r="V1491" s="28" t="s">
        <v>75</v>
      </c>
      <c r="W1491" s="28"/>
    </row>
    <row r="1492" spans="1:23" hidden="1">
      <c r="A1492" s="46" t="s">
        <v>711</v>
      </c>
      <c r="B1492" s="28" t="s">
        <v>1338</v>
      </c>
      <c r="C1492" s="28" t="s">
        <v>944</v>
      </c>
      <c r="D1492" s="28" t="s">
        <v>1881</v>
      </c>
      <c r="E1492" s="28" t="s">
        <v>43</v>
      </c>
      <c r="F1492" s="28" t="s">
        <v>1611</v>
      </c>
      <c r="G1492" s="28" t="s">
        <v>1611</v>
      </c>
      <c r="H1492" s="28" t="s">
        <v>1882</v>
      </c>
      <c r="I1492" s="28" t="e">
        <f>VLOOKUP(F1492,표준용어사전!$B:$D,3,FALSE)</f>
        <v>#N/A</v>
      </c>
      <c r="J1492" s="28" t="s">
        <v>748</v>
      </c>
      <c r="K1492" s="27">
        <v>10</v>
      </c>
      <c r="L1492" s="29" t="s">
        <v>571</v>
      </c>
      <c r="M1492" s="29">
        <v>9999999999</v>
      </c>
      <c r="N1492" s="29" t="s">
        <v>572</v>
      </c>
      <c r="O1492" s="28"/>
      <c r="P1492" s="28"/>
      <c r="Q1492" s="28" t="s">
        <v>76</v>
      </c>
      <c r="R1492" s="29"/>
      <c r="S1492" s="28"/>
      <c r="T1492" s="28"/>
      <c r="U1492" s="28" t="s">
        <v>75</v>
      </c>
      <c r="V1492" s="28" t="s">
        <v>75</v>
      </c>
      <c r="W1492" s="28"/>
    </row>
    <row r="1493" spans="1:23" hidden="1">
      <c r="A1493" s="46" t="s">
        <v>711</v>
      </c>
      <c r="B1493" s="28" t="s">
        <v>1338</v>
      </c>
      <c r="C1493" s="28" t="s">
        <v>944</v>
      </c>
      <c r="D1493" s="28" t="s">
        <v>1881</v>
      </c>
      <c r="E1493" s="28" t="s">
        <v>1885</v>
      </c>
      <c r="F1493" s="28" t="s">
        <v>1886</v>
      </c>
      <c r="G1493" s="28" t="s">
        <v>1887</v>
      </c>
      <c r="H1493" s="28" t="s">
        <v>1882</v>
      </c>
      <c r="I1493" s="28" t="e">
        <f>VLOOKUP(F1493,표준용어사전!$B:$D,3,FALSE)</f>
        <v>#N/A</v>
      </c>
      <c r="J1493" s="28" t="s">
        <v>63</v>
      </c>
      <c r="K1493" s="27">
        <v>14</v>
      </c>
      <c r="L1493" s="29" t="s">
        <v>571</v>
      </c>
      <c r="M1493" s="29" t="s">
        <v>1888</v>
      </c>
      <c r="N1493" s="29" t="s">
        <v>572</v>
      </c>
      <c r="O1493" s="28"/>
      <c r="P1493" s="28"/>
      <c r="Q1493" s="28" t="s">
        <v>76</v>
      </c>
      <c r="R1493" s="29"/>
      <c r="S1493" s="28"/>
      <c r="T1493" s="28"/>
      <c r="U1493" s="28" t="s">
        <v>75</v>
      </c>
      <c r="V1493" s="28" t="s">
        <v>75</v>
      </c>
      <c r="W1493" s="28"/>
    </row>
    <row r="1494" spans="1:23" hidden="1">
      <c r="A1494" s="46" t="s">
        <v>711</v>
      </c>
      <c r="B1494" s="28" t="s">
        <v>1338</v>
      </c>
      <c r="C1494" s="28" t="s">
        <v>944</v>
      </c>
      <c r="D1494" s="28" t="s">
        <v>1881</v>
      </c>
      <c r="E1494" s="28" t="s">
        <v>1889</v>
      </c>
      <c r="F1494" s="28" t="s">
        <v>1890</v>
      </c>
      <c r="G1494" s="28" t="s">
        <v>1890</v>
      </c>
      <c r="H1494" s="28" t="s">
        <v>1882</v>
      </c>
      <c r="I1494" s="28" t="str">
        <f>VLOOKUP(F1494,표준용어사전!$B:$D,3,FALSE)</f>
        <v>내용TXT</v>
      </c>
      <c r="J1494" s="28" t="s">
        <v>713</v>
      </c>
      <c r="K1494" s="27" t="s">
        <v>571</v>
      </c>
      <c r="L1494" s="29" t="s">
        <v>571</v>
      </c>
      <c r="M1494" s="29"/>
      <c r="N1494" s="29" t="s">
        <v>572</v>
      </c>
      <c r="O1494" s="28"/>
      <c r="P1494" s="28"/>
      <c r="Q1494" s="28" t="s">
        <v>76</v>
      </c>
      <c r="R1494" s="29"/>
      <c r="S1494" s="28"/>
      <c r="T1494" s="28" t="s">
        <v>576</v>
      </c>
      <c r="U1494" s="28" t="s">
        <v>75</v>
      </c>
      <c r="V1494" s="28" t="s">
        <v>75</v>
      </c>
      <c r="W1494" s="28"/>
    </row>
    <row r="1495" spans="1:23" hidden="1">
      <c r="A1495" s="46" t="s">
        <v>711</v>
      </c>
      <c r="B1495" s="28" t="s">
        <v>1338</v>
      </c>
      <c r="C1495" s="28" t="s">
        <v>944</v>
      </c>
      <c r="D1495" s="28" t="s">
        <v>1881</v>
      </c>
      <c r="E1495" s="28" t="s">
        <v>162</v>
      </c>
      <c r="F1495" s="28" t="s">
        <v>421</v>
      </c>
      <c r="G1495" s="28" t="s">
        <v>421</v>
      </c>
      <c r="H1495" s="28" t="s">
        <v>1882</v>
      </c>
      <c r="I1495" s="28" t="str">
        <f>VLOOKUP(F1495,표준용어사전!$B:$D,3,FALSE)</f>
        <v>여부C1</v>
      </c>
      <c r="J1495" s="28" t="s">
        <v>709</v>
      </c>
      <c r="K1495" s="27">
        <v>1</v>
      </c>
      <c r="L1495" s="29" t="s">
        <v>571</v>
      </c>
      <c r="M1495" s="29" t="s">
        <v>722</v>
      </c>
      <c r="N1495" s="29" t="s">
        <v>572</v>
      </c>
      <c r="O1495" s="28"/>
      <c r="P1495" s="28"/>
      <c r="Q1495" s="28" t="s">
        <v>76</v>
      </c>
      <c r="R1495" s="29"/>
      <c r="S1495" s="28"/>
      <c r="T1495" s="28"/>
      <c r="U1495" s="28" t="s">
        <v>75</v>
      </c>
      <c r="V1495" s="28" t="s">
        <v>75</v>
      </c>
      <c r="W1495" s="28"/>
    </row>
    <row r="1496" spans="1:23" hidden="1">
      <c r="A1496" s="46" t="s">
        <v>711</v>
      </c>
      <c r="B1496" s="28" t="s">
        <v>1338</v>
      </c>
      <c r="C1496" s="28" t="s">
        <v>944</v>
      </c>
      <c r="D1496" s="28" t="s">
        <v>1881</v>
      </c>
      <c r="E1496" s="28" t="s">
        <v>90</v>
      </c>
      <c r="F1496" s="28" t="s">
        <v>14</v>
      </c>
      <c r="G1496" s="28" t="s">
        <v>14</v>
      </c>
      <c r="H1496" s="28" t="s">
        <v>1882</v>
      </c>
      <c r="I1496" s="28" t="str">
        <f>VLOOKUP(F1496,표준용어사전!$B:$D,3,FALSE)</f>
        <v>연월일시분초TS</v>
      </c>
      <c r="J1496" s="28" t="s">
        <v>16</v>
      </c>
      <c r="K1496" s="27" t="s">
        <v>571</v>
      </c>
      <c r="L1496" s="29" t="s">
        <v>571</v>
      </c>
      <c r="M1496" s="29" t="s">
        <v>726</v>
      </c>
      <c r="N1496" s="29" t="s">
        <v>572</v>
      </c>
      <c r="O1496" s="28"/>
      <c r="P1496" s="28"/>
      <c r="Q1496" s="28" t="s">
        <v>76</v>
      </c>
      <c r="R1496" s="29"/>
      <c r="S1496" s="28"/>
      <c r="T1496" s="28" t="s">
        <v>574</v>
      </c>
      <c r="U1496" s="28" t="s">
        <v>75</v>
      </c>
      <c r="V1496" s="28" t="s">
        <v>75</v>
      </c>
      <c r="W1496" s="28"/>
    </row>
    <row r="1497" spans="1:23" hidden="1">
      <c r="A1497" s="46" t="s">
        <v>711</v>
      </c>
      <c r="B1497" s="28" t="s">
        <v>1338</v>
      </c>
      <c r="C1497" s="28" t="s">
        <v>944</v>
      </c>
      <c r="D1497" s="28" t="s">
        <v>1881</v>
      </c>
      <c r="E1497" s="28" t="s">
        <v>91</v>
      </c>
      <c r="F1497" s="28" t="s">
        <v>369</v>
      </c>
      <c r="G1497" s="28" t="s">
        <v>369</v>
      </c>
      <c r="H1497" s="28" t="s">
        <v>1882</v>
      </c>
      <c r="I1497" s="28" t="str">
        <f>VLOOKUP(F1497,표준용어사전!$B:$D,3,FALSE)</f>
        <v>명V20</v>
      </c>
      <c r="J1497" s="28" t="s">
        <v>78</v>
      </c>
      <c r="K1497" s="27">
        <v>20</v>
      </c>
      <c r="L1497" s="29" t="s">
        <v>571</v>
      </c>
      <c r="M1497" s="29" t="s">
        <v>727</v>
      </c>
      <c r="N1497" s="29" t="s">
        <v>572</v>
      </c>
      <c r="O1497" s="28"/>
      <c r="P1497" s="28"/>
      <c r="Q1497" s="28" t="s">
        <v>76</v>
      </c>
      <c r="R1497" s="29"/>
      <c r="S1497" s="28"/>
      <c r="T1497" s="28" t="s">
        <v>571</v>
      </c>
      <c r="U1497" s="28" t="s">
        <v>75</v>
      </c>
      <c r="V1497" s="28" t="s">
        <v>75</v>
      </c>
      <c r="W1497" s="28"/>
    </row>
    <row r="1498" spans="1:23" hidden="1">
      <c r="A1498" s="46" t="s">
        <v>711</v>
      </c>
      <c r="B1498" s="28" t="s">
        <v>1338</v>
      </c>
      <c r="C1498" s="28" t="s">
        <v>944</v>
      </c>
      <c r="D1498" s="28" t="s">
        <v>1881</v>
      </c>
      <c r="E1498" s="28" t="s">
        <v>92</v>
      </c>
      <c r="F1498" s="28" t="s">
        <v>15</v>
      </c>
      <c r="G1498" s="28" t="s">
        <v>15</v>
      </c>
      <c r="H1498" s="28" t="s">
        <v>1882</v>
      </c>
      <c r="I1498" s="28" t="str">
        <f>VLOOKUP(F1498,표준용어사전!$B:$D,3,FALSE)</f>
        <v>연월일시분초TS</v>
      </c>
      <c r="J1498" s="28" t="s">
        <v>16</v>
      </c>
      <c r="K1498" s="27" t="s">
        <v>571</v>
      </c>
      <c r="L1498" s="29" t="s">
        <v>571</v>
      </c>
      <c r="M1498" s="29" t="s">
        <v>726</v>
      </c>
      <c r="N1498" s="29" t="s">
        <v>572</v>
      </c>
      <c r="O1498" s="28"/>
      <c r="P1498" s="28"/>
      <c r="Q1498" s="28" t="s">
        <v>76</v>
      </c>
      <c r="R1498" s="29"/>
      <c r="S1498" s="28"/>
      <c r="T1498" s="28" t="s">
        <v>574</v>
      </c>
      <c r="U1498" s="28" t="s">
        <v>75</v>
      </c>
      <c r="V1498" s="28" t="s">
        <v>75</v>
      </c>
      <c r="W1498" s="28"/>
    </row>
    <row r="1499" spans="1:23" hidden="1">
      <c r="A1499" s="46" t="s">
        <v>711</v>
      </c>
      <c r="B1499" s="28" t="s">
        <v>1338</v>
      </c>
      <c r="C1499" s="28" t="s">
        <v>944</v>
      </c>
      <c r="D1499" s="28" t="s">
        <v>1881</v>
      </c>
      <c r="E1499" s="28" t="s">
        <v>93</v>
      </c>
      <c r="F1499" s="28" t="s">
        <v>370</v>
      </c>
      <c r="G1499" s="28" t="s">
        <v>370</v>
      </c>
      <c r="H1499" s="28" t="s">
        <v>1882</v>
      </c>
      <c r="I1499" s="28" t="str">
        <f>VLOOKUP(F1499,표준용어사전!$B:$D,3,FALSE)</f>
        <v>명V20</v>
      </c>
      <c r="J1499" s="28" t="s">
        <v>78</v>
      </c>
      <c r="K1499" s="27">
        <v>20</v>
      </c>
      <c r="L1499" s="29" t="s">
        <v>571</v>
      </c>
      <c r="M1499" s="29" t="s">
        <v>727</v>
      </c>
      <c r="N1499" s="29" t="s">
        <v>572</v>
      </c>
      <c r="O1499" s="28"/>
      <c r="P1499" s="28"/>
      <c r="Q1499" s="28" t="s">
        <v>76</v>
      </c>
      <c r="R1499" s="29"/>
      <c r="S1499" s="28"/>
      <c r="T1499" s="28" t="s">
        <v>571</v>
      </c>
      <c r="U1499" s="28" t="s">
        <v>75</v>
      </c>
      <c r="V1499" s="28" t="s">
        <v>75</v>
      </c>
      <c r="W1499" s="28"/>
    </row>
  </sheetData>
  <autoFilter ref="A1:W1499" xr:uid="{2D860B57-3AD4-435E-9D0B-2815E8DDDA01}">
    <filterColumn colId="2">
      <filters>
        <filter val="public"/>
      </filters>
    </filterColumn>
  </autoFilter>
  <phoneticPr fontId="19" type="noConversion"/>
  <pageMargins left="0.25" right="0.25" top="0.75" bottom="0.75" header="0.3" footer="0.3"/>
  <pageSetup paperSize="9" scale="2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4C6A-4B26-4570-9D6C-973C96900422}">
  <sheetPr>
    <pageSetUpPr fitToPage="1"/>
  </sheetPr>
  <dimension ref="A1:W1048516"/>
  <sheetViews>
    <sheetView tabSelected="1" topLeftCell="H1" zoomScale="85" zoomScaleNormal="85" workbookViewId="0">
      <pane ySplit="1" topLeftCell="A144" activePane="bottomLeft" state="frozen"/>
      <selection pane="bottomLeft" activeCell="P170" sqref="P170"/>
    </sheetView>
  </sheetViews>
  <sheetFormatPr defaultRowHeight="16.5"/>
  <cols>
    <col min="1" max="1" width="9" style="19"/>
    <col min="2" max="2" width="13" style="25" bestFit="1" customWidth="1"/>
    <col min="3" max="3" width="13.375" style="7" bestFit="1" customWidth="1"/>
    <col min="4" max="4" width="54.375" style="7" bestFit="1" customWidth="1"/>
    <col min="5" max="5" width="51.625" style="7" customWidth="1"/>
    <col min="6" max="6" width="46.75" style="7" customWidth="1"/>
    <col min="7" max="7" width="48.875" style="7" bestFit="1" customWidth="1"/>
    <col min="8" max="8" width="33.875" style="7" customWidth="1"/>
    <col min="9" max="9" width="19.375" style="7" customWidth="1"/>
    <col min="10" max="10" width="14.375" style="7" customWidth="1"/>
    <col min="11" max="11" width="10.25" style="26" customWidth="1"/>
    <col min="12" max="12" width="10.25" style="7" customWidth="1"/>
    <col min="13" max="13" width="21.875" style="7" customWidth="1"/>
    <col min="14" max="14" width="14.125" style="7" customWidth="1"/>
    <col min="15" max="15" width="6.75" style="7" customWidth="1"/>
    <col min="16" max="16" width="38.125" style="7" customWidth="1"/>
    <col min="17" max="17" width="55.75" style="7" bestFit="1" customWidth="1"/>
    <col min="18" max="18" width="7" style="19" customWidth="1"/>
    <col min="19" max="19" width="6.875" style="7" customWidth="1"/>
    <col min="20" max="20" width="33.875" style="7" customWidth="1"/>
    <col min="21" max="21" width="11.375" style="7" customWidth="1"/>
    <col min="22" max="22" width="10.25" style="7" customWidth="1"/>
    <col min="23" max="23" width="14" style="7" customWidth="1"/>
  </cols>
  <sheetData>
    <row r="1" spans="1:23" ht="27">
      <c r="A1" s="11" t="s">
        <v>1815</v>
      </c>
      <c r="B1" s="8" t="s">
        <v>1330</v>
      </c>
      <c r="C1" s="8" t="s">
        <v>64</v>
      </c>
      <c r="D1" s="8" t="s">
        <v>18</v>
      </c>
      <c r="E1" s="8" t="s">
        <v>19</v>
      </c>
      <c r="F1" s="8" t="s">
        <v>83</v>
      </c>
      <c r="G1" s="8" t="s">
        <v>12</v>
      </c>
      <c r="H1" s="8" t="s">
        <v>2</v>
      </c>
      <c r="I1" s="8" t="s">
        <v>2595</v>
      </c>
      <c r="J1" s="8" t="s">
        <v>1603</v>
      </c>
      <c r="K1" s="8" t="s">
        <v>1604</v>
      </c>
      <c r="L1" s="11" t="s">
        <v>1605</v>
      </c>
      <c r="M1" s="8" t="s">
        <v>1606</v>
      </c>
      <c r="N1" s="8" t="s">
        <v>625</v>
      </c>
      <c r="O1" s="8" t="s">
        <v>26</v>
      </c>
      <c r="P1" s="8" t="s">
        <v>28</v>
      </c>
      <c r="Q1" s="8" t="s">
        <v>646</v>
      </c>
      <c r="R1" s="11" t="s">
        <v>647</v>
      </c>
      <c r="S1" s="8" t="s">
        <v>27</v>
      </c>
      <c r="T1" s="8" t="s">
        <v>10</v>
      </c>
      <c r="U1" s="8" t="s">
        <v>41</v>
      </c>
      <c r="V1" s="8" t="s">
        <v>65</v>
      </c>
      <c r="W1" s="8" t="s">
        <v>42</v>
      </c>
    </row>
    <row r="2" spans="1:23" s="12" customFormat="1">
      <c r="A2" s="46" t="s">
        <v>572</v>
      </c>
      <c r="B2" s="28" t="s">
        <v>1335</v>
      </c>
      <c r="C2" s="9" t="s">
        <v>2330</v>
      </c>
      <c r="D2" s="28" t="s">
        <v>2429</v>
      </c>
      <c r="E2" s="28" t="s">
        <v>89</v>
      </c>
      <c r="F2" s="28" t="s">
        <v>501</v>
      </c>
      <c r="G2" s="28" t="s">
        <v>501</v>
      </c>
      <c r="H2" s="28" t="s">
        <v>2331</v>
      </c>
      <c r="I2" s="9" t="str">
        <f>VLOOKUP(E2,표준용어사전!$C$2:$D$494, 2, FALSE)</f>
        <v>명V20</v>
      </c>
      <c r="J2" s="28" t="s">
        <v>718</v>
      </c>
      <c r="K2" s="55" t="s">
        <v>986</v>
      </c>
      <c r="L2" s="55" t="s">
        <v>571</v>
      </c>
      <c r="M2" s="29" t="s">
        <v>727</v>
      </c>
      <c r="N2" s="29" t="s">
        <v>973</v>
      </c>
      <c r="O2" s="28" t="s">
        <v>73</v>
      </c>
      <c r="P2" s="28" t="s">
        <v>76</v>
      </c>
      <c r="Q2" s="9"/>
      <c r="R2" s="10"/>
      <c r="S2" s="28"/>
      <c r="T2" s="28"/>
      <c r="U2" s="9" t="s">
        <v>75</v>
      </c>
      <c r="V2" s="9" t="s">
        <v>75</v>
      </c>
      <c r="W2" s="28"/>
    </row>
    <row r="3" spans="1:23" s="12" customFormat="1">
      <c r="A3" s="46" t="s">
        <v>572</v>
      </c>
      <c r="B3" s="28" t="s">
        <v>1335</v>
      </c>
      <c r="C3" s="28" t="s">
        <v>2330</v>
      </c>
      <c r="D3" s="28" t="s">
        <v>2429</v>
      </c>
      <c r="E3" s="28" t="s">
        <v>101</v>
      </c>
      <c r="F3" s="28" t="s">
        <v>378</v>
      </c>
      <c r="G3" s="28" t="s">
        <v>378</v>
      </c>
      <c r="H3" s="28" t="s">
        <v>2331</v>
      </c>
      <c r="I3" s="28" t="str">
        <f>VLOOKUP(E3,표준용어사전!$C$2:$D$494, 2, FALSE)</f>
        <v>명V50</v>
      </c>
      <c r="J3" s="28" t="s">
        <v>718</v>
      </c>
      <c r="K3" s="55">
        <v>50</v>
      </c>
      <c r="L3" s="55" t="s">
        <v>571</v>
      </c>
      <c r="M3" s="29" t="s">
        <v>720</v>
      </c>
      <c r="N3" s="29" t="s">
        <v>75</v>
      </c>
      <c r="O3" s="28"/>
      <c r="P3" s="28" t="s">
        <v>76</v>
      </c>
      <c r="Q3" s="28"/>
      <c r="R3" s="29"/>
      <c r="S3" s="28"/>
      <c r="T3" s="28"/>
      <c r="U3" s="9" t="s">
        <v>75</v>
      </c>
      <c r="V3" s="9" t="s">
        <v>75</v>
      </c>
      <c r="W3" s="28"/>
    </row>
    <row r="4" spans="1:23" s="12" customFormat="1" ht="15.75" customHeight="1">
      <c r="A4" s="46" t="s">
        <v>572</v>
      </c>
      <c r="B4" s="28" t="s">
        <v>1335</v>
      </c>
      <c r="C4" s="28" t="s">
        <v>2330</v>
      </c>
      <c r="D4" s="9" t="s">
        <v>2429</v>
      </c>
      <c r="E4" s="28" t="s">
        <v>102</v>
      </c>
      <c r="F4" s="28" t="s">
        <v>379</v>
      </c>
      <c r="G4" s="28" t="s">
        <v>379</v>
      </c>
      <c r="H4" s="28" t="s">
        <v>2331</v>
      </c>
      <c r="I4" s="28" t="str">
        <f>VLOOKUP(E4,표준용어사전!$C$2:$D$494, 2, FALSE)</f>
        <v>명V50</v>
      </c>
      <c r="J4" s="28" t="s">
        <v>718</v>
      </c>
      <c r="K4" s="55">
        <v>50</v>
      </c>
      <c r="L4" s="55" t="s">
        <v>571</v>
      </c>
      <c r="M4" s="29" t="s">
        <v>720</v>
      </c>
      <c r="N4" s="10" t="s">
        <v>75</v>
      </c>
      <c r="O4" s="9"/>
      <c r="P4" s="9" t="s">
        <v>76</v>
      </c>
      <c r="Q4" s="28"/>
      <c r="R4" s="29"/>
      <c r="S4" s="9"/>
      <c r="T4" s="9"/>
      <c r="U4" s="9" t="s">
        <v>75</v>
      </c>
      <c r="V4" s="9" t="s">
        <v>75</v>
      </c>
      <c r="W4" s="9"/>
    </row>
    <row r="5" spans="1:23" s="12" customFormat="1">
      <c r="A5" s="46" t="s">
        <v>572</v>
      </c>
      <c r="B5" s="28" t="s">
        <v>1335</v>
      </c>
      <c r="C5" s="28" t="s">
        <v>2330</v>
      </c>
      <c r="D5" s="9" t="s">
        <v>2429</v>
      </c>
      <c r="E5" s="28" t="s">
        <v>2182</v>
      </c>
      <c r="F5" s="28" t="s">
        <v>816</v>
      </c>
      <c r="G5" s="28" t="s">
        <v>816</v>
      </c>
      <c r="H5" s="28" t="s">
        <v>2331</v>
      </c>
      <c r="I5" s="28" t="str">
        <f>VLOOKUP(E5,표준용어사전!$C$2:$D$494, 2, FALSE)</f>
        <v>여부C1</v>
      </c>
      <c r="J5" s="28" t="s">
        <v>709</v>
      </c>
      <c r="K5" s="55">
        <v>1</v>
      </c>
      <c r="L5" s="55" t="s">
        <v>571</v>
      </c>
      <c r="M5" s="29" t="s">
        <v>722</v>
      </c>
      <c r="N5" s="10" t="s">
        <v>75</v>
      </c>
      <c r="O5" s="9"/>
      <c r="P5" s="9" t="s">
        <v>76</v>
      </c>
      <c r="Q5" s="28"/>
      <c r="R5" s="29"/>
      <c r="S5" s="9"/>
      <c r="T5" s="9"/>
      <c r="U5" s="9" t="s">
        <v>75</v>
      </c>
      <c r="V5" s="9" t="s">
        <v>75</v>
      </c>
      <c r="W5" s="9"/>
    </row>
    <row r="6" spans="1:23" s="12" customFormat="1">
      <c r="A6" s="46" t="s">
        <v>572</v>
      </c>
      <c r="B6" s="28" t="s">
        <v>1335</v>
      </c>
      <c r="C6" s="28" t="s">
        <v>2330</v>
      </c>
      <c r="D6" s="28" t="s">
        <v>2429</v>
      </c>
      <c r="E6" s="28" t="s">
        <v>103</v>
      </c>
      <c r="F6" s="28" t="s">
        <v>380</v>
      </c>
      <c r="G6" s="28" t="s">
        <v>380</v>
      </c>
      <c r="H6" s="28" t="s">
        <v>2331</v>
      </c>
      <c r="I6" s="28" t="str">
        <f>VLOOKUP(E6,표준용어사전!$C$2:$D$494, 2, FALSE)</f>
        <v>명V50</v>
      </c>
      <c r="J6" s="28" t="s">
        <v>718</v>
      </c>
      <c r="K6" s="55">
        <v>50</v>
      </c>
      <c r="L6" s="55" t="s">
        <v>571</v>
      </c>
      <c r="M6" s="29" t="s">
        <v>720</v>
      </c>
      <c r="N6" s="29" t="s">
        <v>75</v>
      </c>
      <c r="O6" s="9"/>
      <c r="P6" s="28" t="s">
        <v>76</v>
      </c>
      <c r="Q6" s="28"/>
      <c r="R6" s="29"/>
      <c r="S6" s="28"/>
      <c r="T6" s="28"/>
      <c r="U6" s="9" t="s">
        <v>75</v>
      </c>
      <c r="V6" s="9" t="s">
        <v>75</v>
      </c>
      <c r="W6" s="28"/>
    </row>
    <row r="7" spans="1:23" s="12" customFormat="1">
      <c r="A7" s="46" t="s">
        <v>572</v>
      </c>
      <c r="B7" s="28" t="s">
        <v>1335</v>
      </c>
      <c r="C7" s="28" t="s">
        <v>2330</v>
      </c>
      <c r="D7" s="28" t="s">
        <v>2429</v>
      </c>
      <c r="E7" s="28" t="s">
        <v>104</v>
      </c>
      <c r="F7" s="28" t="s">
        <v>381</v>
      </c>
      <c r="G7" s="28" t="s">
        <v>381</v>
      </c>
      <c r="H7" s="28" t="s">
        <v>2331</v>
      </c>
      <c r="I7" s="28" t="str">
        <f>VLOOKUP(E7,표준용어사전!$C$2:$D$494, 2, FALSE)</f>
        <v>명V50</v>
      </c>
      <c r="J7" s="28" t="s">
        <v>718</v>
      </c>
      <c r="K7" s="55">
        <v>50</v>
      </c>
      <c r="L7" s="55" t="s">
        <v>571</v>
      </c>
      <c r="M7" s="29" t="s">
        <v>720</v>
      </c>
      <c r="N7" s="29" t="s">
        <v>75</v>
      </c>
      <c r="O7" s="9"/>
      <c r="P7" s="28" t="s">
        <v>76</v>
      </c>
      <c r="Q7" s="28"/>
      <c r="R7" s="29"/>
      <c r="S7" s="28"/>
      <c r="T7" s="28"/>
      <c r="U7" s="9" t="s">
        <v>75</v>
      </c>
      <c r="V7" s="9" t="s">
        <v>75</v>
      </c>
      <c r="W7" s="28"/>
    </row>
    <row r="8" spans="1:23" s="12" customFormat="1">
      <c r="A8" s="46" t="s">
        <v>572</v>
      </c>
      <c r="B8" s="28" t="s">
        <v>1335</v>
      </c>
      <c r="C8" s="28" t="s">
        <v>2330</v>
      </c>
      <c r="D8" s="28" t="s">
        <v>2429</v>
      </c>
      <c r="E8" s="28" t="s">
        <v>105</v>
      </c>
      <c r="F8" s="28" t="s">
        <v>382</v>
      </c>
      <c r="G8" s="28" t="s">
        <v>382</v>
      </c>
      <c r="H8" s="28" t="s">
        <v>2331</v>
      </c>
      <c r="I8" s="28" t="str">
        <f>VLOOKUP(E8,표준용어사전!$C$2:$D$494, 2, FALSE)</f>
        <v>명V80</v>
      </c>
      <c r="J8" s="28" t="s">
        <v>718</v>
      </c>
      <c r="K8" s="55">
        <v>80</v>
      </c>
      <c r="L8" s="55" t="s">
        <v>571</v>
      </c>
      <c r="M8" s="29" t="s">
        <v>1117</v>
      </c>
      <c r="N8" s="29" t="s">
        <v>75</v>
      </c>
      <c r="O8" s="9"/>
      <c r="P8" s="28" t="s">
        <v>76</v>
      </c>
      <c r="Q8" s="28"/>
      <c r="R8" s="29"/>
      <c r="S8" s="28"/>
      <c r="T8" s="28"/>
      <c r="U8" s="9" t="s">
        <v>75</v>
      </c>
      <c r="V8" s="9" t="s">
        <v>75</v>
      </c>
      <c r="W8" s="28"/>
    </row>
    <row r="9" spans="1:23" s="12" customFormat="1">
      <c r="A9" s="46" t="s">
        <v>572</v>
      </c>
      <c r="B9" s="28" t="s">
        <v>1335</v>
      </c>
      <c r="C9" s="28" t="s">
        <v>2330</v>
      </c>
      <c r="D9" s="28" t="s">
        <v>2429</v>
      </c>
      <c r="E9" s="28" t="s">
        <v>106</v>
      </c>
      <c r="F9" s="28" t="s">
        <v>383</v>
      </c>
      <c r="G9" s="28" t="s">
        <v>383</v>
      </c>
      <c r="H9" s="28" t="s">
        <v>2331</v>
      </c>
      <c r="I9" s="28" t="str">
        <f>VLOOKUP(E9,표준용어사전!$C$2:$D$494, 2, FALSE)</f>
        <v>명V256</v>
      </c>
      <c r="J9" s="28" t="s">
        <v>718</v>
      </c>
      <c r="K9" s="55">
        <v>256</v>
      </c>
      <c r="L9" s="55" t="s">
        <v>571</v>
      </c>
      <c r="M9" s="29" t="s">
        <v>730</v>
      </c>
      <c r="N9" s="29" t="s">
        <v>75</v>
      </c>
      <c r="O9" s="28"/>
      <c r="P9" s="28" t="s">
        <v>76</v>
      </c>
      <c r="Q9" s="28"/>
      <c r="R9" s="29"/>
      <c r="S9" s="28"/>
      <c r="T9" s="28"/>
      <c r="U9" s="28" t="s">
        <v>75</v>
      </c>
      <c r="V9" s="28" t="s">
        <v>75</v>
      </c>
      <c r="W9" s="28"/>
    </row>
    <row r="10" spans="1:23" s="12" customFormat="1">
      <c r="A10" s="46" t="s">
        <v>572</v>
      </c>
      <c r="B10" s="28" t="s">
        <v>1335</v>
      </c>
      <c r="C10" s="28" t="s">
        <v>2330</v>
      </c>
      <c r="D10" s="28" t="s">
        <v>2429</v>
      </c>
      <c r="E10" s="28" t="s">
        <v>891</v>
      </c>
      <c r="F10" s="28" t="s">
        <v>817</v>
      </c>
      <c r="G10" s="28" t="s">
        <v>817</v>
      </c>
      <c r="H10" s="28" t="s">
        <v>2331</v>
      </c>
      <c r="I10" s="28" t="str">
        <f>VLOOKUP(E10,표준용어사전!$C$2:$D$494, 2, FALSE)</f>
        <v>명V256</v>
      </c>
      <c r="J10" s="28" t="s">
        <v>718</v>
      </c>
      <c r="K10" s="55">
        <v>256</v>
      </c>
      <c r="L10" s="55" t="s">
        <v>571</v>
      </c>
      <c r="M10" s="29" t="s">
        <v>730</v>
      </c>
      <c r="N10" s="29" t="s">
        <v>75</v>
      </c>
      <c r="O10" s="28"/>
      <c r="P10" s="28" t="s">
        <v>76</v>
      </c>
      <c r="Q10" s="28"/>
      <c r="R10" s="29"/>
      <c r="S10" s="28"/>
      <c r="T10" s="28"/>
      <c r="U10" s="9" t="s">
        <v>75</v>
      </c>
      <c r="V10" s="9" t="s">
        <v>75</v>
      </c>
      <c r="W10" s="28"/>
    </row>
    <row r="11" spans="1:23" s="12" customFormat="1">
      <c r="A11" s="46" t="s">
        <v>572</v>
      </c>
      <c r="B11" s="28" t="s">
        <v>1335</v>
      </c>
      <c r="C11" s="28" t="s">
        <v>2330</v>
      </c>
      <c r="D11" s="9" t="s">
        <v>2429</v>
      </c>
      <c r="E11" s="28" t="s">
        <v>2184</v>
      </c>
      <c r="F11" s="28" t="s">
        <v>384</v>
      </c>
      <c r="G11" s="28" t="s">
        <v>384</v>
      </c>
      <c r="H11" s="28" t="s">
        <v>2331</v>
      </c>
      <c r="I11" s="28" t="str">
        <f>VLOOKUP(E11,표준용어사전!$C$2:$D$494, 2, FALSE)</f>
        <v>여부C1</v>
      </c>
      <c r="J11" s="28" t="s">
        <v>709</v>
      </c>
      <c r="K11" s="55">
        <v>1</v>
      </c>
      <c r="L11" s="55" t="s">
        <v>571</v>
      </c>
      <c r="M11" s="29" t="s">
        <v>722</v>
      </c>
      <c r="N11" s="10" t="s">
        <v>75</v>
      </c>
      <c r="O11" s="9"/>
      <c r="P11" s="9" t="s">
        <v>76</v>
      </c>
      <c r="Q11" s="28"/>
      <c r="R11" s="29"/>
      <c r="S11" s="9"/>
      <c r="T11" s="9"/>
      <c r="U11" s="9" t="s">
        <v>75</v>
      </c>
      <c r="V11" s="9" t="s">
        <v>75</v>
      </c>
      <c r="W11" s="9"/>
    </row>
    <row r="12" spans="1:23" s="12" customFormat="1">
      <c r="A12" s="46" t="s">
        <v>572</v>
      </c>
      <c r="B12" s="28" t="s">
        <v>1335</v>
      </c>
      <c r="C12" s="28" t="s">
        <v>2330</v>
      </c>
      <c r="D12" s="9" t="s">
        <v>2429</v>
      </c>
      <c r="E12" s="28" t="s">
        <v>108</v>
      </c>
      <c r="F12" s="28" t="s">
        <v>385</v>
      </c>
      <c r="G12" s="28" t="s">
        <v>385</v>
      </c>
      <c r="H12" s="28" t="s">
        <v>2331</v>
      </c>
      <c r="I12" s="28" t="str">
        <f>VLOOKUP(E12,표준용어사전!$C$2:$D$494, 2, FALSE)</f>
        <v>여부C1</v>
      </c>
      <c r="J12" s="28" t="s">
        <v>709</v>
      </c>
      <c r="K12" s="55">
        <v>1</v>
      </c>
      <c r="L12" s="55" t="s">
        <v>571</v>
      </c>
      <c r="M12" s="29" t="s">
        <v>722</v>
      </c>
      <c r="N12" s="29" t="s">
        <v>75</v>
      </c>
      <c r="O12" s="9"/>
      <c r="P12" s="9" t="s">
        <v>76</v>
      </c>
      <c r="Q12" s="28"/>
      <c r="R12" s="29"/>
      <c r="S12" s="9"/>
      <c r="T12" s="9"/>
      <c r="U12" s="9" t="s">
        <v>75</v>
      </c>
      <c r="V12" s="9" t="s">
        <v>75</v>
      </c>
      <c r="W12" s="9"/>
    </row>
    <row r="13" spans="1:23" s="12" customFormat="1">
      <c r="A13" s="46" t="s">
        <v>572</v>
      </c>
      <c r="B13" s="28" t="s">
        <v>1335</v>
      </c>
      <c r="C13" s="28" t="s">
        <v>2330</v>
      </c>
      <c r="D13" s="9" t="s">
        <v>2429</v>
      </c>
      <c r="E13" s="28" t="s">
        <v>2185</v>
      </c>
      <c r="F13" s="28" t="s">
        <v>85</v>
      </c>
      <c r="G13" s="28" t="s">
        <v>85</v>
      </c>
      <c r="H13" s="28" t="s">
        <v>2331</v>
      </c>
      <c r="I13" s="28" t="str">
        <f>VLOOKUP(E13,표준용어사전!$C$2:$D$494, 2, FALSE)</f>
        <v>학명V256</v>
      </c>
      <c r="J13" s="28" t="s">
        <v>718</v>
      </c>
      <c r="K13" s="55">
        <v>256</v>
      </c>
      <c r="L13" s="55" t="s">
        <v>571</v>
      </c>
      <c r="M13" s="29" t="s">
        <v>730</v>
      </c>
      <c r="N13" s="10" t="s">
        <v>75</v>
      </c>
      <c r="O13" s="9"/>
      <c r="P13" s="9" t="s">
        <v>76</v>
      </c>
      <c r="Q13" s="28"/>
      <c r="R13" s="29"/>
      <c r="S13" s="9"/>
      <c r="T13" s="9"/>
      <c r="U13" s="9" t="s">
        <v>75</v>
      </c>
      <c r="V13" s="9" t="s">
        <v>75</v>
      </c>
      <c r="W13" s="9"/>
    </row>
    <row r="14" spans="1:23" s="12" customFormat="1">
      <c r="A14" s="46" t="s">
        <v>572</v>
      </c>
      <c r="B14" s="28" t="s">
        <v>1335</v>
      </c>
      <c r="C14" s="28" t="s">
        <v>2330</v>
      </c>
      <c r="D14" s="9" t="s">
        <v>2429</v>
      </c>
      <c r="E14" s="28" t="s">
        <v>110</v>
      </c>
      <c r="F14" s="28" t="s">
        <v>87</v>
      </c>
      <c r="G14" s="28" t="s">
        <v>87</v>
      </c>
      <c r="H14" s="28" t="s">
        <v>2331</v>
      </c>
      <c r="I14" s="28" t="str">
        <f>VLOOKUP(E14,표준용어사전!$C$2:$D$494, 2, FALSE)</f>
        <v>국명V256</v>
      </c>
      <c r="J14" s="28" t="s">
        <v>718</v>
      </c>
      <c r="K14" s="55">
        <v>256</v>
      </c>
      <c r="L14" s="55" t="s">
        <v>571</v>
      </c>
      <c r="M14" s="29" t="s">
        <v>730</v>
      </c>
      <c r="N14" s="10" t="s">
        <v>75</v>
      </c>
      <c r="O14" s="9"/>
      <c r="P14" s="9" t="s">
        <v>76</v>
      </c>
      <c r="Q14" s="28"/>
      <c r="R14" s="29"/>
      <c r="S14" s="9"/>
      <c r="T14" s="9"/>
      <c r="U14" s="9" t="s">
        <v>75</v>
      </c>
      <c r="V14" s="9" t="s">
        <v>75</v>
      </c>
      <c r="W14" s="9"/>
    </row>
    <row r="15" spans="1:23" s="12" customFormat="1">
      <c r="A15" s="46" t="s">
        <v>572</v>
      </c>
      <c r="B15" s="28" t="s">
        <v>1335</v>
      </c>
      <c r="C15" s="28" t="s">
        <v>2330</v>
      </c>
      <c r="D15" s="9" t="s">
        <v>2429</v>
      </c>
      <c r="E15" s="28" t="s">
        <v>111</v>
      </c>
      <c r="F15" s="28" t="s">
        <v>386</v>
      </c>
      <c r="G15" s="28" t="s">
        <v>386</v>
      </c>
      <c r="H15" s="28" t="s">
        <v>2331</v>
      </c>
      <c r="I15" s="28" t="str">
        <f>VLOOKUP(E15,표준용어사전!$C$2:$D$494, 2, FALSE)</f>
        <v>명V50</v>
      </c>
      <c r="J15" s="28" t="s">
        <v>718</v>
      </c>
      <c r="K15" s="55">
        <v>50</v>
      </c>
      <c r="L15" s="55" t="s">
        <v>571</v>
      </c>
      <c r="M15" s="29" t="s">
        <v>720</v>
      </c>
      <c r="N15" s="10" t="s">
        <v>75</v>
      </c>
      <c r="O15" s="9"/>
      <c r="P15" s="9" t="s">
        <v>76</v>
      </c>
      <c r="Q15" s="28"/>
      <c r="R15" s="29"/>
      <c r="S15" s="9"/>
      <c r="T15" s="9"/>
      <c r="U15" s="9" t="s">
        <v>75</v>
      </c>
      <c r="V15" s="9" t="s">
        <v>75</v>
      </c>
      <c r="W15" s="9"/>
    </row>
    <row r="16" spans="1:23" s="12" customFormat="1">
      <c r="A16" s="46" t="s">
        <v>572</v>
      </c>
      <c r="B16" s="28" t="s">
        <v>1335</v>
      </c>
      <c r="C16" s="28" t="s">
        <v>2330</v>
      </c>
      <c r="D16" s="9" t="s">
        <v>2429</v>
      </c>
      <c r="E16" s="28" t="s">
        <v>2187</v>
      </c>
      <c r="F16" s="28" t="s">
        <v>46</v>
      </c>
      <c r="G16" s="28" t="s">
        <v>46</v>
      </c>
      <c r="H16" s="28" t="s">
        <v>2331</v>
      </c>
      <c r="I16" s="28" t="str">
        <f>VLOOKUP(E16,표준용어사전!$C$2:$D$494, 2, FALSE)</f>
        <v>학명V256</v>
      </c>
      <c r="J16" s="28" t="s">
        <v>718</v>
      </c>
      <c r="K16" s="55">
        <v>256</v>
      </c>
      <c r="L16" s="55" t="s">
        <v>571</v>
      </c>
      <c r="M16" s="29" t="s">
        <v>730</v>
      </c>
      <c r="N16" s="10" t="s">
        <v>75</v>
      </c>
      <c r="O16" s="9"/>
      <c r="P16" s="9" t="s">
        <v>76</v>
      </c>
      <c r="Q16" s="28"/>
      <c r="R16" s="29"/>
      <c r="S16" s="9"/>
      <c r="T16" s="9"/>
      <c r="U16" s="9" t="s">
        <v>75</v>
      </c>
      <c r="V16" s="9" t="s">
        <v>75</v>
      </c>
      <c r="W16" s="9"/>
    </row>
    <row r="17" spans="1:23" s="12" customFormat="1">
      <c r="A17" s="46" t="s">
        <v>572</v>
      </c>
      <c r="B17" s="28" t="s">
        <v>1335</v>
      </c>
      <c r="C17" s="28" t="s">
        <v>2330</v>
      </c>
      <c r="D17" s="9" t="s">
        <v>2429</v>
      </c>
      <c r="E17" s="28" t="s">
        <v>113</v>
      </c>
      <c r="F17" s="28" t="s">
        <v>45</v>
      </c>
      <c r="G17" s="28" t="s">
        <v>45</v>
      </c>
      <c r="H17" s="28" t="s">
        <v>2331</v>
      </c>
      <c r="I17" s="28" t="str">
        <f>VLOOKUP(E17,표준용어사전!$C$2:$D$494, 2, FALSE)</f>
        <v>국명V256</v>
      </c>
      <c r="J17" s="28" t="s">
        <v>718</v>
      </c>
      <c r="K17" s="55">
        <v>256</v>
      </c>
      <c r="L17" s="55" t="s">
        <v>571</v>
      </c>
      <c r="M17" s="29" t="s">
        <v>730</v>
      </c>
      <c r="N17" s="10" t="s">
        <v>75</v>
      </c>
      <c r="O17" s="9"/>
      <c r="P17" s="9" t="s">
        <v>76</v>
      </c>
      <c r="Q17" s="28"/>
      <c r="R17" s="29"/>
      <c r="S17" s="9"/>
      <c r="T17" s="9"/>
      <c r="U17" s="9" t="s">
        <v>75</v>
      </c>
      <c r="V17" s="9" t="s">
        <v>75</v>
      </c>
      <c r="W17" s="9"/>
    </row>
    <row r="18" spans="1:23" s="12" customFormat="1">
      <c r="A18" s="46" t="s">
        <v>572</v>
      </c>
      <c r="B18" s="28" t="s">
        <v>1335</v>
      </c>
      <c r="C18" s="28" t="s">
        <v>2330</v>
      </c>
      <c r="D18" s="9" t="s">
        <v>2429</v>
      </c>
      <c r="E18" s="28" t="s">
        <v>114</v>
      </c>
      <c r="F18" s="28" t="s">
        <v>387</v>
      </c>
      <c r="G18" s="28" t="s">
        <v>387</v>
      </c>
      <c r="H18" s="28" t="s">
        <v>2331</v>
      </c>
      <c r="I18" s="28" t="str">
        <f>VLOOKUP(E18,표준용어사전!$C$2:$D$494, 2, FALSE)</f>
        <v>명V50</v>
      </c>
      <c r="J18" s="28" t="s">
        <v>718</v>
      </c>
      <c r="K18" s="55">
        <v>50</v>
      </c>
      <c r="L18" s="55" t="s">
        <v>571</v>
      </c>
      <c r="M18" s="29" t="s">
        <v>720</v>
      </c>
      <c r="N18" s="29" t="s">
        <v>75</v>
      </c>
      <c r="O18" s="9"/>
      <c r="P18" s="9" t="s">
        <v>76</v>
      </c>
      <c r="Q18" s="28"/>
      <c r="R18" s="29"/>
      <c r="S18" s="9"/>
      <c r="T18" s="9"/>
      <c r="U18" s="9" t="s">
        <v>75</v>
      </c>
      <c r="V18" s="9" t="s">
        <v>75</v>
      </c>
      <c r="W18" s="9"/>
    </row>
    <row r="19" spans="1:23" s="12" customFormat="1">
      <c r="A19" s="46" t="s">
        <v>572</v>
      </c>
      <c r="B19" s="28" t="s">
        <v>1335</v>
      </c>
      <c r="C19" s="28" t="s">
        <v>2330</v>
      </c>
      <c r="D19" s="9" t="s">
        <v>2429</v>
      </c>
      <c r="E19" s="28" t="s">
        <v>2188</v>
      </c>
      <c r="F19" s="28" t="s">
        <v>50</v>
      </c>
      <c r="G19" s="28" t="s">
        <v>50</v>
      </c>
      <c r="H19" s="28" t="s">
        <v>2331</v>
      </c>
      <c r="I19" s="28" t="str">
        <f>VLOOKUP(E19,표준용어사전!$C$2:$D$494, 2, FALSE)</f>
        <v>학명V256</v>
      </c>
      <c r="J19" s="28" t="s">
        <v>718</v>
      </c>
      <c r="K19" s="55">
        <v>256</v>
      </c>
      <c r="L19" s="55" t="s">
        <v>571</v>
      </c>
      <c r="M19" s="29" t="s">
        <v>730</v>
      </c>
      <c r="N19" s="10" t="s">
        <v>75</v>
      </c>
      <c r="O19" s="9"/>
      <c r="P19" s="9" t="s">
        <v>76</v>
      </c>
      <c r="Q19" s="28"/>
      <c r="R19" s="29"/>
      <c r="S19" s="9"/>
      <c r="T19" s="9"/>
      <c r="U19" s="9" t="s">
        <v>75</v>
      </c>
      <c r="V19" s="9" t="s">
        <v>75</v>
      </c>
      <c r="W19" s="9"/>
    </row>
    <row r="20" spans="1:23" s="12" customFormat="1">
      <c r="A20" s="46" t="s">
        <v>572</v>
      </c>
      <c r="B20" s="28" t="s">
        <v>1335</v>
      </c>
      <c r="C20" s="28" t="s">
        <v>2330</v>
      </c>
      <c r="D20" s="9" t="s">
        <v>2429</v>
      </c>
      <c r="E20" s="28" t="s">
        <v>47</v>
      </c>
      <c r="F20" s="28" t="s">
        <v>48</v>
      </c>
      <c r="G20" s="28" t="s">
        <v>48</v>
      </c>
      <c r="H20" s="28" t="s">
        <v>2331</v>
      </c>
      <c r="I20" s="28" t="str">
        <f>VLOOKUP(E20,표준용어사전!$C$2:$D$494, 2, FALSE)</f>
        <v>국명V256</v>
      </c>
      <c r="J20" s="28" t="s">
        <v>718</v>
      </c>
      <c r="K20" s="55">
        <v>256</v>
      </c>
      <c r="L20" s="55" t="s">
        <v>571</v>
      </c>
      <c r="M20" s="29" t="s">
        <v>730</v>
      </c>
      <c r="N20" s="10" t="s">
        <v>75</v>
      </c>
      <c r="O20" s="9"/>
      <c r="P20" s="9" t="s">
        <v>76</v>
      </c>
      <c r="Q20" s="28"/>
      <c r="R20" s="29"/>
      <c r="S20" s="9"/>
      <c r="T20" s="9"/>
      <c r="U20" s="9" t="s">
        <v>75</v>
      </c>
      <c r="V20" s="9" t="s">
        <v>75</v>
      </c>
      <c r="W20" s="9"/>
    </row>
    <row r="21" spans="1:23" s="12" customFormat="1">
      <c r="A21" s="46" t="s">
        <v>572</v>
      </c>
      <c r="B21" s="28" t="s">
        <v>1335</v>
      </c>
      <c r="C21" s="28" t="s">
        <v>2330</v>
      </c>
      <c r="D21" s="9" t="s">
        <v>2429</v>
      </c>
      <c r="E21" s="28" t="s">
        <v>81</v>
      </c>
      <c r="F21" s="28" t="s">
        <v>80</v>
      </c>
      <c r="G21" s="28" t="s">
        <v>80</v>
      </c>
      <c r="H21" s="28" t="s">
        <v>2331</v>
      </c>
      <c r="I21" s="28" t="str">
        <f>VLOOKUP(E21,표준용어사전!$C$2:$D$494, 2, FALSE)</f>
        <v>명V50</v>
      </c>
      <c r="J21" s="28" t="s">
        <v>718</v>
      </c>
      <c r="K21" s="55">
        <v>50</v>
      </c>
      <c r="L21" s="55" t="s">
        <v>571</v>
      </c>
      <c r="M21" s="29" t="s">
        <v>720</v>
      </c>
      <c r="N21" s="10" t="s">
        <v>75</v>
      </c>
      <c r="O21" s="9"/>
      <c r="P21" s="9" t="s">
        <v>76</v>
      </c>
      <c r="Q21" s="28"/>
      <c r="R21" s="29"/>
      <c r="S21" s="9"/>
      <c r="T21" s="9"/>
      <c r="U21" s="9" t="s">
        <v>75</v>
      </c>
      <c r="V21" s="9" t="s">
        <v>75</v>
      </c>
      <c r="W21" s="9"/>
    </row>
    <row r="22" spans="1:23" s="12" customFormat="1">
      <c r="A22" s="46" t="s">
        <v>572</v>
      </c>
      <c r="B22" s="28" t="s">
        <v>1335</v>
      </c>
      <c r="C22" s="28" t="s">
        <v>2330</v>
      </c>
      <c r="D22" s="9" t="s">
        <v>2429</v>
      </c>
      <c r="E22" s="28" t="s">
        <v>2189</v>
      </c>
      <c r="F22" s="28" t="s">
        <v>52</v>
      </c>
      <c r="G22" s="28" t="s">
        <v>52</v>
      </c>
      <c r="H22" s="28" t="s">
        <v>2331</v>
      </c>
      <c r="I22" s="28" t="str">
        <f>VLOOKUP(E22,표준용어사전!$C$2:$D$494, 2, FALSE)</f>
        <v>학명V256</v>
      </c>
      <c r="J22" s="28" t="s">
        <v>718</v>
      </c>
      <c r="K22" s="55">
        <v>256</v>
      </c>
      <c r="L22" s="55" t="s">
        <v>571</v>
      </c>
      <c r="M22" s="29" t="s">
        <v>730</v>
      </c>
      <c r="N22" s="10" t="s">
        <v>75</v>
      </c>
      <c r="O22" s="9"/>
      <c r="P22" s="9" t="s">
        <v>76</v>
      </c>
      <c r="Q22" s="28"/>
      <c r="R22" s="29"/>
      <c r="S22" s="9"/>
      <c r="T22" s="9"/>
      <c r="U22" s="9" t="s">
        <v>75</v>
      </c>
      <c r="V22" s="9" t="s">
        <v>75</v>
      </c>
      <c r="W22" s="9"/>
    </row>
    <row r="23" spans="1:23" s="12" customFormat="1">
      <c r="A23" s="46" t="s">
        <v>572</v>
      </c>
      <c r="B23" s="28" t="s">
        <v>1335</v>
      </c>
      <c r="C23" s="28" t="s">
        <v>2330</v>
      </c>
      <c r="D23" s="9" t="s">
        <v>2429</v>
      </c>
      <c r="E23" s="28" t="s">
        <v>116</v>
      </c>
      <c r="F23" s="28" t="s">
        <v>51</v>
      </c>
      <c r="G23" s="28" t="s">
        <v>51</v>
      </c>
      <c r="H23" s="28" t="s">
        <v>2331</v>
      </c>
      <c r="I23" s="28" t="str">
        <f>VLOOKUP(E23,표준용어사전!$C$2:$D$494, 2, FALSE)</f>
        <v>국명V256</v>
      </c>
      <c r="J23" s="28" t="s">
        <v>718</v>
      </c>
      <c r="K23" s="55">
        <v>256</v>
      </c>
      <c r="L23" s="55" t="s">
        <v>571</v>
      </c>
      <c r="M23" s="29" t="s">
        <v>730</v>
      </c>
      <c r="N23" s="10" t="s">
        <v>75</v>
      </c>
      <c r="O23" s="9"/>
      <c r="P23" s="9" t="s">
        <v>76</v>
      </c>
      <c r="Q23" s="28"/>
      <c r="R23" s="29"/>
      <c r="S23" s="9"/>
      <c r="T23" s="9"/>
      <c r="U23" s="9" t="s">
        <v>75</v>
      </c>
      <c r="V23" s="9" t="s">
        <v>75</v>
      </c>
      <c r="W23" s="9"/>
    </row>
    <row r="24" spans="1:23" s="12" customFormat="1">
      <c r="A24" s="46" t="s">
        <v>572</v>
      </c>
      <c r="B24" s="28" t="s">
        <v>1335</v>
      </c>
      <c r="C24" s="28" t="s">
        <v>2330</v>
      </c>
      <c r="D24" s="9" t="s">
        <v>2429</v>
      </c>
      <c r="E24" s="28" t="s">
        <v>117</v>
      </c>
      <c r="F24" s="28" t="s">
        <v>388</v>
      </c>
      <c r="G24" s="28" t="s">
        <v>388</v>
      </c>
      <c r="H24" s="28" t="s">
        <v>2331</v>
      </c>
      <c r="I24" s="28" t="str">
        <f>VLOOKUP(E24,표준용어사전!$C$2:$D$494, 2, FALSE)</f>
        <v>명V50</v>
      </c>
      <c r="J24" s="28" t="s">
        <v>718</v>
      </c>
      <c r="K24" s="55">
        <v>50</v>
      </c>
      <c r="L24" s="55" t="s">
        <v>571</v>
      </c>
      <c r="M24" s="29" t="s">
        <v>720</v>
      </c>
      <c r="N24" s="10" t="s">
        <v>75</v>
      </c>
      <c r="O24" s="9"/>
      <c r="P24" s="9" t="s">
        <v>76</v>
      </c>
      <c r="Q24" s="28"/>
      <c r="R24" s="29"/>
      <c r="S24" s="9"/>
      <c r="T24" s="9"/>
      <c r="U24" s="9" t="s">
        <v>75</v>
      </c>
      <c r="V24" s="9" t="s">
        <v>75</v>
      </c>
      <c r="W24" s="9"/>
    </row>
    <row r="25" spans="1:23" s="12" customFormat="1">
      <c r="A25" s="46" t="s">
        <v>572</v>
      </c>
      <c r="B25" s="28" t="s">
        <v>1335</v>
      </c>
      <c r="C25" s="28" t="s">
        <v>2330</v>
      </c>
      <c r="D25" s="9" t="s">
        <v>2429</v>
      </c>
      <c r="E25" s="28" t="s">
        <v>2190</v>
      </c>
      <c r="F25" s="28" t="s">
        <v>54</v>
      </c>
      <c r="G25" s="28" t="s">
        <v>54</v>
      </c>
      <c r="H25" s="28" t="s">
        <v>2331</v>
      </c>
      <c r="I25" s="28" t="str">
        <f>VLOOKUP(E25,표준용어사전!$C$2:$D$494, 2, FALSE)</f>
        <v>학명V256</v>
      </c>
      <c r="J25" s="28" t="s">
        <v>718</v>
      </c>
      <c r="K25" s="55">
        <v>256</v>
      </c>
      <c r="L25" s="55" t="s">
        <v>571</v>
      </c>
      <c r="M25" s="29" t="s">
        <v>730</v>
      </c>
      <c r="N25" s="10" t="s">
        <v>75</v>
      </c>
      <c r="O25" s="9"/>
      <c r="P25" s="9" t="s">
        <v>76</v>
      </c>
      <c r="Q25" s="28"/>
      <c r="R25" s="29"/>
      <c r="S25" s="9"/>
      <c r="T25" s="9"/>
      <c r="U25" s="9" t="s">
        <v>75</v>
      </c>
      <c r="V25" s="9" t="s">
        <v>75</v>
      </c>
      <c r="W25" s="9"/>
    </row>
    <row r="26" spans="1:23" s="12" customFormat="1">
      <c r="A26" s="46" t="s">
        <v>572</v>
      </c>
      <c r="B26" s="28" t="s">
        <v>1335</v>
      </c>
      <c r="C26" s="28" t="s">
        <v>2330</v>
      </c>
      <c r="D26" s="9" t="s">
        <v>2429</v>
      </c>
      <c r="E26" s="28" t="s">
        <v>119</v>
      </c>
      <c r="F26" s="28" t="s">
        <v>53</v>
      </c>
      <c r="G26" s="28" t="s">
        <v>53</v>
      </c>
      <c r="H26" s="28" t="s">
        <v>2331</v>
      </c>
      <c r="I26" s="28" t="str">
        <f>VLOOKUP(E26,표준용어사전!$C$2:$D$494, 2, FALSE)</f>
        <v>국명V256</v>
      </c>
      <c r="J26" s="28" t="s">
        <v>718</v>
      </c>
      <c r="K26" s="55">
        <v>256</v>
      </c>
      <c r="L26" s="55" t="s">
        <v>571</v>
      </c>
      <c r="M26" s="29" t="s">
        <v>730</v>
      </c>
      <c r="N26" s="29" t="s">
        <v>75</v>
      </c>
      <c r="O26" s="9"/>
      <c r="P26" s="9" t="s">
        <v>76</v>
      </c>
      <c r="Q26" s="28"/>
      <c r="R26" s="29"/>
      <c r="S26" s="9"/>
      <c r="T26" s="9"/>
      <c r="U26" s="9" t="s">
        <v>75</v>
      </c>
      <c r="V26" s="9" t="s">
        <v>75</v>
      </c>
      <c r="W26" s="9"/>
    </row>
    <row r="27" spans="1:23" s="12" customFormat="1">
      <c r="A27" s="46" t="s">
        <v>572</v>
      </c>
      <c r="B27" s="28" t="s">
        <v>1335</v>
      </c>
      <c r="C27" s="28" t="s">
        <v>2330</v>
      </c>
      <c r="D27" s="9" t="s">
        <v>2429</v>
      </c>
      <c r="E27" s="28" t="s">
        <v>120</v>
      </c>
      <c r="F27" s="28" t="s">
        <v>389</v>
      </c>
      <c r="G27" s="28" t="s">
        <v>389</v>
      </c>
      <c r="H27" s="28" t="s">
        <v>2331</v>
      </c>
      <c r="I27" s="28" t="str">
        <f>VLOOKUP(E27,표준용어사전!$C$2:$D$494, 2, FALSE)</f>
        <v>명V50</v>
      </c>
      <c r="J27" s="28" t="s">
        <v>718</v>
      </c>
      <c r="K27" s="55">
        <v>50</v>
      </c>
      <c r="L27" s="55" t="s">
        <v>571</v>
      </c>
      <c r="M27" s="29" t="s">
        <v>720</v>
      </c>
      <c r="N27" s="10" t="s">
        <v>75</v>
      </c>
      <c r="O27" s="9"/>
      <c r="P27" s="9" t="s">
        <v>76</v>
      </c>
      <c r="Q27" s="28"/>
      <c r="R27" s="29"/>
      <c r="S27" s="9"/>
      <c r="T27" s="9"/>
      <c r="U27" s="9" t="s">
        <v>75</v>
      </c>
      <c r="V27" s="9" t="s">
        <v>75</v>
      </c>
      <c r="W27" s="9"/>
    </row>
    <row r="28" spans="1:23" s="12" customFormat="1">
      <c r="A28" s="46" t="s">
        <v>572</v>
      </c>
      <c r="B28" s="28" t="s">
        <v>1335</v>
      </c>
      <c r="C28" s="28" t="s">
        <v>2330</v>
      </c>
      <c r="D28" s="9" t="s">
        <v>2429</v>
      </c>
      <c r="E28" s="28" t="s">
        <v>2191</v>
      </c>
      <c r="F28" s="28" t="s">
        <v>58</v>
      </c>
      <c r="G28" s="28" t="s">
        <v>58</v>
      </c>
      <c r="H28" s="28" t="s">
        <v>2331</v>
      </c>
      <c r="I28" s="28" t="str">
        <f>VLOOKUP(E28,표준용어사전!$C$2:$D$494, 2, FALSE)</f>
        <v>학명V256</v>
      </c>
      <c r="J28" s="28" t="s">
        <v>718</v>
      </c>
      <c r="K28" s="55">
        <v>256</v>
      </c>
      <c r="L28" s="55" t="s">
        <v>571</v>
      </c>
      <c r="M28" s="29" t="s">
        <v>730</v>
      </c>
      <c r="N28" s="10" t="s">
        <v>75</v>
      </c>
      <c r="O28" s="9"/>
      <c r="P28" s="9" t="s">
        <v>76</v>
      </c>
      <c r="Q28" s="28"/>
      <c r="R28" s="29"/>
      <c r="S28" s="9"/>
      <c r="T28" s="9"/>
      <c r="U28" s="9" t="s">
        <v>75</v>
      </c>
      <c r="V28" s="9" t="s">
        <v>75</v>
      </c>
      <c r="W28" s="9"/>
    </row>
    <row r="29" spans="1:23" s="12" customFormat="1">
      <c r="A29" s="46" t="s">
        <v>572</v>
      </c>
      <c r="B29" s="28" t="s">
        <v>1335</v>
      </c>
      <c r="C29" s="28" t="s">
        <v>2330</v>
      </c>
      <c r="D29" s="9" t="s">
        <v>2429</v>
      </c>
      <c r="E29" s="28" t="s">
        <v>55</v>
      </c>
      <c r="F29" s="28" t="s">
        <v>56</v>
      </c>
      <c r="G29" s="28" t="s">
        <v>56</v>
      </c>
      <c r="H29" s="28" t="s">
        <v>2331</v>
      </c>
      <c r="I29" s="28" t="str">
        <f>VLOOKUP(E29,표준용어사전!$C$2:$D$494, 2, FALSE)</f>
        <v>국명V256</v>
      </c>
      <c r="J29" s="28" t="s">
        <v>718</v>
      </c>
      <c r="K29" s="55">
        <v>256</v>
      </c>
      <c r="L29" s="55" t="s">
        <v>571</v>
      </c>
      <c r="M29" s="29" t="s">
        <v>730</v>
      </c>
      <c r="N29" s="10" t="s">
        <v>75</v>
      </c>
      <c r="O29" s="9"/>
      <c r="P29" s="9" t="s">
        <v>76</v>
      </c>
      <c r="Q29" s="28"/>
      <c r="R29" s="29"/>
      <c r="S29" s="9"/>
      <c r="T29" s="9"/>
      <c r="U29" s="9" t="s">
        <v>75</v>
      </c>
      <c r="V29" s="9" t="s">
        <v>75</v>
      </c>
      <c r="W29" s="9"/>
    </row>
    <row r="30" spans="1:23" s="12" customFormat="1">
      <c r="A30" s="46" t="s">
        <v>572</v>
      </c>
      <c r="B30" s="28" t="s">
        <v>1335</v>
      </c>
      <c r="C30" s="28" t="s">
        <v>2330</v>
      </c>
      <c r="D30" s="28" t="s">
        <v>2429</v>
      </c>
      <c r="E30" s="28" t="s">
        <v>121</v>
      </c>
      <c r="F30" s="28" t="s">
        <v>390</v>
      </c>
      <c r="G30" s="28" t="s">
        <v>390</v>
      </c>
      <c r="H30" s="28" t="s">
        <v>2331</v>
      </c>
      <c r="I30" s="28" t="str">
        <f>VLOOKUP(E30,표준용어사전!$C$2:$D$494, 2, FALSE)</f>
        <v>명V50</v>
      </c>
      <c r="J30" s="28" t="s">
        <v>718</v>
      </c>
      <c r="K30" s="55">
        <v>50</v>
      </c>
      <c r="L30" s="55" t="s">
        <v>571</v>
      </c>
      <c r="M30" s="29" t="s">
        <v>720</v>
      </c>
      <c r="N30" s="29" t="s">
        <v>75</v>
      </c>
      <c r="O30" s="28"/>
      <c r="P30" s="28" t="s">
        <v>76</v>
      </c>
      <c r="Q30" s="28"/>
      <c r="R30" s="29"/>
      <c r="S30" s="28"/>
      <c r="T30" s="28"/>
      <c r="U30" s="9" t="s">
        <v>75</v>
      </c>
      <c r="V30" s="9" t="s">
        <v>75</v>
      </c>
      <c r="W30" s="28"/>
    </row>
    <row r="31" spans="1:23" s="12" customFormat="1">
      <c r="A31" s="46" t="s">
        <v>572</v>
      </c>
      <c r="B31" s="28" t="s">
        <v>1335</v>
      </c>
      <c r="C31" s="28" t="s">
        <v>2330</v>
      </c>
      <c r="D31" s="9" t="s">
        <v>2429</v>
      </c>
      <c r="E31" s="28" t="s">
        <v>2179</v>
      </c>
      <c r="F31" s="28" t="s">
        <v>62</v>
      </c>
      <c r="G31" s="28" t="s">
        <v>62</v>
      </c>
      <c r="H31" s="28" t="s">
        <v>2331</v>
      </c>
      <c r="I31" s="28" t="str">
        <f>VLOOKUP(E31,표준용어사전!$C$2:$D$494, 2, FALSE)</f>
        <v>학명V256</v>
      </c>
      <c r="J31" s="28" t="s">
        <v>718</v>
      </c>
      <c r="K31" s="55">
        <v>256</v>
      </c>
      <c r="L31" s="55" t="s">
        <v>571</v>
      </c>
      <c r="M31" s="29" t="s">
        <v>730</v>
      </c>
      <c r="N31" s="10" t="s">
        <v>75</v>
      </c>
      <c r="O31" s="9"/>
      <c r="P31" s="9" t="s">
        <v>76</v>
      </c>
      <c r="Q31" s="28"/>
      <c r="R31" s="29"/>
      <c r="S31" s="9"/>
      <c r="T31" s="9"/>
      <c r="U31" s="9" t="s">
        <v>75</v>
      </c>
      <c r="V31" s="9" t="s">
        <v>75</v>
      </c>
      <c r="W31" s="9"/>
    </row>
    <row r="32" spans="1:23" s="12" customFormat="1">
      <c r="A32" s="46" t="s">
        <v>572</v>
      </c>
      <c r="B32" s="28" t="s">
        <v>1335</v>
      </c>
      <c r="C32" s="28" t="s">
        <v>2330</v>
      </c>
      <c r="D32" s="28" t="s">
        <v>2429</v>
      </c>
      <c r="E32" s="28" t="s">
        <v>59</v>
      </c>
      <c r="F32" s="28" t="s">
        <v>60</v>
      </c>
      <c r="G32" s="28" t="s">
        <v>60</v>
      </c>
      <c r="H32" s="28" t="s">
        <v>2331</v>
      </c>
      <c r="I32" s="28" t="str">
        <f>VLOOKUP(E32,표준용어사전!$C$2:$D$494, 2, FALSE)</f>
        <v>국명V256</v>
      </c>
      <c r="J32" s="28" t="s">
        <v>718</v>
      </c>
      <c r="K32" s="55">
        <v>256</v>
      </c>
      <c r="L32" s="55" t="s">
        <v>571</v>
      </c>
      <c r="M32" s="29" t="s">
        <v>730</v>
      </c>
      <c r="N32" s="29" t="s">
        <v>75</v>
      </c>
      <c r="O32" s="28"/>
      <c r="P32" s="28" t="s">
        <v>76</v>
      </c>
      <c r="Q32" s="28"/>
      <c r="R32" s="29"/>
      <c r="S32" s="28"/>
      <c r="T32" s="28"/>
      <c r="U32" s="9" t="s">
        <v>75</v>
      </c>
      <c r="V32" s="9" t="s">
        <v>75</v>
      </c>
      <c r="W32" s="28"/>
    </row>
    <row r="33" spans="1:23" s="12" customFormat="1">
      <c r="A33" s="46" t="s">
        <v>572</v>
      </c>
      <c r="B33" s="28" t="s">
        <v>1335</v>
      </c>
      <c r="C33" s="28" t="s">
        <v>2330</v>
      </c>
      <c r="D33" s="9" t="s">
        <v>2429</v>
      </c>
      <c r="E33" s="28" t="s">
        <v>122</v>
      </c>
      <c r="F33" s="28" t="s">
        <v>391</v>
      </c>
      <c r="G33" s="28" t="s">
        <v>391</v>
      </c>
      <c r="H33" s="28" t="s">
        <v>2331</v>
      </c>
      <c r="I33" s="28" t="str">
        <f>VLOOKUP(E33,표준용어사전!$C$2:$D$494, 2, FALSE)</f>
        <v>내용TXT</v>
      </c>
      <c r="J33" s="28" t="s">
        <v>713</v>
      </c>
      <c r="K33" s="29" t="s">
        <v>571</v>
      </c>
      <c r="L33" s="55" t="s">
        <v>571</v>
      </c>
      <c r="M33" s="29" t="s">
        <v>2590</v>
      </c>
      <c r="N33" s="29" t="s">
        <v>75</v>
      </c>
      <c r="O33" s="9"/>
      <c r="P33" s="9" t="s">
        <v>76</v>
      </c>
      <c r="Q33" s="28"/>
      <c r="R33" s="29"/>
      <c r="S33" s="9"/>
      <c r="T33" s="9"/>
      <c r="U33" s="9" t="s">
        <v>75</v>
      </c>
      <c r="V33" s="9" t="s">
        <v>75</v>
      </c>
      <c r="W33" s="9"/>
    </row>
    <row r="34" spans="1:23" s="12" customFormat="1">
      <c r="A34" s="46" t="s">
        <v>572</v>
      </c>
      <c r="B34" s="28" t="s">
        <v>1335</v>
      </c>
      <c r="C34" s="28" t="s">
        <v>2330</v>
      </c>
      <c r="D34" s="28" t="s">
        <v>2429</v>
      </c>
      <c r="E34" s="28" t="s">
        <v>2192</v>
      </c>
      <c r="F34" s="28" t="s">
        <v>818</v>
      </c>
      <c r="G34" s="28" t="s">
        <v>818</v>
      </c>
      <c r="H34" s="28" t="s">
        <v>2331</v>
      </c>
      <c r="I34" s="28" t="str">
        <f>VLOOKUP(E34,표준용어사전!$C$2:$D$494, 2, FALSE)</f>
        <v>여부C1</v>
      </c>
      <c r="J34" s="28" t="s">
        <v>709</v>
      </c>
      <c r="K34" s="29">
        <v>1</v>
      </c>
      <c r="L34" s="55" t="s">
        <v>571</v>
      </c>
      <c r="M34" s="29" t="s">
        <v>722</v>
      </c>
      <c r="N34" s="29" t="s">
        <v>75</v>
      </c>
      <c r="O34" s="28"/>
      <c r="P34" s="28" t="s">
        <v>76</v>
      </c>
      <c r="Q34" s="28"/>
      <c r="R34" s="29"/>
      <c r="S34" s="28"/>
      <c r="T34" s="9"/>
      <c r="U34" s="9" t="s">
        <v>75</v>
      </c>
      <c r="V34" s="9" t="s">
        <v>75</v>
      </c>
      <c r="W34" s="28"/>
    </row>
    <row r="35" spans="1:23" s="12" customFormat="1">
      <c r="A35" s="46" t="s">
        <v>572</v>
      </c>
      <c r="B35" s="28" t="s">
        <v>1335</v>
      </c>
      <c r="C35" s="28" t="s">
        <v>2330</v>
      </c>
      <c r="D35" s="28" t="s">
        <v>2429</v>
      </c>
      <c r="E35" s="28" t="s">
        <v>90</v>
      </c>
      <c r="F35" s="28" t="s">
        <v>14</v>
      </c>
      <c r="G35" s="28" t="s">
        <v>14</v>
      </c>
      <c r="H35" s="28" t="s">
        <v>2331</v>
      </c>
      <c r="I35" s="28" t="str">
        <f>VLOOKUP(E35,표준용어사전!$C$2:$D$494, 2, FALSE)</f>
        <v>연월일시분초TS</v>
      </c>
      <c r="J35" s="28" t="s">
        <v>719</v>
      </c>
      <c r="K35" s="29" t="s">
        <v>571</v>
      </c>
      <c r="L35" s="55" t="s">
        <v>571</v>
      </c>
      <c r="M35" s="29" t="s">
        <v>726</v>
      </c>
      <c r="N35" s="29" t="s">
        <v>973</v>
      </c>
      <c r="O35" s="28"/>
      <c r="P35" s="28" t="s">
        <v>76</v>
      </c>
      <c r="Q35" s="28"/>
      <c r="R35" s="29"/>
      <c r="S35" s="28"/>
      <c r="T35" s="9"/>
      <c r="U35" s="9" t="s">
        <v>75</v>
      </c>
      <c r="V35" s="9" t="s">
        <v>75</v>
      </c>
      <c r="W35" s="28"/>
    </row>
    <row r="36" spans="1:23" s="12" customFormat="1">
      <c r="A36" s="46" t="s">
        <v>572</v>
      </c>
      <c r="B36" s="28" t="s">
        <v>1335</v>
      </c>
      <c r="C36" s="28" t="s">
        <v>2330</v>
      </c>
      <c r="D36" s="28" t="s">
        <v>2429</v>
      </c>
      <c r="E36" s="28" t="s">
        <v>91</v>
      </c>
      <c r="F36" s="28" t="s">
        <v>369</v>
      </c>
      <c r="G36" s="28" t="s">
        <v>369</v>
      </c>
      <c r="H36" s="28" t="s">
        <v>2331</v>
      </c>
      <c r="I36" s="28" t="str">
        <f>VLOOKUP(E36,표준용어사전!$C$2:$D$494, 2, FALSE)</f>
        <v>명V20</v>
      </c>
      <c r="J36" s="28" t="s">
        <v>718</v>
      </c>
      <c r="K36" s="29" t="s">
        <v>986</v>
      </c>
      <c r="L36" s="55" t="s">
        <v>571</v>
      </c>
      <c r="M36" s="29" t="s">
        <v>727</v>
      </c>
      <c r="N36" s="29" t="s">
        <v>75</v>
      </c>
      <c r="O36" s="28"/>
      <c r="P36" s="28" t="s">
        <v>76</v>
      </c>
      <c r="Q36" s="28"/>
      <c r="R36" s="29"/>
      <c r="S36" s="28"/>
      <c r="T36" s="28"/>
      <c r="U36" s="9" t="s">
        <v>75</v>
      </c>
      <c r="V36" s="9" t="s">
        <v>75</v>
      </c>
      <c r="W36" s="28"/>
    </row>
    <row r="37" spans="1:23" s="12" customFormat="1">
      <c r="A37" s="46" t="s">
        <v>572</v>
      </c>
      <c r="B37" s="28" t="s">
        <v>1335</v>
      </c>
      <c r="C37" s="28" t="s">
        <v>2330</v>
      </c>
      <c r="D37" s="28" t="s">
        <v>2429</v>
      </c>
      <c r="E37" s="28" t="s">
        <v>92</v>
      </c>
      <c r="F37" s="28" t="s">
        <v>15</v>
      </c>
      <c r="G37" s="28" t="s">
        <v>15</v>
      </c>
      <c r="H37" s="28" t="s">
        <v>2331</v>
      </c>
      <c r="I37" s="28" t="str">
        <f>VLOOKUP(E37,표준용어사전!$C$2:$D$494, 2, FALSE)</f>
        <v>연월일시분초TS</v>
      </c>
      <c r="J37" s="28" t="s">
        <v>719</v>
      </c>
      <c r="K37" s="29" t="s">
        <v>571</v>
      </c>
      <c r="L37" s="55" t="s">
        <v>571</v>
      </c>
      <c r="M37" s="29" t="s">
        <v>726</v>
      </c>
      <c r="N37" s="29" t="s">
        <v>75</v>
      </c>
      <c r="O37" s="28"/>
      <c r="P37" s="28" t="s">
        <v>76</v>
      </c>
      <c r="Q37" s="28"/>
      <c r="R37" s="29"/>
      <c r="S37" s="28"/>
      <c r="T37" s="28"/>
      <c r="U37" s="9" t="s">
        <v>75</v>
      </c>
      <c r="V37" s="9" t="s">
        <v>75</v>
      </c>
      <c r="W37" s="28"/>
    </row>
    <row r="38" spans="1:23" s="12" customFormat="1">
      <c r="A38" s="46" t="s">
        <v>572</v>
      </c>
      <c r="B38" s="28" t="s">
        <v>1335</v>
      </c>
      <c r="C38" s="28" t="s">
        <v>2330</v>
      </c>
      <c r="D38" s="28" t="s">
        <v>2429</v>
      </c>
      <c r="E38" s="28" t="s">
        <v>93</v>
      </c>
      <c r="F38" s="28" t="s">
        <v>370</v>
      </c>
      <c r="G38" s="28" t="s">
        <v>370</v>
      </c>
      <c r="H38" s="28" t="s">
        <v>2331</v>
      </c>
      <c r="I38" s="28" t="str">
        <f>VLOOKUP(E38,표준용어사전!$C$2:$D$494, 2, FALSE)</f>
        <v>명V20</v>
      </c>
      <c r="J38" s="28" t="s">
        <v>718</v>
      </c>
      <c r="K38" s="29" t="s">
        <v>986</v>
      </c>
      <c r="L38" s="55" t="s">
        <v>571</v>
      </c>
      <c r="M38" s="29" t="s">
        <v>727</v>
      </c>
      <c r="N38" s="29" t="s">
        <v>75</v>
      </c>
      <c r="O38" s="28"/>
      <c r="P38" s="28" t="s">
        <v>76</v>
      </c>
      <c r="Q38" s="28"/>
      <c r="R38" s="29"/>
      <c r="S38" s="28"/>
      <c r="T38" s="28"/>
      <c r="U38" s="9" t="s">
        <v>75</v>
      </c>
      <c r="V38" s="9" t="s">
        <v>75</v>
      </c>
      <c r="W38" s="28"/>
    </row>
    <row r="39" spans="1:23" s="12" customFormat="1">
      <c r="A39" s="46" t="s">
        <v>572</v>
      </c>
      <c r="B39" s="28" t="s">
        <v>1335</v>
      </c>
      <c r="C39" s="28" t="s">
        <v>2330</v>
      </c>
      <c r="D39" s="28" t="s">
        <v>691</v>
      </c>
      <c r="E39" s="28" t="s">
        <v>95</v>
      </c>
      <c r="F39" s="28" t="s">
        <v>374</v>
      </c>
      <c r="G39" s="28" t="s">
        <v>374</v>
      </c>
      <c r="H39" s="28" t="s">
        <v>96</v>
      </c>
      <c r="I39" s="28" t="str">
        <f>VLOOKUP(E39,표준용어사전!$C$2:$D$494, 2, FALSE)</f>
        <v>번호I</v>
      </c>
      <c r="J39" s="28" t="s">
        <v>717</v>
      </c>
      <c r="K39" s="29" t="s">
        <v>571</v>
      </c>
      <c r="L39" s="55" t="s">
        <v>571</v>
      </c>
      <c r="M39" s="29" t="s">
        <v>2591</v>
      </c>
      <c r="N39" s="29" t="s">
        <v>973</v>
      </c>
      <c r="O39" s="28" t="s">
        <v>73</v>
      </c>
      <c r="P39" s="28" t="s">
        <v>76</v>
      </c>
      <c r="Q39" s="28"/>
      <c r="R39" s="29"/>
      <c r="S39" s="28"/>
      <c r="T39" s="28"/>
      <c r="U39" s="9" t="s">
        <v>75</v>
      </c>
      <c r="V39" s="9" t="s">
        <v>75</v>
      </c>
      <c r="W39" s="28"/>
    </row>
    <row r="40" spans="1:23" s="12" customFormat="1">
      <c r="A40" s="46" t="s">
        <v>572</v>
      </c>
      <c r="B40" s="28" t="s">
        <v>1335</v>
      </c>
      <c r="C40" s="28" t="s">
        <v>2330</v>
      </c>
      <c r="D40" s="28" t="s">
        <v>691</v>
      </c>
      <c r="E40" s="28" t="s">
        <v>89</v>
      </c>
      <c r="F40" s="28" t="s">
        <v>501</v>
      </c>
      <c r="G40" s="28" t="s">
        <v>501</v>
      </c>
      <c r="H40" s="28" t="s">
        <v>96</v>
      </c>
      <c r="I40" s="28" t="str">
        <f>VLOOKUP(E40,표준용어사전!$C$2:$D$494, 2, FALSE)</f>
        <v>명V20</v>
      </c>
      <c r="J40" s="28" t="s">
        <v>718</v>
      </c>
      <c r="K40" s="29" t="s">
        <v>986</v>
      </c>
      <c r="L40" s="55" t="s">
        <v>571</v>
      </c>
      <c r="M40" s="29" t="s">
        <v>727</v>
      </c>
      <c r="N40" s="29" t="s">
        <v>973</v>
      </c>
      <c r="O40" s="28"/>
      <c r="P40" s="28" t="s">
        <v>76</v>
      </c>
      <c r="Q40" s="28"/>
      <c r="R40" s="29"/>
      <c r="S40" s="28"/>
      <c r="T40" s="28"/>
      <c r="U40" s="9" t="s">
        <v>75</v>
      </c>
      <c r="V40" s="9" t="s">
        <v>75</v>
      </c>
      <c r="W40" s="28"/>
    </row>
    <row r="41" spans="1:23" s="12" customFormat="1">
      <c r="A41" s="46" t="s">
        <v>572</v>
      </c>
      <c r="B41" s="28" t="s">
        <v>1335</v>
      </c>
      <c r="C41" s="28" t="s">
        <v>2330</v>
      </c>
      <c r="D41" s="28" t="s">
        <v>691</v>
      </c>
      <c r="E41" s="28" t="s">
        <v>97</v>
      </c>
      <c r="F41" s="28" t="s">
        <v>375</v>
      </c>
      <c r="G41" s="28" t="s">
        <v>375</v>
      </c>
      <c r="H41" s="28" t="s">
        <v>96</v>
      </c>
      <c r="I41" s="28" t="str">
        <f>VLOOKUP(E41,표준용어사전!$C$2:$D$494, 2, FALSE)</f>
        <v>코드V50</v>
      </c>
      <c r="J41" s="28" t="s">
        <v>718</v>
      </c>
      <c r="K41" s="29">
        <v>50</v>
      </c>
      <c r="L41" s="55" t="s">
        <v>571</v>
      </c>
      <c r="M41" s="29" t="s">
        <v>720</v>
      </c>
      <c r="N41" s="29" t="s">
        <v>75</v>
      </c>
      <c r="O41" s="28"/>
      <c r="P41" s="28" t="s">
        <v>76</v>
      </c>
      <c r="Q41" s="28"/>
      <c r="R41" s="29"/>
      <c r="S41" s="28"/>
      <c r="T41" s="28"/>
      <c r="U41" s="9" t="s">
        <v>75</v>
      </c>
      <c r="V41" s="9" t="s">
        <v>75</v>
      </c>
      <c r="W41" s="28"/>
    </row>
    <row r="42" spans="1:23" s="12" customFormat="1">
      <c r="A42" s="46" t="s">
        <v>572</v>
      </c>
      <c r="B42" s="28" t="s">
        <v>1335</v>
      </c>
      <c r="C42" s="28" t="s">
        <v>2330</v>
      </c>
      <c r="D42" s="28" t="s">
        <v>691</v>
      </c>
      <c r="E42" s="28" t="s">
        <v>2181</v>
      </c>
      <c r="F42" s="28" t="s">
        <v>376</v>
      </c>
      <c r="G42" s="28" t="s">
        <v>376</v>
      </c>
      <c r="H42" s="28" t="s">
        <v>96</v>
      </c>
      <c r="I42" s="28" t="str">
        <f>VLOOKUP(E42,표준용어사전!$C$2:$D$494, 2, FALSE)</f>
        <v>여부C1</v>
      </c>
      <c r="J42" s="28" t="s">
        <v>709</v>
      </c>
      <c r="K42" s="29">
        <v>1</v>
      </c>
      <c r="L42" s="55" t="s">
        <v>571</v>
      </c>
      <c r="M42" s="29" t="s">
        <v>722</v>
      </c>
      <c r="N42" s="29" t="s">
        <v>75</v>
      </c>
      <c r="O42" s="28"/>
      <c r="P42" s="28" t="s">
        <v>76</v>
      </c>
      <c r="Q42" s="28"/>
      <c r="R42" s="29"/>
      <c r="S42" s="28"/>
      <c r="T42" s="28"/>
      <c r="U42" s="9" t="s">
        <v>75</v>
      </c>
      <c r="V42" s="9" t="s">
        <v>75</v>
      </c>
      <c r="W42" s="28"/>
    </row>
    <row r="43" spans="1:23" s="12" customFormat="1">
      <c r="A43" s="46" t="s">
        <v>572</v>
      </c>
      <c r="B43" s="28" t="s">
        <v>1335</v>
      </c>
      <c r="C43" s="28" t="s">
        <v>2330</v>
      </c>
      <c r="D43" s="28" t="s">
        <v>691</v>
      </c>
      <c r="E43" s="28" t="s">
        <v>99</v>
      </c>
      <c r="F43" s="28" t="s">
        <v>377</v>
      </c>
      <c r="G43" s="28" t="s">
        <v>377</v>
      </c>
      <c r="H43" s="28" t="s">
        <v>96</v>
      </c>
      <c r="I43" s="28" t="str">
        <f>VLOOKUP(E43,표준용어사전!$C$2:$D$494, 2, FALSE)</f>
        <v>명V256</v>
      </c>
      <c r="J43" s="28" t="s">
        <v>718</v>
      </c>
      <c r="K43" s="29">
        <v>256</v>
      </c>
      <c r="L43" s="55" t="s">
        <v>571</v>
      </c>
      <c r="M43" s="29" t="s">
        <v>730</v>
      </c>
      <c r="N43" s="29" t="s">
        <v>75</v>
      </c>
      <c r="O43" s="28"/>
      <c r="P43" s="28" t="s">
        <v>76</v>
      </c>
      <c r="Q43" s="28"/>
      <c r="R43" s="29"/>
      <c r="S43" s="28"/>
      <c r="T43" s="28"/>
      <c r="U43" s="9" t="s">
        <v>75</v>
      </c>
      <c r="V43" s="9" t="s">
        <v>75</v>
      </c>
      <c r="W43" s="28"/>
    </row>
    <row r="44" spans="1:23" s="12" customFormat="1">
      <c r="A44" s="46" t="s">
        <v>572</v>
      </c>
      <c r="B44" s="28" t="s">
        <v>1335</v>
      </c>
      <c r="C44" s="28" t="s">
        <v>2330</v>
      </c>
      <c r="D44" s="28" t="s">
        <v>691</v>
      </c>
      <c r="E44" s="28" t="s">
        <v>90</v>
      </c>
      <c r="F44" s="28" t="s">
        <v>14</v>
      </c>
      <c r="G44" s="28" t="s">
        <v>14</v>
      </c>
      <c r="H44" s="28" t="s">
        <v>96</v>
      </c>
      <c r="I44" s="28" t="str">
        <f>VLOOKUP(E44,표준용어사전!$C$2:$D$494, 2, FALSE)</f>
        <v>연월일시분초TS</v>
      </c>
      <c r="J44" s="28" t="s">
        <v>719</v>
      </c>
      <c r="K44" s="29" t="s">
        <v>571</v>
      </c>
      <c r="L44" s="55" t="s">
        <v>571</v>
      </c>
      <c r="M44" s="29" t="s">
        <v>726</v>
      </c>
      <c r="N44" s="29" t="s">
        <v>973</v>
      </c>
      <c r="O44" s="28"/>
      <c r="P44" s="28" t="s">
        <v>76</v>
      </c>
      <c r="Q44" s="28"/>
      <c r="R44" s="29"/>
      <c r="S44" s="28"/>
      <c r="T44" s="28"/>
      <c r="U44" s="9" t="s">
        <v>75</v>
      </c>
      <c r="V44" s="9" t="s">
        <v>75</v>
      </c>
      <c r="W44" s="28"/>
    </row>
    <row r="45" spans="1:23" s="12" customFormat="1">
      <c r="A45" s="46" t="s">
        <v>572</v>
      </c>
      <c r="B45" s="28" t="s">
        <v>1335</v>
      </c>
      <c r="C45" s="28" t="s">
        <v>2330</v>
      </c>
      <c r="D45" s="9" t="s">
        <v>691</v>
      </c>
      <c r="E45" s="28" t="s">
        <v>91</v>
      </c>
      <c r="F45" s="28" t="s">
        <v>369</v>
      </c>
      <c r="G45" s="28" t="s">
        <v>369</v>
      </c>
      <c r="H45" s="28" t="s">
        <v>96</v>
      </c>
      <c r="I45" s="28" t="str">
        <f>VLOOKUP(E45,표준용어사전!$C$2:$D$494, 2, FALSE)</f>
        <v>명V20</v>
      </c>
      <c r="J45" s="28" t="s">
        <v>718</v>
      </c>
      <c r="K45" s="29" t="s">
        <v>986</v>
      </c>
      <c r="L45" s="55" t="s">
        <v>571</v>
      </c>
      <c r="M45" s="29" t="s">
        <v>727</v>
      </c>
      <c r="N45" s="10" t="s">
        <v>75</v>
      </c>
      <c r="O45" s="9"/>
      <c r="P45" s="9" t="s">
        <v>76</v>
      </c>
      <c r="Q45" s="28"/>
      <c r="R45" s="29"/>
      <c r="S45" s="9"/>
      <c r="T45" s="9"/>
      <c r="U45" s="9" t="s">
        <v>75</v>
      </c>
      <c r="V45" s="9" t="s">
        <v>75</v>
      </c>
      <c r="W45" s="9"/>
    </row>
    <row r="46" spans="1:23" s="12" customFormat="1">
      <c r="A46" s="46" t="s">
        <v>572</v>
      </c>
      <c r="B46" s="28" t="s">
        <v>1335</v>
      </c>
      <c r="C46" s="28" t="s">
        <v>2330</v>
      </c>
      <c r="D46" s="28" t="s">
        <v>691</v>
      </c>
      <c r="E46" s="28" t="s">
        <v>92</v>
      </c>
      <c r="F46" s="28" t="s">
        <v>15</v>
      </c>
      <c r="G46" s="28" t="s">
        <v>15</v>
      </c>
      <c r="H46" s="28" t="s">
        <v>96</v>
      </c>
      <c r="I46" s="28" t="str">
        <f>VLOOKUP(E46,표준용어사전!$C$2:$D$494, 2, FALSE)</f>
        <v>연월일시분초TS</v>
      </c>
      <c r="J46" s="28" t="s">
        <v>719</v>
      </c>
      <c r="K46" s="29" t="s">
        <v>571</v>
      </c>
      <c r="L46" s="55" t="s">
        <v>571</v>
      </c>
      <c r="M46" s="29" t="s">
        <v>726</v>
      </c>
      <c r="N46" s="29" t="s">
        <v>75</v>
      </c>
      <c r="O46" s="28"/>
      <c r="P46" s="28" t="s">
        <v>76</v>
      </c>
      <c r="Q46" s="28"/>
      <c r="R46" s="29"/>
      <c r="S46" s="28"/>
      <c r="T46" s="28"/>
      <c r="U46" s="9" t="s">
        <v>75</v>
      </c>
      <c r="V46" s="9" t="s">
        <v>75</v>
      </c>
      <c r="W46" s="28"/>
    </row>
    <row r="47" spans="1:23" s="12" customFormat="1">
      <c r="A47" s="46" t="s">
        <v>572</v>
      </c>
      <c r="B47" s="28" t="s">
        <v>1335</v>
      </c>
      <c r="C47" s="28" t="s">
        <v>2330</v>
      </c>
      <c r="D47" s="28" t="s">
        <v>691</v>
      </c>
      <c r="E47" s="28" t="s">
        <v>93</v>
      </c>
      <c r="F47" s="28" t="s">
        <v>370</v>
      </c>
      <c r="G47" s="28" t="s">
        <v>370</v>
      </c>
      <c r="H47" s="28" t="s">
        <v>96</v>
      </c>
      <c r="I47" s="28" t="str">
        <f>VLOOKUP(E47,표준용어사전!$C$2:$D$494, 2, FALSE)</f>
        <v>명V20</v>
      </c>
      <c r="J47" s="28" t="s">
        <v>718</v>
      </c>
      <c r="K47" s="29" t="s">
        <v>986</v>
      </c>
      <c r="L47" s="55" t="s">
        <v>571</v>
      </c>
      <c r="M47" s="29" t="s">
        <v>727</v>
      </c>
      <c r="N47" s="29" t="s">
        <v>75</v>
      </c>
      <c r="O47" s="28"/>
      <c r="P47" s="28" t="s">
        <v>76</v>
      </c>
      <c r="Q47" s="28"/>
      <c r="R47" s="29"/>
      <c r="S47" s="28"/>
      <c r="T47" s="28"/>
      <c r="U47" s="9" t="s">
        <v>75</v>
      </c>
      <c r="V47" s="9" t="s">
        <v>75</v>
      </c>
      <c r="W47" s="28"/>
    </row>
    <row r="48" spans="1:23" s="12" customFormat="1">
      <c r="A48" s="46" t="s">
        <v>572</v>
      </c>
      <c r="B48" s="28" t="s">
        <v>1335</v>
      </c>
      <c r="C48" s="28" t="s">
        <v>2330</v>
      </c>
      <c r="D48" s="9" t="s">
        <v>2430</v>
      </c>
      <c r="E48" s="28" t="s">
        <v>2178</v>
      </c>
      <c r="F48" s="28" t="s">
        <v>392</v>
      </c>
      <c r="G48" s="28" t="s">
        <v>392</v>
      </c>
      <c r="H48" s="28" t="s">
        <v>124</v>
      </c>
      <c r="I48" s="28" t="str">
        <f>VLOOKUP(E48,표준용어사전!$C$2:$D$494, 2, FALSE)</f>
        <v>번호I</v>
      </c>
      <c r="J48" s="28" t="s">
        <v>717</v>
      </c>
      <c r="K48" s="29" t="s">
        <v>571</v>
      </c>
      <c r="L48" s="55" t="s">
        <v>571</v>
      </c>
      <c r="M48" s="29" t="s">
        <v>2591</v>
      </c>
      <c r="N48" s="10" t="s">
        <v>973</v>
      </c>
      <c r="O48" s="9" t="s">
        <v>73</v>
      </c>
      <c r="P48" s="9" t="s">
        <v>76</v>
      </c>
      <c r="Q48" s="28"/>
      <c r="R48" s="29"/>
      <c r="S48" s="9"/>
      <c r="T48" s="9"/>
      <c r="U48" s="9" t="s">
        <v>75</v>
      </c>
      <c r="V48" s="9" t="s">
        <v>75</v>
      </c>
      <c r="W48" s="9"/>
    </row>
    <row r="49" spans="1:23" s="12" customFormat="1">
      <c r="A49" s="46" t="s">
        <v>572</v>
      </c>
      <c r="B49" s="28" t="s">
        <v>1335</v>
      </c>
      <c r="C49" s="28" t="s">
        <v>2330</v>
      </c>
      <c r="D49" s="9" t="s">
        <v>2430</v>
      </c>
      <c r="E49" s="28" t="s">
        <v>89</v>
      </c>
      <c r="F49" s="28" t="s">
        <v>501</v>
      </c>
      <c r="G49" s="28" t="s">
        <v>501</v>
      </c>
      <c r="H49" s="28" t="s">
        <v>124</v>
      </c>
      <c r="I49" s="28" t="str">
        <f>VLOOKUP(E49,표준용어사전!$C$2:$D$494, 2, FALSE)</f>
        <v>명V20</v>
      </c>
      <c r="J49" s="28" t="s">
        <v>718</v>
      </c>
      <c r="K49" s="29" t="s">
        <v>986</v>
      </c>
      <c r="L49" s="55" t="s">
        <v>571</v>
      </c>
      <c r="M49" s="29" t="s">
        <v>727</v>
      </c>
      <c r="N49" s="10" t="s">
        <v>973</v>
      </c>
      <c r="O49" s="9"/>
      <c r="P49" s="9" t="s">
        <v>76</v>
      </c>
      <c r="Q49" s="28"/>
      <c r="R49" s="29"/>
      <c r="S49" s="9"/>
      <c r="T49" s="9"/>
      <c r="U49" s="9" t="s">
        <v>75</v>
      </c>
      <c r="V49" s="9" t="s">
        <v>75</v>
      </c>
      <c r="W49" s="9"/>
    </row>
    <row r="50" spans="1:23" s="12" customFormat="1">
      <c r="A50" s="46" t="s">
        <v>572</v>
      </c>
      <c r="B50" s="28" t="s">
        <v>1335</v>
      </c>
      <c r="C50" s="28" t="s">
        <v>2330</v>
      </c>
      <c r="D50" s="28" t="s">
        <v>2430</v>
      </c>
      <c r="E50" s="28" t="s">
        <v>125</v>
      </c>
      <c r="F50" s="28" t="s">
        <v>393</v>
      </c>
      <c r="G50" s="28" t="s">
        <v>393</v>
      </c>
      <c r="H50" s="28" t="s">
        <v>124</v>
      </c>
      <c r="I50" s="28" t="str">
        <f>VLOOKUP(E50,표준용어사전!$C$2:$D$494, 2, FALSE)</f>
        <v>코드V50</v>
      </c>
      <c r="J50" s="28" t="s">
        <v>718</v>
      </c>
      <c r="K50" s="29">
        <v>50</v>
      </c>
      <c r="L50" s="55" t="s">
        <v>571</v>
      </c>
      <c r="M50" s="29" t="s">
        <v>720</v>
      </c>
      <c r="N50" s="29" t="s">
        <v>75</v>
      </c>
      <c r="O50" s="28"/>
      <c r="P50" s="28" t="s">
        <v>76</v>
      </c>
      <c r="Q50" s="28"/>
      <c r="R50" s="29"/>
      <c r="S50" s="28"/>
      <c r="T50" s="28"/>
      <c r="U50" s="9" t="s">
        <v>75</v>
      </c>
      <c r="V50" s="9" t="s">
        <v>75</v>
      </c>
      <c r="W50" s="28"/>
    </row>
    <row r="51" spans="1:23" s="12" customFormat="1">
      <c r="A51" s="46" t="s">
        <v>572</v>
      </c>
      <c r="B51" s="28" t="s">
        <v>1335</v>
      </c>
      <c r="C51" s="28" t="s">
        <v>2330</v>
      </c>
      <c r="D51" s="28" t="s">
        <v>2430</v>
      </c>
      <c r="E51" s="28" t="s">
        <v>2179</v>
      </c>
      <c r="F51" s="28" t="s">
        <v>62</v>
      </c>
      <c r="G51" s="28" t="s">
        <v>62</v>
      </c>
      <c r="H51" s="28" t="s">
        <v>124</v>
      </c>
      <c r="I51" s="28" t="str">
        <f>VLOOKUP(E51,표준용어사전!$C$2:$D$494, 2, FALSE)</f>
        <v>학명V256</v>
      </c>
      <c r="J51" s="28" t="s">
        <v>718</v>
      </c>
      <c r="K51" s="29">
        <v>256</v>
      </c>
      <c r="L51" s="55" t="s">
        <v>571</v>
      </c>
      <c r="M51" s="29" t="s">
        <v>730</v>
      </c>
      <c r="N51" s="29" t="s">
        <v>75</v>
      </c>
      <c r="O51" s="28"/>
      <c r="P51" s="28" t="s">
        <v>76</v>
      </c>
      <c r="Q51" s="28"/>
      <c r="R51" s="29"/>
      <c r="S51" s="28"/>
      <c r="T51" s="28"/>
      <c r="U51" s="9" t="s">
        <v>75</v>
      </c>
      <c r="V51" s="9" t="s">
        <v>75</v>
      </c>
      <c r="W51" s="28"/>
    </row>
    <row r="52" spans="1:23" s="12" customFormat="1">
      <c r="A52" s="46" t="s">
        <v>572</v>
      </c>
      <c r="B52" s="28" t="s">
        <v>1335</v>
      </c>
      <c r="C52" s="28" t="s">
        <v>2330</v>
      </c>
      <c r="D52" s="28" t="s">
        <v>2430</v>
      </c>
      <c r="E52" s="28" t="s">
        <v>90</v>
      </c>
      <c r="F52" s="28" t="s">
        <v>14</v>
      </c>
      <c r="G52" s="28" t="s">
        <v>14</v>
      </c>
      <c r="H52" s="28" t="s">
        <v>124</v>
      </c>
      <c r="I52" s="28" t="str">
        <f>VLOOKUP(E52,표준용어사전!$C$2:$D$494, 2, FALSE)</f>
        <v>연월일시분초TS</v>
      </c>
      <c r="J52" s="28" t="s">
        <v>719</v>
      </c>
      <c r="K52" s="29" t="s">
        <v>571</v>
      </c>
      <c r="L52" s="55" t="s">
        <v>571</v>
      </c>
      <c r="M52" s="29" t="s">
        <v>726</v>
      </c>
      <c r="N52" s="29" t="s">
        <v>973</v>
      </c>
      <c r="O52" s="28"/>
      <c r="P52" s="28" t="s">
        <v>76</v>
      </c>
      <c r="Q52" s="28"/>
      <c r="R52" s="29"/>
      <c r="S52" s="28"/>
      <c r="T52" s="28"/>
      <c r="U52" s="9" t="s">
        <v>75</v>
      </c>
      <c r="V52" s="9" t="s">
        <v>75</v>
      </c>
      <c r="W52" s="28"/>
    </row>
    <row r="53" spans="1:23" s="12" customFormat="1">
      <c r="A53" s="46" t="s">
        <v>572</v>
      </c>
      <c r="B53" s="28" t="s">
        <v>1335</v>
      </c>
      <c r="C53" s="28" t="s">
        <v>2330</v>
      </c>
      <c r="D53" s="28" t="s">
        <v>2430</v>
      </c>
      <c r="E53" s="28" t="s">
        <v>91</v>
      </c>
      <c r="F53" s="28" t="s">
        <v>369</v>
      </c>
      <c r="G53" s="28" t="s">
        <v>369</v>
      </c>
      <c r="H53" s="28" t="s">
        <v>124</v>
      </c>
      <c r="I53" s="28" t="str">
        <f>VLOOKUP(E53,표준용어사전!$C$2:$D$494, 2, FALSE)</f>
        <v>명V20</v>
      </c>
      <c r="J53" s="28" t="s">
        <v>718</v>
      </c>
      <c r="K53" s="29" t="s">
        <v>986</v>
      </c>
      <c r="L53" s="55" t="s">
        <v>571</v>
      </c>
      <c r="M53" s="29" t="s">
        <v>727</v>
      </c>
      <c r="N53" s="29" t="s">
        <v>75</v>
      </c>
      <c r="O53" s="28"/>
      <c r="P53" s="28" t="s">
        <v>76</v>
      </c>
      <c r="Q53" s="28"/>
      <c r="R53" s="29"/>
      <c r="S53" s="28"/>
      <c r="T53" s="28"/>
      <c r="U53" s="9" t="s">
        <v>75</v>
      </c>
      <c r="V53" s="9" t="s">
        <v>75</v>
      </c>
      <c r="W53" s="28"/>
    </row>
    <row r="54" spans="1:23" s="12" customFormat="1">
      <c r="A54" s="46" t="s">
        <v>572</v>
      </c>
      <c r="B54" s="28" t="s">
        <v>1335</v>
      </c>
      <c r="C54" s="28" t="s">
        <v>2330</v>
      </c>
      <c r="D54" s="28" t="s">
        <v>2430</v>
      </c>
      <c r="E54" s="28" t="s">
        <v>92</v>
      </c>
      <c r="F54" s="28" t="s">
        <v>15</v>
      </c>
      <c r="G54" s="28" t="s">
        <v>15</v>
      </c>
      <c r="H54" s="28" t="s">
        <v>124</v>
      </c>
      <c r="I54" s="28" t="str">
        <f>VLOOKUP(E54,표준용어사전!$C$2:$D$494, 2, FALSE)</f>
        <v>연월일시분초TS</v>
      </c>
      <c r="J54" s="28" t="s">
        <v>719</v>
      </c>
      <c r="K54" s="29" t="s">
        <v>571</v>
      </c>
      <c r="L54" s="55" t="s">
        <v>571</v>
      </c>
      <c r="M54" s="29" t="s">
        <v>726</v>
      </c>
      <c r="N54" s="29" t="s">
        <v>75</v>
      </c>
      <c r="O54" s="28"/>
      <c r="P54" s="28" t="s">
        <v>76</v>
      </c>
      <c r="Q54" s="28"/>
      <c r="R54" s="29"/>
      <c r="S54" s="28"/>
      <c r="T54" s="28"/>
      <c r="U54" s="9" t="s">
        <v>75</v>
      </c>
      <c r="V54" s="9" t="s">
        <v>75</v>
      </c>
      <c r="W54" s="28"/>
    </row>
    <row r="55" spans="1:23" s="12" customFormat="1">
      <c r="A55" s="46" t="s">
        <v>572</v>
      </c>
      <c r="B55" s="28" t="s">
        <v>1335</v>
      </c>
      <c r="C55" s="28" t="s">
        <v>2330</v>
      </c>
      <c r="D55" s="9" t="s">
        <v>2430</v>
      </c>
      <c r="E55" s="28" t="s">
        <v>93</v>
      </c>
      <c r="F55" s="28" t="s">
        <v>370</v>
      </c>
      <c r="G55" s="28" t="s">
        <v>370</v>
      </c>
      <c r="H55" s="28" t="s">
        <v>124</v>
      </c>
      <c r="I55" s="28" t="str">
        <f>VLOOKUP(E55,표준용어사전!$C$2:$D$494, 2, FALSE)</f>
        <v>명V20</v>
      </c>
      <c r="J55" s="28" t="s">
        <v>718</v>
      </c>
      <c r="K55" s="29" t="s">
        <v>986</v>
      </c>
      <c r="L55" s="55" t="s">
        <v>571</v>
      </c>
      <c r="M55" s="29" t="s">
        <v>727</v>
      </c>
      <c r="N55" s="10" t="s">
        <v>75</v>
      </c>
      <c r="O55" s="9"/>
      <c r="P55" s="9" t="s">
        <v>76</v>
      </c>
      <c r="Q55" s="28"/>
      <c r="R55" s="29"/>
      <c r="S55" s="9"/>
      <c r="T55" s="9"/>
      <c r="U55" s="9" t="s">
        <v>75</v>
      </c>
      <c r="V55" s="9" t="s">
        <v>75</v>
      </c>
      <c r="W55" s="9"/>
    </row>
    <row r="56" spans="1:23" s="12" customFormat="1">
      <c r="A56" s="46" t="s">
        <v>572</v>
      </c>
      <c r="B56" s="28" t="s">
        <v>1335</v>
      </c>
      <c r="C56" s="28" t="s">
        <v>2330</v>
      </c>
      <c r="D56" s="9" t="s">
        <v>2431</v>
      </c>
      <c r="E56" s="28" t="s">
        <v>2176</v>
      </c>
      <c r="F56" s="28" t="s">
        <v>815</v>
      </c>
      <c r="G56" s="28" t="s">
        <v>815</v>
      </c>
      <c r="H56" s="28" t="s">
        <v>126</v>
      </c>
      <c r="I56" s="28" t="str">
        <f>VLOOKUP(E56,표준용어사전!$C$2:$D$494, 2, FALSE)</f>
        <v>번호I</v>
      </c>
      <c r="J56" s="28" t="s">
        <v>717</v>
      </c>
      <c r="K56" s="29" t="s">
        <v>571</v>
      </c>
      <c r="L56" s="55" t="s">
        <v>571</v>
      </c>
      <c r="M56" s="29" t="s">
        <v>2591</v>
      </c>
      <c r="N56" s="29" t="s">
        <v>973</v>
      </c>
      <c r="O56" s="9" t="s">
        <v>73</v>
      </c>
      <c r="P56" s="9" t="s">
        <v>76</v>
      </c>
      <c r="Q56" s="28"/>
      <c r="R56" s="29"/>
      <c r="S56" s="9"/>
      <c r="T56" s="9"/>
      <c r="U56" s="9" t="s">
        <v>75</v>
      </c>
      <c r="V56" s="9" t="s">
        <v>75</v>
      </c>
      <c r="W56" s="9"/>
    </row>
    <row r="57" spans="1:23" s="12" customFormat="1">
      <c r="A57" s="46" t="s">
        <v>572</v>
      </c>
      <c r="B57" s="28" t="s">
        <v>1335</v>
      </c>
      <c r="C57" s="28" t="s">
        <v>2330</v>
      </c>
      <c r="D57" s="9" t="s">
        <v>2431</v>
      </c>
      <c r="E57" s="28" t="s">
        <v>89</v>
      </c>
      <c r="F57" s="28" t="s">
        <v>501</v>
      </c>
      <c r="G57" s="28" t="s">
        <v>501</v>
      </c>
      <c r="H57" s="28" t="s">
        <v>126</v>
      </c>
      <c r="I57" s="28" t="str">
        <f>VLOOKUP(E57,표준용어사전!$C$2:$D$494, 2, FALSE)</f>
        <v>명V20</v>
      </c>
      <c r="J57" s="28" t="s">
        <v>718</v>
      </c>
      <c r="K57" s="29" t="s">
        <v>986</v>
      </c>
      <c r="L57" s="55" t="s">
        <v>571</v>
      </c>
      <c r="M57" s="29" t="s">
        <v>727</v>
      </c>
      <c r="N57" s="10" t="s">
        <v>973</v>
      </c>
      <c r="O57" s="9"/>
      <c r="P57" s="9" t="s">
        <v>76</v>
      </c>
      <c r="Q57" s="28"/>
      <c r="R57" s="29"/>
      <c r="S57" s="9"/>
      <c r="T57" s="9"/>
      <c r="U57" s="9" t="s">
        <v>75</v>
      </c>
      <c r="V57" s="9" t="s">
        <v>75</v>
      </c>
      <c r="W57" s="9"/>
    </row>
    <row r="58" spans="1:23" s="12" customFormat="1">
      <c r="A58" s="46" t="s">
        <v>572</v>
      </c>
      <c r="B58" s="28" t="s">
        <v>1335</v>
      </c>
      <c r="C58" s="28" t="s">
        <v>2330</v>
      </c>
      <c r="D58" s="9" t="s">
        <v>2431</v>
      </c>
      <c r="E58" s="28" t="s">
        <v>125</v>
      </c>
      <c r="F58" s="28" t="s">
        <v>393</v>
      </c>
      <c r="G58" s="28" t="s">
        <v>393</v>
      </c>
      <c r="H58" s="28" t="s">
        <v>126</v>
      </c>
      <c r="I58" s="28" t="str">
        <f>VLOOKUP(E58,표준용어사전!$C$2:$D$494, 2, FALSE)</f>
        <v>코드V50</v>
      </c>
      <c r="J58" s="28" t="s">
        <v>718</v>
      </c>
      <c r="K58" s="29">
        <v>50</v>
      </c>
      <c r="L58" s="55" t="s">
        <v>571</v>
      </c>
      <c r="M58" s="29" t="s">
        <v>720</v>
      </c>
      <c r="N58" s="10" t="s">
        <v>75</v>
      </c>
      <c r="O58" s="9"/>
      <c r="P58" s="9" t="s">
        <v>76</v>
      </c>
      <c r="Q58" s="28"/>
      <c r="R58" s="29"/>
      <c r="S58" s="9"/>
      <c r="T58" s="9"/>
      <c r="U58" s="9" t="s">
        <v>75</v>
      </c>
      <c r="V58" s="9" t="s">
        <v>75</v>
      </c>
      <c r="W58" s="9"/>
    </row>
    <row r="59" spans="1:23" s="12" customFormat="1">
      <c r="A59" s="46" t="s">
        <v>572</v>
      </c>
      <c r="B59" s="28" t="s">
        <v>1335</v>
      </c>
      <c r="C59" s="28" t="s">
        <v>2330</v>
      </c>
      <c r="D59" s="9" t="s">
        <v>2431</v>
      </c>
      <c r="E59" s="28" t="s">
        <v>2177</v>
      </c>
      <c r="F59" s="28" t="s">
        <v>394</v>
      </c>
      <c r="G59" s="28" t="s">
        <v>394</v>
      </c>
      <c r="H59" s="28" t="s">
        <v>126</v>
      </c>
      <c r="I59" s="28" t="str">
        <f>VLOOKUP(E59,표준용어사전!$C$2:$D$494, 2, FALSE)</f>
        <v>명V512</v>
      </c>
      <c r="J59" s="28" t="s">
        <v>718</v>
      </c>
      <c r="K59" s="29">
        <v>512</v>
      </c>
      <c r="L59" s="55" t="s">
        <v>571</v>
      </c>
      <c r="M59" s="29" t="s">
        <v>721</v>
      </c>
      <c r="N59" s="29" t="s">
        <v>75</v>
      </c>
      <c r="O59" s="9"/>
      <c r="P59" s="9" t="s">
        <v>76</v>
      </c>
      <c r="Q59" s="28"/>
      <c r="R59" s="29"/>
      <c r="S59" s="9"/>
      <c r="T59" s="9"/>
      <c r="U59" s="9" t="s">
        <v>75</v>
      </c>
      <c r="V59" s="9" t="s">
        <v>75</v>
      </c>
      <c r="W59" s="9"/>
    </row>
    <row r="60" spans="1:23" s="12" customFormat="1">
      <c r="A60" s="46" t="s">
        <v>572</v>
      </c>
      <c r="B60" s="28" t="s">
        <v>1335</v>
      </c>
      <c r="C60" s="28" t="s">
        <v>2330</v>
      </c>
      <c r="D60" s="9" t="s">
        <v>2431</v>
      </c>
      <c r="E60" s="28" t="s">
        <v>90</v>
      </c>
      <c r="F60" s="28" t="s">
        <v>14</v>
      </c>
      <c r="G60" s="28" t="s">
        <v>14</v>
      </c>
      <c r="H60" s="28" t="s">
        <v>126</v>
      </c>
      <c r="I60" s="28" t="str">
        <f>VLOOKUP(E60,표준용어사전!$C$2:$D$494, 2, FALSE)</f>
        <v>연월일시분초TS</v>
      </c>
      <c r="J60" s="28" t="s">
        <v>719</v>
      </c>
      <c r="K60" s="29" t="s">
        <v>571</v>
      </c>
      <c r="L60" s="55" t="s">
        <v>571</v>
      </c>
      <c r="M60" s="29" t="s">
        <v>726</v>
      </c>
      <c r="N60" s="10" t="s">
        <v>973</v>
      </c>
      <c r="O60" s="9"/>
      <c r="P60" s="9" t="s">
        <v>76</v>
      </c>
      <c r="Q60" s="28"/>
      <c r="R60" s="29"/>
      <c r="S60" s="9"/>
      <c r="T60" s="9"/>
      <c r="U60" s="9" t="s">
        <v>75</v>
      </c>
      <c r="V60" s="9" t="s">
        <v>75</v>
      </c>
      <c r="W60" s="9"/>
    </row>
    <row r="61" spans="1:23" s="12" customFormat="1">
      <c r="A61" s="46" t="s">
        <v>572</v>
      </c>
      <c r="B61" s="28" t="s">
        <v>1335</v>
      </c>
      <c r="C61" s="28" t="s">
        <v>2330</v>
      </c>
      <c r="D61" s="9" t="s">
        <v>2431</v>
      </c>
      <c r="E61" s="28" t="s">
        <v>91</v>
      </c>
      <c r="F61" s="28" t="s">
        <v>369</v>
      </c>
      <c r="G61" s="28" t="s">
        <v>369</v>
      </c>
      <c r="H61" s="28" t="s">
        <v>126</v>
      </c>
      <c r="I61" s="28" t="str">
        <f>VLOOKUP(E61,표준용어사전!$C$2:$D$494, 2, FALSE)</f>
        <v>명V20</v>
      </c>
      <c r="J61" s="28" t="s">
        <v>718</v>
      </c>
      <c r="K61" s="29" t="s">
        <v>986</v>
      </c>
      <c r="L61" s="55" t="s">
        <v>571</v>
      </c>
      <c r="M61" s="29" t="s">
        <v>727</v>
      </c>
      <c r="N61" s="10" t="s">
        <v>75</v>
      </c>
      <c r="O61" s="9"/>
      <c r="P61" s="9" t="s">
        <v>76</v>
      </c>
      <c r="Q61" s="28"/>
      <c r="R61" s="29"/>
      <c r="S61" s="9"/>
      <c r="T61" s="9"/>
      <c r="U61" s="9" t="s">
        <v>75</v>
      </c>
      <c r="V61" s="9" t="s">
        <v>75</v>
      </c>
      <c r="W61" s="9"/>
    </row>
    <row r="62" spans="1:23" s="12" customFormat="1">
      <c r="A62" s="46" t="s">
        <v>572</v>
      </c>
      <c r="B62" s="28" t="s">
        <v>1335</v>
      </c>
      <c r="C62" s="28" t="s">
        <v>2330</v>
      </c>
      <c r="D62" s="9" t="s">
        <v>2431</v>
      </c>
      <c r="E62" s="28" t="s">
        <v>92</v>
      </c>
      <c r="F62" s="28" t="s">
        <v>15</v>
      </c>
      <c r="G62" s="28" t="s">
        <v>15</v>
      </c>
      <c r="H62" s="28" t="s">
        <v>126</v>
      </c>
      <c r="I62" s="28" t="str">
        <f>VLOOKUP(E62,표준용어사전!$C$2:$D$494, 2, FALSE)</f>
        <v>연월일시분초TS</v>
      </c>
      <c r="J62" s="28" t="s">
        <v>719</v>
      </c>
      <c r="K62" s="29" t="s">
        <v>571</v>
      </c>
      <c r="L62" s="55" t="s">
        <v>571</v>
      </c>
      <c r="M62" s="29" t="s">
        <v>726</v>
      </c>
      <c r="N62" s="10" t="s">
        <v>75</v>
      </c>
      <c r="O62" s="9"/>
      <c r="P62" s="9" t="s">
        <v>76</v>
      </c>
      <c r="Q62" s="28"/>
      <c r="R62" s="29"/>
      <c r="S62" s="9"/>
      <c r="T62" s="9"/>
      <c r="U62" s="9" t="s">
        <v>75</v>
      </c>
      <c r="V62" s="9" t="s">
        <v>75</v>
      </c>
      <c r="W62" s="9"/>
    </row>
    <row r="63" spans="1:23" s="12" customFormat="1">
      <c r="A63" s="46" t="s">
        <v>572</v>
      </c>
      <c r="B63" s="28" t="s">
        <v>1335</v>
      </c>
      <c r="C63" s="28" t="s">
        <v>2330</v>
      </c>
      <c r="D63" s="9" t="s">
        <v>2431</v>
      </c>
      <c r="E63" s="28" t="s">
        <v>93</v>
      </c>
      <c r="F63" s="28" t="s">
        <v>370</v>
      </c>
      <c r="G63" s="28" t="s">
        <v>370</v>
      </c>
      <c r="H63" s="28" t="s">
        <v>126</v>
      </c>
      <c r="I63" s="28" t="str">
        <f>VLOOKUP(E63,표준용어사전!$C$2:$D$494, 2, FALSE)</f>
        <v>명V20</v>
      </c>
      <c r="J63" s="28" t="s">
        <v>718</v>
      </c>
      <c r="K63" s="29" t="s">
        <v>986</v>
      </c>
      <c r="L63" s="55" t="s">
        <v>571</v>
      </c>
      <c r="M63" s="29" t="s">
        <v>727</v>
      </c>
      <c r="N63" s="10" t="s">
        <v>75</v>
      </c>
      <c r="O63" s="9"/>
      <c r="P63" s="9" t="s">
        <v>76</v>
      </c>
      <c r="Q63" s="28"/>
      <c r="R63" s="29"/>
      <c r="S63" s="9"/>
      <c r="T63" s="9"/>
      <c r="U63" s="9" t="s">
        <v>75</v>
      </c>
      <c r="V63" s="9" t="s">
        <v>75</v>
      </c>
      <c r="W63" s="9"/>
    </row>
    <row r="64" spans="1:23" s="12" customFormat="1">
      <c r="A64" s="46" t="s">
        <v>711</v>
      </c>
      <c r="B64" s="28" t="s">
        <v>1333</v>
      </c>
      <c r="C64" s="28" t="s">
        <v>2330</v>
      </c>
      <c r="D64" s="9" t="s">
        <v>690</v>
      </c>
      <c r="E64" s="28" t="s">
        <v>89</v>
      </c>
      <c r="F64" s="28" t="s">
        <v>501</v>
      </c>
      <c r="G64" s="28" t="s">
        <v>501</v>
      </c>
      <c r="H64" s="28" t="s">
        <v>1621</v>
      </c>
      <c r="I64" s="28" t="str">
        <f>VLOOKUP(E64,표준용어사전!$C$2:$D$494, 2, FALSE)</f>
        <v>명V20</v>
      </c>
      <c r="J64" s="28" t="s">
        <v>718</v>
      </c>
      <c r="K64" s="29" t="s">
        <v>986</v>
      </c>
      <c r="L64" s="55" t="s">
        <v>571</v>
      </c>
      <c r="M64" s="29" t="s">
        <v>727</v>
      </c>
      <c r="N64" s="29" t="s">
        <v>973</v>
      </c>
      <c r="O64" s="9" t="s">
        <v>73</v>
      </c>
      <c r="P64" s="9" t="s">
        <v>76</v>
      </c>
      <c r="Q64" s="28"/>
      <c r="R64" s="29"/>
      <c r="S64" s="9"/>
      <c r="T64" s="9"/>
      <c r="U64" s="9" t="s">
        <v>75</v>
      </c>
      <c r="V64" s="9" t="s">
        <v>75</v>
      </c>
      <c r="W64" s="9"/>
    </row>
    <row r="65" spans="1:23" s="12" customFormat="1">
      <c r="A65" s="46" t="s">
        <v>711</v>
      </c>
      <c r="B65" s="28" t="s">
        <v>1333</v>
      </c>
      <c r="C65" s="28" t="s">
        <v>2330</v>
      </c>
      <c r="D65" s="9" t="s">
        <v>690</v>
      </c>
      <c r="E65" s="28" t="s">
        <v>870</v>
      </c>
      <c r="F65" s="28" t="s">
        <v>796</v>
      </c>
      <c r="G65" s="28" t="s">
        <v>796</v>
      </c>
      <c r="H65" s="28" t="s">
        <v>1621</v>
      </c>
      <c r="I65" s="28" t="str">
        <f>VLOOKUP(E65,표준용어사전!$C$2:$D$494, 2, FALSE)</f>
        <v>여부C1</v>
      </c>
      <c r="J65" s="28" t="s">
        <v>709</v>
      </c>
      <c r="K65" s="29">
        <v>1</v>
      </c>
      <c r="L65" s="55" t="s">
        <v>571</v>
      </c>
      <c r="M65" s="29" t="s">
        <v>722</v>
      </c>
      <c r="N65" s="10" t="s">
        <v>75</v>
      </c>
      <c r="O65" s="9"/>
      <c r="P65" s="9" t="s">
        <v>76</v>
      </c>
      <c r="Q65" s="28"/>
      <c r="R65" s="29"/>
      <c r="S65" s="9"/>
      <c r="T65" s="9"/>
      <c r="U65" s="9" t="s">
        <v>75</v>
      </c>
      <c r="V65" s="9" t="s">
        <v>75</v>
      </c>
      <c r="W65" s="9"/>
    </row>
    <row r="66" spans="1:23" s="12" customFormat="1">
      <c r="A66" s="46" t="s">
        <v>711</v>
      </c>
      <c r="B66" s="28" t="s">
        <v>1333</v>
      </c>
      <c r="C66" s="28" t="s">
        <v>2330</v>
      </c>
      <c r="D66" s="9" t="s">
        <v>690</v>
      </c>
      <c r="E66" s="28" t="s">
        <v>2154</v>
      </c>
      <c r="F66" s="28" t="s">
        <v>797</v>
      </c>
      <c r="G66" s="28" t="s">
        <v>797</v>
      </c>
      <c r="H66" s="28" t="s">
        <v>1621</v>
      </c>
      <c r="I66" s="28" t="str">
        <f>VLOOKUP(E66,표준용어사전!$C$2:$D$494, 2, FALSE)</f>
        <v>연월일시분초TS</v>
      </c>
      <c r="J66" s="28" t="s">
        <v>719</v>
      </c>
      <c r="K66" s="29" t="s">
        <v>571</v>
      </c>
      <c r="L66" s="55" t="s">
        <v>571</v>
      </c>
      <c r="M66" s="29" t="s">
        <v>726</v>
      </c>
      <c r="N66" s="10" t="s">
        <v>75</v>
      </c>
      <c r="O66" s="9"/>
      <c r="P66" s="9" t="s">
        <v>76</v>
      </c>
      <c r="Q66" s="28"/>
      <c r="R66" s="29"/>
      <c r="S66" s="9"/>
      <c r="T66" s="9"/>
      <c r="U66" s="9" t="s">
        <v>75</v>
      </c>
      <c r="V66" s="9" t="s">
        <v>75</v>
      </c>
      <c r="W66" s="9"/>
    </row>
    <row r="67" spans="1:23" s="12" customFormat="1">
      <c r="A67" s="46" t="s">
        <v>711</v>
      </c>
      <c r="B67" s="28" t="s">
        <v>1333</v>
      </c>
      <c r="C67" s="28" t="s">
        <v>2330</v>
      </c>
      <c r="D67" s="9" t="s">
        <v>690</v>
      </c>
      <c r="E67" s="28" t="s">
        <v>2155</v>
      </c>
      <c r="F67" s="28" t="s">
        <v>798</v>
      </c>
      <c r="G67" s="28" t="s">
        <v>798</v>
      </c>
      <c r="H67" s="28" t="s">
        <v>1621</v>
      </c>
      <c r="I67" s="28" t="str">
        <f>VLOOKUP(E67,표준용어사전!$C$2:$D$494, 2, FALSE)</f>
        <v>수N14</v>
      </c>
      <c r="J67" s="28" t="s">
        <v>748</v>
      </c>
      <c r="K67" s="29" t="s">
        <v>1137</v>
      </c>
      <c r="L67" s="55" t="s">
        <v>571</v>
      </c>
      <c r="M67" s="29" t="s">
        <v>776</v>
      </c>
      <c r="N67" s="29" t="s">
        <v>75</v>
      </c>
      <c r="O67" s="9"/>
      <c r="P67" s="9" t="s">
        <v>76</v>
      </c>
      <c r="Q67" s="28"/>
      <c r="R67" s="29"/>
      <c r="S67" s="9"/>
      <c r="T67" s="9"/>
      <c r="U67" s="9" t="s">
        <v>75</v>
      </c>
      <c r="V67" s="9" t="s">
        <v>75</v>
      </c>
      <c r="W67" s="9"/>
    </row>
    <row r="68" spans="1:23" s="12" customFormat="1">
      <c r="A68" s="46" t="s">
        <v>711</v>
      </c>
      <c r="B68" s="28" t="s">
        <v>1333</v>
      </c>
      <c r="C68" s="28" t="s">
        <v>2330</v>
      </c>
      <c r="D68" s="9" t="s">
        <v>690</v>
      </c>
      <c r="E68" s="28" t="s">
        <v>2156</v>
      </c>
      <c r="F68" s="28" t="s">
        <v>799</v>
      </c>
      <c r="G68" s="28" t="s">
        <v>799</v>
      </c>
      <c r="H68" s="28" t="s">
        <v>1621</v>
      </c>
      <c r="I68" s="28" t="str">
        <f>VLOOKUP(E68,표준용어사전!$C$2:$D$494, 2, FALSE)</f>
        <v>수N14</v>
      </c>
      <c r="J68" s="28" t="s">
        <v>748</v>
      </c>
      <c r="K68" s="29" t="s">
        <v>1137</v>
      </c>
      <c r="L68" s="55" t="s">
        <v>571</v>
      </c>
      <c r="M68" s="29" t="s">
        <v>776</v>
      </c>
      <c r="N68" s="10" t="s">
        <v>75</v>
      </c>
      <c r="O68" s="9"/>
      <c r="P68" s="9" t="s">
        <v>76</v>
      </c>
      <c r="Q68" s="28"/>
      <c r="R68" s="29"/>
      <c r="S68" s="9"/>
      <c r="T68" s="9"/>
      <c r="U68" s="9" t="s">
        <v>75</v>
      </c>
      <c r="V68" s="9" t="s">
        <v>75</v>
      </c>
      <c r="W68" s="9"/>
    </row>
    <row r="69" spans="1:23" s="12" customFormat="1">
      <c r="A69" s="46" t="s">
        <v>711</v>
      </c>
      <c r="B69" s="28" t="s">
        <v>1333</v>
      </c>
      <c r="C69" s="28" t="s">
        <v>2330</v>
      </c>
      <c r="D69" s="9" t="s">
        <v>690</v>
      </c>
      <c r="E69" s="28" t="s">
        <v>2157</v>
      </c>
      <c r="F69" s="28" t="s">
        <v>800</v>
      </c>
      <c r="G69" s="28" t="s">
        <v>800</v>
      </c>
      <c r="H69" s="28" t="s">
        <v>1621</v>
      </c>
      <c r="I69" s="28" t="str">
        <f>VLOOKUP(E69,표준용어사전!$C$2:$D$494, 2, FALSE)</f>
        <v>연월일시분초TS</v>
      </c>
      <c r="J69" s="28" t="s">
        <v>719</v>
      </c>
      <c r="K69" s="29" t="s">
        <v>571</v>
      </c>
      <c r="L69" s="55" t="s">
        <v>571</v>
      </c>
      <c r="M69" s="29" t="s">
        <v>726</v>
      </c>
      <c r="N69" s="10" t="s">
        <v>75</v>
      </c>
      <c r="O69" s="9"/>
      <c r="P69" s="9" t="s">
        <v>76</v>
      </c>
      <c r="Q69" s="28"/>
      <c r="R69" s="29"/>
      <c r="S69" s="9"/>
      <c r="T69" s="9"/>
      <c r="U69" s="9" t="s">
        <v>75</v>
      </c>
      <c r="V69" s="9" t="s">
        <v>75</v>
      </c>
      <c r="W69" s="9"/>
    </row>
    <row r="70" spans="1:23" s="12" customFormat="1">
      <c r="A70" s="46" t="s">
        <v>711</v>
      </c>
      <c r="B70" s="28" t="s">
        <v>1333</v>
      </c>
      <c r="C70" s="28" t="s">
        <v>2330</v>
      </c>
      <c r="D70" s="9" t="s">
        <v>690</v>
      </c>
      <c r="E70" s="28" t="s">
        <v>2158</v>
      </c>
      <c r="F70" s="28" t="s">
        <v>801</v>
      </c>
      <c r="G70" s="28" t="s">
        <v>801</v>
      </c>
      <c r="H70" s="28" t="s">
        <v>1621</v>
      </c>
      <c r="I70" s="28" t="str">
        <f>VLOOKUP(E70,표준용어사전!$C$2:$D$494, 2, FALSE)</f>
        <v>수N14</v>
      </c>
      <c r="J70" s="28" t="s">
        <v>748</v>
      </c>
      <c r="K70" s="29" t="s">
        <v>1137</v>
      </c>
      <c r="L70" s="55" t="s">
        <v>571</v>
      </c>
      <c r="M70" s="29" t="s">
        <v>776</v>
      </c>
      <c r="N70" s="10" t="s">
        <v>75</v>
      </c>
      <c r="O70" s="9"/>
      <c r="P70" s="9" t="s">
        <v>76</v>
      </c>
      <c r="Q70" s="28"/>
      <c r="R70" s="29"/>
      <c r="S70" s="9"/>
      <c r="T70" s="9"/>
      <c r="U70" s="9" t="s">
        <v>75</v>
      </c>
      <c r="V70" s="9" t="s">
        <v>75</v>
      </c>
      <c r="W70" s="9"/>
    </row>
    <row r="71" spans="1:23" s="12" customFormat="1">
      <c r="A71" s="46" t="s">
        <v>711</v>
      </c>
      <c r="B71" s="28" t="s">
        <v>1333</v>
      </c>
      <c r="C71" s="28" t="s">
        <v>2330</v>
      </c>
      <c r="D71" s="9" t="s">
        <v>690</v>
      </c>
      <c r="E71" s="28" t="s">
        <v>2159</v>
      </c>
      <c r="F71" s="28" t="s">
        <v>802</v>
      </c>
      <c r="G71" s="28" t="s">
        <v>802</v>
      </c>
      <c r="H71" s="28" t="s">
        <v>1621</v>
      </c>
      <c r="I71" s="28" t="str">
        <f>VLOOKUP(E71,표준용어사전!$C$2:$D$494, 2, FALSE)</f>
        <v>수N14</v>
      </c>
      <c r="J71" s="28" t="s">
        <v>748</v>
      </c>
      <c r="K71" s="29" t="s">
        <v>1137</v>
      </c>
      <c r="L71" s="55" t="s">
        <v>571</v>
      </c>
      <c r="M71" s="29" t="s">
        <v>776</v>
      </c>
      <c r="N71" s="10" t="s">
        <v>75</v>
      </c>
      <c r="O71" s="9"/>
      <c r="P71" s="9" t="s">
        <v>76</v>
      </c>
      <c r="Q71" s="28"/>
      <c r="R71" s="29"/>
      <c r="S71" s="9"/>
      <c r="T71" s="9"/>
      <c r="U71" s="9" t="s">
        <v>75</v>
      </c>
      <c r="V71" s="9" t="s">
        <v>75</v>
      </c>
      <c r="W71" s="9"/>
    </row>
    <row r="72" spans="1:23" s="12" customFormat="1">
      <c r="A72" s="46" t="s">
        <v>711</v>
      </c>
      <c r="B72" s="28" t="s">
        <v>1333</v>
      </c>
      <c r="C72" s="28" t="s">
        <v>2330</v>
      </c>
      <c r="D72" s="9" t="s">
        <v>690</v>
      </c>
      <c r="E72" s="28" t="s">
        <v>877</v>
      </c>
      <c r="F72" s="28" t="s">
        <v>803</v>
      </c>
      <c r="G72" s="28" t="s">
        <v>803</v>
      </c>
      <c r="H72" s="28" t="s">
        <v>1621</v>
      </c>
      <c r="I72" s="28" t="str">
        <f>VLOOKUP(E72,표준용어사전!$C$2:$D$494, 2, FALSE)</f>
        <v>연월일시분초TS</v>
      </c>
      <c r="J72" s="28" t="s">
        <v>719</v>
      </c>
      <c r="K72" s="29" t="s">
        <v>571</v>
      </c>
      <c r="L72" s="55" t="s">
        <v>571</v>
      </c>
      <c r="M72" s="29" t="s">
        <v>726</v>
      </c>
      <c r="N72" s="10" t="s">
        <v>75</v>
      </c>
      <c r="O72" s="9"/>
      <c r="P72" s="9" t="s">
        <v>76</v>
      </c>
      <c r="Q72" s="28"/>
      <c r="R72" s="29"/>
      <c r="S72" s="9"/>
      <c r="T72" s="9"/>
      <c r="U72" s="9" t="s">
        <v>75</v>
      </c>
      <c r="V72" s="9" t="s">
        <v>75</v>
      </c>
      <c r="W72" s="9"/>
    </row>
    <row r="73" spans="1:23" s="12" customFormat="1">
      <c r="A73" s="46" t="s">
        <v>711</v>
      </c>
      <c r="B73" s="28" t="s">
        <v>1333</v>
      </c>
      <c r="C73" s="28" t="s">
        <v>2330</v>
      </c>
      <c r="D73" s="9" t="s">
        <v>690</v>
      </c>
      <c r="E73" s="28" t="s">
        <v>878</v>
      </c>
      <c r="F73" s="28" t="s">
        <v>804</v>
      </c>
      <c r="G73" s="28" t="s">
        <v>804</v>
      </c>
      <c r="H73" s="28" t="s">
        <v>1621</v>
      </c>
      <c r="I73" s="28" t="str">
        <f>VLOOKUP(E73,표준용어사전!$C$2:$D$494, 2, FALSE)</f>
        <v>수N14</v>
      </c>
      <c r="J73" s="28" t="s">
        <v>748</v>
      </c>
      <c r="K73" s="29" t="s">
        <v>1137</v>
      </c>
      <c r="L73" s="55" t="s">
        <v>571</v>
      </c>
      <c r="M73" s="29" t="s">
        <v>776</v>
      </c>
      <c r="N73" s="29" t="s">
        <v>75</v>
      </c>
      <c r="O73" s="9"/>
      <c r="P73" s="9" t="s">
        <v>76</v>
      </c>
      <c r="Q73" s="28"/>
      <c r="R73" s="29"/>
      <c r="S73" s="9"/>
      <c r="T73" s="9"/>
      <c r="U73" s="9" t="s">
        <v>75</v>
      </c>
      <c r="V73" s="9" t="s">
        <v>75</v>
      </c>
      <c r="W73" s="9"/>
    </row>
    <row r="74" spans="1:23" s="12" customFormat="1">
      <c r="A74" s="46" t="s">
        <v>711</v>
      </c>
      <c r="B74" s="28" t="s">
        <v>1333</v>
      </c>
      <c r="C74" s="28" t="s">
        <v>2330</v>
      </c>
      <c r="D74" s="9" t="s">
        <v>690</v>
      </c>
      <c r="E74" s="28" t="s">
        <v>879</v>
      </c>
      <c r="F74" s="28" t="s">
        <v>805</v>
      </c>
      <c r="G74" s="28" t="s">
        <v>805</v>
      </c>
      <c r="H74" s="28" t="s">
        <v>1621</v>
      </c>
      <c r="I74" s="28" t="str">
        <f>VLOOKUP(E74,표준용어사전!$C$2:$D$494, 2, FALSE)</f>
        <v>수N14</v>
      </c>
      <c r="J74" s="28" t="s">
        <v>748</v>
      </c>
      <c r="K74" s="29" t="s">
        <v>1137</v>
      </c>
      <c r="L74" s="55" t="s">
        <v>571</v>
      </c>
      <c r="M74" s="29" t="s">
        <v>776</v>
      </c>
      <c r="N74" s="10" t="s">
        <v>75</v>
      </c>
      <c r="O74" s="9"/>
      <c r="P74" s="9" t="s">
        <v>76</v>
      </c>
      <c r="Q74" s="28"/>
      <c r="R74" s="29"/>
      <c r="S74" s="9"/>
      <c r="T74" s="9"/>
      <c r="U74" s="9" t="s">
        <v>75</v>
      </c>
      <c r="V74" s="9" t="s">
        <v>75</v>
      </c>
      <c r="W74" s="9"/>
    </row>
    <row r="75" spans="1:23" s="12" customFormat="1">
      <c r="A75" s="46" t="s">
        <v>711</v>
      </c>
      <c r="B75" s="28" t="s">
        <v>1333</v>
      </c>
      <c r="C75" s="28" t="s">
        <v>2330</v>
      </c>
      <c r="D75" s="9" t="s">
        <v>690</v>
      </c>
      <c r="E75" s="28" t="s">
        <v>253</v>
      </c>
      <c r="F75" s="28" t="s">
        <v>485</v>
      </c>
      <c r="G75" s="28" t="s">
        <v>485</v>
      </c>
      <c r="H75" s="28" t="s">
        <v>1621</v>
      </c>
      <c r="I75" s="28" t="str">
        <f>VLOOKUP(E75,표준용어사전!$C$2:$D$494, 2, FALSE)</f>
        <v>여부C1</v>
      </c>
      <c r="J75" s="28" t="s">
        <v>709</v>
      </c>
      <c r="K75" s="29">
        <v>1</v>
      </c>
      <c r="L75" s="55" t="s">
        <v>571</v>
      </c>
      <c r="M75" s="29" t="s">
        <v>722</v>
      </c>
      <c r="N75" s="10" t="s">
        <v>75</v>
      </c>
      <c r="O75" s="9"/>
      <c r="P75" s="9" t="s">
        <v>76</v>
      </c>
      <c r="Q75" s="28"/>
      <c r="R75" s="29"/>
      <c r="S75" s="9"/>
      <c r="T75" s="9"/>
      <c r="U75" s="9" t="s">
        <v>75</v>
      </c>
      <c r="V75" s="9" t="s">
        <v>75</v>
      </c>
      <c r="W75" s="9"/>
    </row>
    <row r="76" spans="1:23" s="12" customFormat="1">
      <c r="A76" s="46" t="s">
        <v>711</v>
      </c>
      <c r="B76" s="28" t="s">
        <v>1333</v>
      </c>
      <c r="C76" s="28" t="s">
        <v>2330</v>
      </c>
      <c r="D76" s="9" t="s">
        <v>690</v>
      </c>
      <c r="E76" s="28" t="s">
        <v>880</v>
      </c>
      <c r="F76" s="28" t="s">
        <v>806</v>
      </c>
      <c r="G76" s="28" t="s">
        <v>806</v>
      </c>
      <c r="H76" s="28" t="s">
        <v>1621</v>
      </c>
      <c r="I76" s="28" t="str">
        <f>VLOOKUP(E76,표준용어사전!$C$2:$D$494, 2, FALSE)</f>
        <v>연월일시분초TS</v>
      </c>
      <c r="J76" s="28" t="s">
        <v>719</v>
      </c>
      <c r="K76" s="29" t="s">
        <v>571</v>
      </c>
      <c r="L76" s="55" t="s">
        <v>571</v>
      </c>
      <c r="M76" s="29" t="s">
        <v>726</v>
      </c>
      <c r="N76" s="10" t="s">
        <v>75</v>
      </c>
      <c r="O76" s="9"/>
      <c r="P76" s="9" t="s">
        <v>76</v>
      </c>
      <c r="Q76" s="28"/>
      <c r="R76" s="29"/>
      <c r="S76" s="9"/>
      <c r="T76" s="9"/>
      <c r="U76" s="9" t="s">
        <v>75</v>
      </c>
      <c r="V76" s="9" t="s">
        <v>75</v>
      </c>
      <c r="W76" s="9"/>
    </row>
    <row r="77" spans="1:23" s="12" customFormat="1">
      <c r="A77" s="46" t="s">
        <v>711</v>
      </c>
      <c r="B77" s="28" t="s">
        <v>1333</v>
      </c>
      <c r="C77" s="28" t="s">
        <v>2330</v>
      </c>
      <c r="D77" s="9" t="s">
        <v>690</v>
      </c>
      <c r="E77" s="28" t="s">
        <v>254</v>
      </c>
      <c r="F77" s="28" t="s">
        <v>486</v>
      </c>
      <c r="G77" s="28" t="s">
        <v>486</v>
      </c>
      <c r="H77" s="28" t="s">
        <v>1621</v>
      </c>
      <c r="I77" s="28" t="str">
        <f>VLOOKUP(E77,표준용어사전!$C$2:$D$494, 2, FALSE)</f>
        <v>수N14</v>
      </c>
      <c r="J77" s="28" t="s">
        <v>748</v>
      </c>
      <c r="K77" s="29" t="s">
        <v>1137</v>
      </c>
      <c r="L77" s="55" t="s">
        <v>571</v>
      </c>
      <c r="M77" s="29" t="s">
        <v>776</v>
      </c>
      <c r="N77" s="10" t="s">
        <v>75</v>
      </c>
      <c r="O77" s="9"/>
      <c r="P77" s="9" t="s">
        <v>76</v>
      </c>
      <c r="Q77" s="28"/>
      <c r="R77" s="29"/>
      <c r="S77" s="9"/>
      <c r="T77" s="9"/>
      <c r="U77" s="9" t="s">
        <v>75</v>
      </c>
      <c r="V77" s="9" t="s">
        <v>75</v>
      </c>
      <c r="W77" s="9"/>
    </row>
    <row r="78" spans="1:23" s="12" customFormat="1">
      <c r="A78" s="46" t="s">
        <v>711</v>
      </c>
      <c r="B78" s="28" t="s">
        <v>1333</v>
      </c>
      <c r="C78" s="28" t="s">
        <v>2330</v>
      </c>
      <c r="D78" s="9" t="s">
        <v>690</v>
      </c>
      <c r="E78" s="28" t="s">
        <v>255</v>
      </c>
      <c r="F78" s="28" t="s">
        <v>487</v>
      </c>
      <c r="G78" s="28" t="s">
        <v>487</v>
      </c>
      <c r="H78" s="28" t="s">
        <v>1621</v>
      </c>
      <c r="I78" s="28" t="str">
        <f>VLOOKUP(E78,표준용어사전!$C$2:$D$494, 2, FALSE)</f>
        <v>수N14</v>
      </c>
      <c r="J78" s="28" t="s">
        <v>748</v>
      </c>
      <c r="K78" s="29" t="s">
        <v>1137</v>
      </c>
      <c r="L78" s="55" t="s">
        <v>571</v>
      </c>
      <c r="M78" s="29" t="s">
        <v>776</v>
      </c>
      <c r="N78" s="10" t="s">
        <v>75</v>
      </c>
      <c r="O78" s="9"/>
      <c r="P78" s="9" t="s">
        <v>76</v>
      </c>
      <c r="Q78" s="28"/>
      <c r="R78" s="29"/>
      <c r="S78" s="9"/>
      <c r="T78" s="9"/>
      <c r="U78" s="9" t="s">
        <v>75</v>
      </c>
      <c r="V78" s="9" t="s">
        <v>75</v>
      </c>
      <c r="W78" s="9"/>
    </row>
    <row r="79" spans="1:23" s="12" customFormat="1">
      <c r="A79" s="46" t="s">
        <v>711</v>
      </c>
      <c r="B79" s="28" t="s">
        <v>1333</v>
      </c>
      <c r="C79" s="28" t="s">
        <v>2330</v>
      </c>
      <c r="D79" s="9" t="s">
        <v>690</v>
      </c>
      <c r="E79" s="28" t="s">
        <v>881</v>
      </c>
      <c r="F79" s="28" t="s">
        <v>2394</v>
      </c>
      <c r="G79" s="28" t="s">
        <v>2394</v>
      </c>
      <c r="H79" s="28" t="s">
        <v>1621</v>
      </c>
      <c r="I79" s="28" t="str">
        <f>VLOOKUP(E79,표준용어사전!$C$2:$D$494, 2, FALSE)</f>
        <v>여부C1</v>
      </c>
      <c r="J79" s="28" t="s">
        <v>709</v>
      </c>
      <c r="K79" s="29">
        <v>1</v>
      </c>
      <c r="L79" s="55" t="s">
        <v>571</v>
      </c>
      <c r="M79" s="29" t="s">
        <v>722</v>
      </c>
      <c r="N79" s="29" t="s">
        <v>75</v>
      </c>
      <c r="O79" s="9"/>
      <c r="P79" s="9" t="s">
        <v>76</v>
      </c>
      <c r="Q79" s="28"/>
      <c r="R79" s="29"/>
      <c r="S79" s="9"/>
      <c r="T79" s="9"/>
      <c r="U79" s="9" t="s">
        <v>75</v>
      </c>
      <c r="V79" s="9" t="s">
        <v>75</v>
      </c>
      <c r="W79" s="9"/>
    </row>
    <row r="80" spans="1:23" s="12" customFormat="1">
      <c r="A80" s="46" t="s">
        <v>711</v>
      </c>
      <c r="B80" s="28" t="s">
        <v>1333</v>
      </c>
      <c r="C80" s="28" t="s">
        <v>2330</v>
      </c>
      <c r="D80" s="9" t="s">
        <v>690</v>
      </c>
      <c r="E80" s="28" t="s">
        <v>882</v>
      </c>
      <c r="F80" s="28" t="s">
        <v>2161</v>
      </c>
      <c r="G80" s="28" t="s">
        <v>2161</v>
      </c>
      <c r="H80" s="28" t="s">
        <v>1621</v>
      </c>
      <c r="I80" s="28" t="str">
        <f>VLOOKUP(E80,표준용어사전!$C$2:$D$494, 2, FALSE)</f>
        <v>연월일시분초TS</v>
      </c>
      <c r="J80" s="28" t="s">
        <v>719</v>
      </c>
      <c r="K80" s="29" t="s">
        <v>571</v>
      </c>
      <c r="L80" s="55" t="s">
        <v>571</v>
      </c>
      <c r="M80" s="29" t="s">
        <v>726</v>
      </c>
      <c r="N80" s="10" t="s">
        <v>75</v>
      </c>
      <c r="O80" s="9"/>
      <c r="P80" s="9" t="s">
        <v>76</v>
      </c>
      <c r="Q80" s="28"/>
      <c r="R80" s="29"/>
      <c r="S80" s="9"/>
      <c r="T80" s="9"/>
      <c r="U80" s="9" t="s">
        <v>75</v>
      </c>
      <c r="V80" s="9" t="s">
        <v>75</v>
      </c>
      <c r="W80" s="9"/>
    </row>
    <row r="81" spans="1:23" s="12" customFormat="1">
      <c r="A81" s="46" t="s">
        <v>711</v>
      </c>
      <c r="B81" s="28" t="s">
        <v>1333</v>
      </c>
      <c r="C81" s="28" t="s">
        <v>2330</v>
      </c>
      <c r="D81" s="9" t="s">
        <v>690</v>
      </c>
      <c r="E81" s="28" t="s">
        <v>883</v>
      </c>
      <c r="F81" s="28" t="s">
        <v>2162</v>
      </c>
      <c r="G81" s="28" t="s">
        <v>2162</v>
      </c>
      <c r="H81" s="28" t="s">
        <v>1621</v>
      </c>
      <c r="I81" s="28" t="str">
        <f>VLOOKUP(E81,표준용어사전!$C$2:$D$494, 2, FALSE)</f>
        <v>수N14</v>
      </c>
      <c r="J81" s="28" t="s">
        <v>748</v>
      </c>
      <c r="K81" s="29" t="s">
        <v>1137</v>
      </c>
      <c r="L81" s="55" t="s">
        <v>571</v>
      </c>
      <c r="M81" s="29" t="s">
        <v>776</v>
      </c>
      <c r="N81" s="10" t="s">
        <v>75</v>
      </c>
      <c r="O81" s="9"/>
      <c r="P81" s="9" t="s">
        <v>76</v>
      </c>
      <c r="Q81" s="28"/>
      <c r="R81" s="29"/>
      <c r="S81" s="9"/>
      <c r="T81" s="9"/>
      <c r="U81" s="9" t="s">
        <v>75</v>
      </c>
      <c r="V81" s="9" t="s">
        <v>75</v>
      </c>
      <c r="W81" s="9"/>
    </row>
    <row r="82" spans="1:23" s="12" customFormat="1">
      <c r="A82" s="46" t="s">
        <v>711</v>
      </c>
      <c r="B82" s="28" t="s">
        <v>1333</v>
      </c>
      <c r="C82" s="28" t="s">
        <v>2330</v>
      </c>
      <c r="D82" s="28" t="s">
        <v>690</v>
      </c>
      <c r="E82" s="28" t="s">
        <v>884</v>
      </c>
      <c r="F82" s="28" t="s">
        <v>2163</v>
      </c>
      <c r="G82" s="28" t="s">
        <v>2163</v>
      </c>
      <c r="H82" s="28" t="s">
        <v>1621</v>
      </c>
      <c r="I82" s="28" t="str">
        <f>VLOOKUP(E82,표준용어사전!$C$2:$D$494, 2, FALSE)</f>
        <v>수N14</v>
      </c>
      <c r="J82" s="28" t="s">
        <v>748</v>
      </c>
      <c r="K82" s="29" t="s">
        <v>1137</v>
      </c>
      <c r="L82" s="55" t="s">
        <v>571</v>
      </c>
      <c r="M82" s="29" t="s">
        <v>776</v>
      </c>
      <c r="N82" s="29" t="s">
        <v>75</v>
      </c>
      <c r="O82" s="28"/>
      <c r="P82" s="28" t="s">
        <v>76</v>
      </c>
      <c r="Q82" s="28"/>
      <c r="R82" s="29"/>
      <c r="S82" s="28"/>
      <c r="T82" s="9"/>
      <c r="U82" s="9" t="s">
        <v>75</v>
      </c>
      <c r="V82" s="9" t="s">
        <v>75</v>
      </c>
      <c r="W82" s="28"/>
    </row>
    <row r="83" spans="1:23" s="12" customFormat="1">
      <c r="A83" s="46" t="s">
        <v>711</v>
      </c>
      <c r="B83" s="28" t="s">
        <v>1333</v>
      </c>
      <c r="C83" s="28" t="s">
        <v>2330</v>
      </c>
      <c r="D83" s="9" t="s">
        <v>690</v>
      </c>
      <c r="E83" s="28" t="s">
        <v>265</v>
      </c>
      <c r="F83" s="28" t="s">
        <v>497</v>
      </c>
      <c r="G83" s="28" t="s">
        <v>497</v>
      </c>
      <c r="H83" s="28" t="s">
        <v>1621</v>
      </c>
      <c r="I83" s="28" t="str">
        <f>VLOOKUP(E83,표준용어사전!$C$2:$D$494, 2, FALSE)</f>
        <v>여부C1</v>
      </c>
      <c r="J83" s="28" t="s">
        <v>709</v>
      </c>
      <c r="K83" s="29">
        <v>1</v>
      </c>
      <c r="L83" s="55" t="s">
        <v>571</v>
      </c>
      <c r="M83" s="29" t="s">
        <v>722</v>
      </c>
      <c r="N83" s="10" t="s">
        <v>75</v>
      </c>
      <c r="O83" s="9"/>
      <c r="P83" s="9" t="s">
        <v>76</v>
      </c>
      <c r="Q83" s="28"/>
      <c r="R83" s="29"/>
      <c r="S83" s="9"/>
      <c r="T83" s="9"/>
      <c r="U83" s="9" t="s">
        <v>75</v>
      </c>
      <c r="V83" s="9" t="s">
        <v>75</v>
      </c>
      <c r="W83" s="9"/>
    </row>
    <row r="84" spans="1:23" s="12" customFormat="1">
      <c r="A84" s="46" t="s">
        <v>711</v>
      </c>
      <c r="B84" s="28" t="s">
        <v>1333</v>
      </c>
      <c r="C84" s="28" t="s">
        <v>2330</v>
      </c>
      <c r="D84" s="9" t="s">
        <v>690</v>
      </c>
      <c r="E84" s="28" t="s">
        <v>885</v>
      </c>
      <c r="F84" s="28" t="s">
        <v>811</v>
      </c>
      <c r="G84" s="28" t="s">
        <v>811</v>
      </c>
      <c r="H84" s="28" t="s">
        <v>1621</v>
      </c>
      <c r="I84" s="28" t="str">
        <f>VLOOKUP(E84,표준용어사전!$C$2:$D$494, 2, FALSE)</f>
        <v>연월일시분초TS</v>
      </c>
      <c r="J84" s="28" t="s">
        <v>719</v>
      </c>
      <c r="K84" s="29" t="s">
        <v>571</v>
      </c>
      <c r="L84" s="55" t="s">
        <v>571</v>
      </c>
      <c r="M84" s="29" t="s">
        <v>726</v>
      </c>
      <c r="N84" s="10" t="s">
        <v>75</v>
      </c>
      <c r="O84" s="9"/>
      <c r="P84" s="9" t="s">
        <v>76</v>
      </c>
      <c r="Q84" s="28"/>
      <c r="R84" s="29"/>
      <c r="S84" s="9"/>
      <c r="T84" s="9"/>
      <c r="U84" s="9" t="s">
        <v>75</v>
      </c>
      <c r="V84" s="9" t="s">
        <v>75</v>
      </c>
      <c r="W84" s="9"/>
    </row>
    <row r="85" spans="1:23" s="12" customFormat="1">
      <c r="A85" s="46" t="s">
        <v>711</v>
      </c>
      <c r="B85" s="28" t="s">
        <v>1333</v>
      </c>
      <c r="C85" s="28" t="s">
        <v>2330</v>
      </c>
      <c r="D85" s="28" t="s">
        <v>690</v>
      </c>
      <c r="E85" s="28" t="s">
        <v>266</v>
      </c>
      <c r="F85" s="28" t="s">
        <v>498</v>
      </c>
      <c r="G85" s="28" t="s">
        <v>498</v>
      </c>
      <c r="H85" s="28" t="s">
        <v>1621</v>
      </c>
      <c r="I85" s="28" t="str">
        <f>VLOOKUP(E85,표준용어사전!$C$2:$D$494, 2, FALSE)</f>
        <v>수N14</v>
      </c>
      <c r="J85" s="28" t="s">
        <v>748</v>
      </c>
      <c r="K85" s="29" t="s">
        <v>1137</v>
      </c>
      <c r="L85" s="55" t="s">
        <v>571</v>
      </c>
      <c r="M85" s="29" t="s">
        <v>776</v>
      </c>
      <c r="N85" s="10" t="s">
        <v>75</v>
      </c>
      <c r="O85" s="9"/>
      <c r="P85" s="9" t="s">
        <v>76</v>
      </c>
      <c r="Q85" s="28"/>
      <c r="R85" s="29"/>
      <c r="S85" s="9"/>
      <c r="T85" s="9"/>
      <c r="U85" s="9" t="s">
        <v>75</v>
      </c>
      <c r="V85" s="9" t="s">
        <v>75</v>
      </c>
      <c r="W85" s="9"/>
    </row>
    <row r="86" spans="1:23" s="12" customFormat="1">
      <c r="A86" s="46" t="s">
        <v>711</v>
      </c>
      <c r="B86" s="28" t="s">
        <v>1333</v>
      </c>
      <c r="C86" s="28" t="s">
        <v>2330</v>
      </c>
      <c r="D86" s="9" t="s">
        <v>690</v>
      </c>
      <c r="E86" s="28" t="s">
        <v>267</v>
      </c>
      <c r="F86" s="28" t="s">
        <v>499</v>
      </c>
      <c r="G86" s="28" t="s">
        <v>499</v>
      </c>
      <c r="H86" s="28" t="s">
        <v>1621</v>
      </c>
      <c r="I86" s="28" t="str">
        <f>VLOOKUP(E86,표준용어사전!$C$2:$D$494, 2, FALSE)</f>
        <v>수N14</v>
      </c>
      <c r="J86" s="28" t="s">
        <v>748</v>
      </c>
      <c r="K86" s="29" t="s">
        <v>1137</v>
      </c>
      <c r="L86" s="55" t="s">
        <v>571</v>
      </c>
      <c r="M86" s="29" t="s">
        <v>776</v>
      </c>
      <c r="N86" s="10" t="s">
        <v>75</v>
      </c>
      <c r="O86" s="9"/>
      <c r="P86" s="9" t="s">
        <v>76</v>
      </c>
      <c r="Q86" s="28"/>
      <c r="R86" s="29"/>
      <c r="S86" s="9"/>
      <c r="T86" s="9"/>
      <c r="U86" s="9" t="s">
        <v>75</v>
      </c>
      <c r="V86" s="9" t="s">
        <v>75</v>
      </c>
      <c r="W86" s="9"/>
    </row>
    <row r="87" spans="1:23" s="12" customFormat="1">
      <c r="A87" s="46" t="s">
        <v>711</v>
      </c>
      <c r="B87" s="28" t="s">
        <v>1333</v>
      </c>
      <c r="C87" s="28" t="s">
        <v>2330</v>
      </c>
      <c r="D87" s="9" t="s">
        <v>690</v>
      </c>
      <c r="E87" s="28" t="s">
        <v>2496</v>
      </c>
      <c r="F87" s="28" t="s">
        <v>2164</v>
      </c>
      <c r="G87" s="28" t="s">
        <v>2164</v>
      </c>
      <c r="H87" s="28" t="s">
        <v>1621</v>
      </c>
      <c r="I87" s="28" t="str">
        <f>VLOOKUP(E87,표준용어사전!$C$2:$D$494, 2, FALSE)</f>
        <v>여부C1</v>
      </c>
      <c r="J87" s="28" t="s">
        <v>709</v>
      </c>
      <c r="K87" s="29">
        <v>1</v>
      </c>
      <c r="L87" s="55" t="s">
        <v>571</v>
      </c>
      <c r="M87" s="29" t="s">
        <v>722</v>
      </c>
      <c r="N87" s="10" t="s">
        <v>75</v>
      </c>
      <c r="O87" s="9"/>
      <c r="P87" s="9" t="s">
        <v>76</v>
      </c>
      <c r="Q87" s="28"/>
      <c r="R87" s="29"/>
      <c r="S87" s="9"/>
      <c r="T87" s="9"/>
      <c r="U87" s="9" t="s">
        <v>75</v>
      </c>
      <c r="V87" s="9" t="s">
        <v>75</v>
      </c>
      <c r="W87" s="9"/>
    </row>
    <row r="88" spans="1:23" s="12" customFormat="1">
      <c r="A88" s="46" t="s">
        <v>711</v>
      </c>
      <c r="B88" s="28" t="s">
        <v>1333</v>
      </c>
      <c r="C88" s="28" t="s">
        <v>2330</v>
      </c>
      <c r="D88" s="9" t="s">
        <v>690</v>
      </c>
      <c r="E88" s="28" t="s">
        <v>2497</v>
      </c>
      <c r="F88" s="28" t="s">
        <v>2165</v>
      </c>
      <c r="G88" s="28" t="s">
        <v>2165</v>
      </c>
      <c r="H88" s="28" t="s">
        <v>1621</v>
      </c>
      <c r="I88" s="28" t="str">
        <f>VLOOKUP(E88,표준용어사전!$C$2:$D$494, 2, FALSE)</f>
        <v>연월일시분초TS</v>
      </c>
      <c r="J88" s="28" t="s">
        <v>719</v>
      </c>
      <c r="K88" s="29" t="s">
        <v>571</v>
      </c>
      <c r="L88" s="55" t="s">
        <v>571</v>
      </c>
      <c r="M88" s="29" t="s">
        <v>726</v>
      </c>
      <c r="N88" s="10" t="s">
        <v>75</v>
      </c>
      <c r="O88" s="9"/>
      <c r="P88" s="9" t="s">
        <v>76</v>
      </c>
      <c r="Q88" s="28"/>
      <c r="R88" s="29"/>
      <c r="S88" s="9"/>
      <c r="T88" s="9"/>
      <c r="U88" s="9" t="s">
        <v>75</v>
      </c>
      <c r="V88" s="9" t="s">
        <v>75</v>
      </c>
      <c r="W88" s="9"/>
    </row>
    <row r="89" spans="1:23" s="12" customFormat="1">
      <c r="A89" s="46" t="s">
        <v>711</v>
      </c>
      <c r="B89" s="28" t="s">
        <v>1333</v>
      </c>
      <c r="C89" s="28" t="s">
        <v>2330</v>
      </c>
      <c r="D89" s="9" t="s">
        <v>690</v>
      </c>
      <c r="E89" s="28" t="s">
        <v>2498</v>
      </c>
      <c r="F89" s="28" t="s">
        <v>2166</v>
      </c>
      <c r="G89" s="28" t="s">
        <v>2166</v>
      </c>
      <c r="H89" s="28" t="s">
        <v>1621</v>
      </c>
      <c r="I89" s="28" t="str">
        <f>VLOOKUP(E89,표준용어사전!$C$2:$D$494, 2, FALSE)</f>
        <v>수N14</v>
      </c>
      <c r="J89" s="28" t="s">
        <v>748</v>
      </c>
      <c r="K89" s="29" t="s">
        <v>1137</v>
      </c>
      <c r="L89" s="55" t="s">
        <v>571</v>
      </c>
      <c r="M89" s="29" t="s">
        <v>776</v>
      </c>
      <c r="N89" s="10" t="s">
        <v>75</v>
      </c>
      <c r="O89" s="9"/>
      <c r="P89" s="9" t="s">
        <v>76</v>
      </c>
      <c r="Q89" s="28"/>
      <c r="R89" s="29"/>
      <c r="S89" s="9"/>
      <c r="T89" s="9"/>
      <c r="U89" s="9" t="s">
        <v>75</v>
      </c>
      <c r="V89" s="9" t="s">
        <v>75</v>
      </c>
      <c r="W89" s="9"/>
    </row>
    <row r="90" spans="1:23" s="12" customFormat="1">
      <c r="A90" s="46" t="s">
        <v>711</v>
      </c>
      <c r="B90" s="28" t="s">
        <v>1333</v>
      </c>
      <c r="C90" s="28" t="s">
        <v>2330</v>
      </c>
      <c r="D90" s="28" t="s">
        <v>690</v>
      </c>
      <c r="E90" s="28" t="s">
        <v>2499</v>
      </c>
      <c r="F90" s="28" t="s">
        <v>2167</v>
      </c>
      <c r="G90" s="28" t="s">
        <v>2167</v>
      </c>
      <c r="H90" s="28" t="s">
        <v>1621</v>
      </c>
      <c r="I90" s="28" t="str">
        <f>VLOOKUP(E90,표준용어사전!$C$2:$D$494, 2, FALSE)</f>
        <v>수N14</v>
      </c>
      <c r="J90" s="28" t="s">
        <v>748</v>
      </c>
      <c r="K90" s="29" t="s">
        <v>1137</v>
      </c>
      <c r="L90" s="55" t="s">
        <v>571</v>
      </c>
      <c r="M90" s="29" t="s">
        <v>776</v>
      </c>
      <c r="N90" s="29" t="s">
        <v>75</v>
      </c>
      <c r="O90" s="28"/>
      <c r="P90" s="28" t="s">
        <v>76</v>
      </c>
      <c r="Q90" s="28"/>
      <c r="R90" s="29"/>
      <c r="S90" s="28"/>
      <c r="T90" s="28"/>
      <c r="U90" s="9" t="s">
        <v>75</v>
      </c>
      <c r="V90" s="9" t="s">
        <v>75</v>
      </c>
      <c r="W90" s="28"/>
    </row>
    <row r="91" spans="1:23" s="12" customFormat="1">
      <c r="A91" s="46" t="s">
        <v>711</v>
      </c>
      <c r="B91" s="28" t="s">
        <v>1333</v>
      </c>
      <c r="C91" s="28" t="s">
        <v>2330</v>
      </c>
      <c r="D91" s="9" t="s">
        <v>690</v>
      </c>
      <c r="E91" s="28" t="s">
        <v>2168</v>
      </c>
      <c r="F91" s="28" t="s">
        <v>494</v>
      </c>
      <c r="G91" s="28" t="s">
        <v>494</v>
      </c>
      <c r="H91" s="28" t="s">
        <v>1621</v>
      </c>
      <c r="I91" s="28" t="str">
        <f>VLOOKUP(E91,표준용어사전!$C$2:$D$494, 2, FALSE)</f>
        <v>여부C1</v>
      </c>
      <c r="J91" s="28" t="s">
        <v>709</v>
      </c>
      <c r="K91" s="29">
        <v>1</v>
      </c>
      <c r="L91" s="55" t="s">
        <v>571</v>
      </c>
      <c r="M91" s="29" t="s">
        <v>722</v>
      </c>
      <c r="N91" s="29" t="s">
        <v>75</v>
      </c>
      <c r="O91" s="9"/>
      <c r="P91" s="9" t="s">
        <v>76</v>
      </c>
      <c r="Q91" s="28"/>
      <c r="R91" s="29"/>
      <c r="S91" s="9"/>
      <c r="T91" s="9"/>
      <c r="U91" s="9" t="s">
        <v>75</v>
      </c>
      <c r="V91" s="9" t="s">
        <v>75</v>
      </c>
      <c r="W91" s="9"/>
    </row>
    <row r="92" spans="1:23" s="12" customFormat="1">
      <c r="A92" s="46" t="s">
        <v>711</v>
      </c>
      <c r="B92" s="28" t="s">
        <v>1333</v>
      </c>
      <c r="C92" s="28" t="s">
        <v>2330</v>
      </c>
      <c r="D92" s="9" t="s">
        <v>690</v>
      </c>
      <c r="E92" s="28" t="s">
        <v>2169</v>
      </c>
      <c r="F92" s="28" t="s">
        <v>813</v>
      </c>
      <c r="G92" s="28" t="s">
        <v>813</v>
      </c>
      <c r="H92" s="28" t="s">
        <v>1621</v>
      </c>
      <c r="I92" s="28" t="str">
        <f>VLOOKUP(E92,표준용어사전!$C$2:$D$494, 2, FALSE)</f>
        <v>연월일시분초TS</v>
      </c>
      <c r="J92" s="28" t="s">
        <v>719</v>
      </c>
      <c r="K92" s="29" t="s">
        <v>571</v>
      </c>
      <c r="L92" s="55" t="s">
        <v>571</v>
      </c>
      <c r="M92" s="29" t="s">
        <v>726</v>
      </c>
      <c r="N92" s="10" t="s">
        <v>75</v>
      </c>
      <c r="O92" s="9"/>
      <c r="P92" s="9" t="s">
        <v>76</v>
      </c>
      <c r="Q92" s="28"/>
      <c r="R92" s="29"/>
      <c r="S92" s="9"/>
      <c r="T92" s="9"/>
      <c r="U92" s="9" t="s">
        <v>75</v>
      </c>
      <c r="V92" s="9" t="s">
        <v>75</v>
      </c>
      <c r="W92" s="9"/>
    </row>
    <row r="93" spans="1:23" s="12" customFormat="1">
      <c r="A93" s="46" t="s">
        <v>711</v>
      </c>
      <c r="B93" s="28" t="s">
        <v>1333</v>
      </c>
      <c r="C93" s="28" t="s">
        <v>2330</v>
      </c>
      <c r="D93" s="28" t="s">
        <v>690</v>
      </c>
      <c r="E93" s="28" t="s">
        <v>2170</v>
      </c>
      <c r="F93" s="28" t="s">
        <v>495</v>
      </c>
      <c r="G93" s="28" t="s">
        <v>495</v>
      </c>
      <c r="H93" s="28" t="s">
        <v>1621</v>
      </c>
      <c r="I93" s="28" t="str">
        <f>VLOOKUP(E93,표준용어사전!$C$2:$D$494, 2, FALSE)</f>
        <v>수N14</v>
      </c>
      <c r="J93" s="28" t="s">
        <v>748</v>
      </c>
      <c r="K93" s="29" t="s">
        <v>1137</v>
      </c>
      <c r="L93" s="55" t="s">
        <v>571</v>
      </c>
      <c r="M93" s="29" t="s">
        <v>776</v>
      </c>
      <c r="N93" s="29" t="s">
        <v>75</v>
      </c>
      <c r="O93" s="28"/>
      <c r="P93" s="28" t="s">
        <v>76</v>
      </c>
      <c r="Q93" s="28"/>
      <c r="R93" s="29"/>
      <c r="S93" s="28"/>
      <c r="T93" s="28"/>
      <c r="U93" s="9" t="s">
        <v>75</v>
      </c>
      <c r="V93" s="9" t="s">
        <v>75</v>
      </c>
      <c r="W93" s="28"/>
    </row>
    <row r="94" spans="1:23" s="12" customFormat="1">
      <c r="A94" s="46" t="s">
        <v>711</v>
      </c>
      <c r="B94" s="28" t="s">
        <v>1333</v>
      </c>
      <c r="C94" s="28" t="s">
        <v>2330</v>
      </c>
      <c r="D94" s="9" t="s">
        <v>690</v>
      </c>
      <c r="E94" s="28" t="s">
        <v>2171</v>
      </c>
      <c r="F94" s="28" t="s">
        <v>496</v>
      </c>
      <c r="G94" s="28" t="s">
        <v>496</v>
      </c>
      <c r="H94" s="28" t="s">
        <v>1621</v>
      </c>
      <c r="I94" s="28" t="str">
        <f>VLOOKUP(E94,표준용어사전!$C$2:$D$494, 2, FALSE)</f>
        <v>수N14</v>
      </c>
      <c r="J94" s="28" t="s">
        <v>748</v>
      </c>
      <c r="K94" s="29" t="s">
        <v>1137</v>
      </c>
      <c r="L94" s="55" t="s">
        <v>571</v>
      </c>
      <c r="M94" s="29" t="s">
        <v>776</v>
      </c>
      <c r="N94" s="10" t="s">
        <v>75</v>
      </c>
      <c r="O94" s="9"/>
      <c r="P94" s="9" t="s">
        <v>76</v>
      </c>
      <c r="Q94" s="28"/>
      <c r="R94" s="29"/>
      <c r="S94" s="9"/>
      <c r="T94" s="9"/>
      <c r="U94" s="9" t="s">
        <v>75</v>
      </c>
      <c r="V94" s="9" t="s">
        <v>75</v>
      </c>
      <c r="W94" s="9"/>
    </row>
    <row r="95" spans="1:23" s="12" customFormat="1">
      <c r="A95" s="46" t="s">
        <v>711</v>
      </c>
      <c r="B95" s="28" t="s">
        <v>1333</v>
      </c>
      <c r="C95" s="28" t="s">
        <v>2330</v>
      </c>
      <c r="D95" s="9" t="s">
        <v>690</v>
      </c>
      <c r="E95" s="28" t="s">
        <v>2500</v>
      </c>
      <c r="F95" s="28" t="s">
        <v>2172</v>
      </c>
      <c r="G95" s="28" t="s">
        <v>2172</v>
      </c>
      <c r="H95" s="28" t="s">
        <v>1621</v>
      </c>
      <c r="I95" s="28" t="str">
        <f>VLOOKUP(E95,표준용어사전!$C$2:$D$494, 2, FALSE)</f>
        <v>여부C1</v>
      </c>
      <c r="J95" s="28" t="s">
        <v>709</v>
      </c>
      <c r="K95" s="29">
        <v>1</v>
      </c>
      <c r="L95" s="55" t="s">
        <v>571</v>
      </c>
      <c r="M95" s="29" t="s">
        <v>722</v>
      </c>
      <c r="N95" s="29" t="s">
        <v>75</v>
      </c>
      <c r="O95" s="9"/>
      <c r="P95" s="9" t="s">
        <v>76</v>
      </c>
      <c r="Q95" s="28"/>
      <c r="R95" s="29"/>
      <c r="S95" s="9"/>
      <c r="T95" s="9"/>
      <c r="U95" s="9" t="s">
        <v>75</v>
      </c>
      <c r="V95" s="9" t="s">
        <v>75</v>
      </c>
      <c r="W95" s="9"/>
    </row>
    <row r="96" spans="1:23" s="12" customFormat="1">
      <c r="A96" s="46" t="s">
        <v>711</v>
      </c>
      <c r="B96" s="28" t="s">
        <v>1333</v>
      </c>
      <c r="C96" s="28" t="s">
        <v>2330</v>
      </c>
      <c r="D96" s="9" t="s">
        <v>690</v>
      </c>
      <c r="E96" s="28" t="s">
        <v>2501</v>
      </c>
      <c r="F96" s="28" t="s">
        <v>2173</v>
      </c>
      <c r="G96" s="28" t="s">
        <v>2173</v>
      </c>
      <c r="H96" s="28" t="s">
        <v>1621</v>
      </c>
      <c r="I96" s="28" t="str">
        <f>VLOOKUP(E96,표준용어사전!$C$2:$D$494, 2, FALSE)</f>
        <v>연월일시분초TS</v>
      </c>
      <c r="J96" s="28" t="s">
        <v>719</v>
      </c>
      <c r="K96" s="29" t="s">
        <v>571</v>
      </c>
      <c r="L96" s="55" t="s">
        <v>571</v>
      </c>
      <c r="M96" s="29" t="s">
        <v>726</v>
      </c>
      <c r="N96" s="29" t="s">
        <v>75</v>
      </c>
      <c r="O96" s="9"/>
      <c r="P96" s="9" t="s">
        <v>76</v>
      </c>
      <c r="Q96" s="28"/>
      <c r="R96" s="29"/>
      <c r="S96" s="9"/>
      <c r="T96" s="9"/>
      <c r="U96" s="9" t="s">
        <v>75</v>
      </c>
      <c r="V96" s="9" t="s">
        <v>75</v>
      </c>
      <c r="W96" s="9"/>
    </row>
    <row r="97" spans="1:23" s="12" customFormat="1">
      <c r="A97" s="46" t="s">
        <v>711</v>
      </c>
      <c r="B97" s="28" t="s">
        <v>1333</v>
      </c>
      <c r="C97" s="28" t="s">
        <v>2330</v>
      </c>
      <c r="D97" s="9" t="s">
        <v>690</v>
      </c>
      <c r="E97" s="28" t="s">
        <v>2502</v>
      </c>
      <c r="F97" s="28" t="s">
        <v>2174</v>
      </c>
      <c r="G97" s="28" t="s">
        <v>2174</v>
      </c>
      <c r="H97" s="28" t="s">
        <v>1621</v>
      </c>
      <c r="I97" s="28" t="str">
        <f>VLOOKUP(E97,표준용어사전!$C$2:$D$494, 2, FALSE)</f>
        <v>수N14</v>
      </c>
      <c r="J97" s="28" t="s">
        <v>748</v>
      </c>
      <c r="K97" s="29" t="s">
        <v>1137</v>
      </c>
      <c r="L97" s="55" t="s">
        <v>571</v>
      </c>
      <c r="M97" s="29" t="s">
        <v>776</v>
      </c>
      <c r="N97" s="29" t="s">
        <v>75</v>
      </c>
      <c r="O97" s="9"/>
      <c r="P97" s="9" t="s">
        <v>76</v>
      </c>
      <c r="Q97" s="28"/>
      <c r="R97" s="29"/>
      <c r="S97" s="9"/>
      <c r="T97" s="9"/>
      <c r="U97" s="9" t="s">
        <v>75</v>
      </c>
      <c r="V97" s="9" t="s">
        <v>75</v>
      </c>
      <c r="W97" s="9"/>
    </row>
    <row r="98" spans="1:23" s="12" customFormat="1">
      <c r="A98" s="46" t="s">
        <v>711</v>
      </c>
      <c r="B98" s="28" t="s">
        <v>1333</v>
      </c>
      <c r="C98" s="28" t="s">
        <v>2330</v>
      </c>
      <c r="D98" s="9" t="s">
        <v>690</v>
      </c>
      <c r="E98" s="28" t="s">
        <v>2503</v>
      </c>
      <c r="F98" s="28" t="s">
        <v>2175</v>
      </c>
      <c r="G98" s="28" t="s">
        <v>2175</v>
      </c>
      <c r="H98" s="28" t="s">
        <v>1621</v>
      </c>
      <c r="I98" s="28" t="str">
        <f>VLOOKUP(E98,표준용어사전!$C$2:$D$494, 2, FALSE)</f>
        <v>수N14</v>
      </c>
      <c r="J98" s="28" t="s">
        <v>748</v>
      </c>
      <c r="K98" s="29" t="s">
        <v>1137</v>
      </c>
      <c r="L98" s="55" t="s">
        <v>571</v>
      </c>
      <c r="M98" s="29" t="s">
        <v>776</v>
      </c>
      <c r="N98" s="29" t="s">
        <v>75</v>
      </c>
      <c r="O98" s="9"/>
      <c r="P98" s="9" t="s">
        <v>76</v>
      </c>
      <c r="Q98" s="28"/>
      <c r="R98" s="29"/>
      <c r="S98" s="9"/>
      <c r="T98" s="9"/>
      <c r="U98" s="9" t="s">
        <v>75</v>
      </c>
      <c r="V98" s="9" t="s">
        <v>75</v>
      </c>
      <c r="W98" s="9"/>
    </row>
    <row r="99" spans="1:23" s="12" customFormat="1">
      <c r="A99" s="46" t="s">
        <v>711</v>
      </c>
      <c r="B99" s="28" t="s">
        <v>1333</v>
      </c>
      <c r="C99" s="28" t="s">
        <v>2330</v>
      </c>
      <c r="D99" s="9" t="s">
        <v>690</v>
      </c>
      <c r="E99" s="28" t="s">
        <v>2298</v>
      </c>
      <c r="F99" s="28" t="s">
        <v>1936</v>
      </c>
      <c r="G99" s="28" t="s">
        <v>1936</v>
      </c>
      <c r="H99" s="28" t="s">
        <v>1621</v>
      </c>
      <c r="I99" s="28" t="str">
        <f>VLOOKUP(E99,표준용어사전!$C$2:$D$494, 2, FALSE)</f>
        <v>여부C1</v>
      </c>
      <c r="J99" s="28" t="s">
        <v>709</v>
      </c>
      <c r="K99" s="29">
        <v>1</v>
      </c>
      <c r="L99" s="55" t="s">
        <v>571</v>
      </c>
      <c r="M99" s="29" t="s">
        <v>722</v>
      </c>
      <c r="N99" s="29" t="s">
        <v>75</v>
      </c>
      <c r="O99" s="9"/>
      <c r="P99" s="9" t="s">
        <v>76</v>
      </c>
      <c r="Q99" s="28"/>
      <c r="R99" s="29"/>
      <c r="S99" s="9"/>
      <c r="T99" s="9"/>
      <c r="U99" s="9" t="s">
        <v>75</v>
      </c>
      <c r="V99" s="9" t="s">
        <v>75</v>
      </c>
      <c r="W99" s="9"/>
    </row>
    <row r="100" spans="1:23" s="12" customFormat="1">
      <c r="A100" s="46" t="s">
        <v>711</v>
      </c>
      <c r="B100" s="28" t="s">
        <v>1333</v>
      </c>
      <c r="C100" s="28" t="s">
        <v>2330</v>
      </c>
      <c r="D100" s="9" t="s">
        <v>690</v>
      </c>
      <c r="E100" s="28" t="s">
        <v>2299</v>
      </c>
      <c r="F100" s="28" t="s">
        <v>1938</v>
      </c>
      <c r="G100" s="28" t="s">
        <v>1938</v>
      </c>
      <c r="H100" s="28" t="s">
        <v>1621</v>
      </c>
      <c r="I100" s="28" t="str">
        <f>VLOOKUP(E100,표준용어사전!$C$2:$D$494, 2, FALSE)</f>
        <v>연월일시분초TS</v>
      </c>
      <c r="J100" s="28" t="s">
        <v>719</v>
      </c>
      <c r="K100" s="29" t="s">
        <v>571</v>
      </c>
      <c r="L100" s="55" t="s">
        <v>571</v>
      </c>
      <c r="M100" s="29" t="s">
        <v>726</v>
      </c>
      <c r="N100" s="29" t="s">
        <v>75</v>
      </c>
      <c r="O100" s="9"/>
      <c r="P100" s="9" t="s">
        <v>76</v>
      </c>
      <c r="Q100" s="28"/>
      <c r="R100" s="29"/>
      <c r="S100" s="9"/>
      <c r="T100" s="9"/>
      <c r="U100" s="9" t="s">
        <v>75</v>
      </c>
      <c r="V100" s="9" t="s">
        <v>75</v>
      </c>
      <c r="W100" s="9"/>
    </row>
    <row r="101" spans="1:23" s="12" customFormat="1">
      <c r="A101" s="46" t="s">
        <v>711</v>
      </c>
      <c r="B101" s="28" t="s">
        <v>1333</v>
      </c>
      <c r="C101" s="28" t="s">
        <v>2330</v>
      </c>
      <c r="D101" s="9" t="s">
        <v>690</v>
      </c>
      <c r="E101" s="28" t="s">
        <v>2300</v>
      </c>
      <c r="F101" s="28" t="s">
        <v>1940</v>
      </c>
      <c r="G101" s="28" t="s">
        <v>1940</v>
      </c>
      <c r="H101" s="28" t="s">
        <v>1621</v>
      </c>
      <c r="I101" s="28" t="str">
        <f>VLOOKUP(E101,표준용어사전!$C$2:$D$494, 2, FALSE)</f>
        <v>수N14</v>
      </c>
      <c r="J101" s="28" t="s">
        <v>748</v>
      </c>
      <c r="K101" s="29" t="s">
        <v>1137</v>
      </c>
      <c r="L101" s="55" t="s">
        <v>571</v>
      </c>
      <c r="M101" s="29" t="s">
        <v>776</v>
      </c>
      <c r="N101" s="10" t="s">
        <v>75</v>
      </c>
      <c r="O101" s="9"/>
      <c r="P101" s="9" t="s">
        <v>76</v>
      </c>
      <c r="Q101" s="28"/>
      <c r="R101" s="29"/>
      <c r="S101" s="9"/>
      <c r="T101" s="9"/>
      <c r="U101" s="9" t="s">
        <v>75</v>
      </c>
      <c r="V101" s="9" t="s">
        <v>75</v>
      </c>
      <c r="W101" s="9"/>
    </row>
    <row r="102" spans="1:23" s="12" customFormat="1">
      <c r="A102" s="46" t="s">
        <v>711</v>
      </c>
      <c r="B102" s="28" t="s">
        <v>1333</v>
      </c>
      <c r="C102" s="28" t="s">
        <v>2330</v>
      </c>
      <c r="D102" s="28" t="s">
        <v>690</v>
      </c>
      <c r="E102" s="28" t="s">
        <v>2301</v>
      </c>
      <c r="F102" s="28" t="s">
        <v>1942</v>
      </c>
      <c r="G102" s="28" t="s">
        <v>1942</v>
      </c>
      <c r="H102" s="28" t="s">
        <v>1621</v>
      </c>
      <c r="I102" s="28" t="str">
        <f>VLOOKUP(E102,표준용어사전!$C$2:$D$494, 2, FALSE)</f>
        <v>수N14</v>
      </c>
      <c r="J102" s="28" t="s">
        <v>748</v>
      </c>
      <c r="K102" s="29" t="s">
        <v>1137</v>
      </c>
      <c r="L102" s="55" t="s">
        <v>571</v>
      </c>
      <c r="M102" s="29" t="s">
        <v>776</v>
      </c>
      <c r="N102" s="29" t="s">
        <v>75</v>
      </c>
      <c r="O102" s="28"/>
      <c r="P102" s="28" t="s">
        <v>76</v>
      </c>
      <c r="Q102" s="28"/>
      <c r="R102" s="29"/>
      <c r="S102" s="28"/>
      <c r="T102" s="28"/>
      <c r="U102" s="28" t="s">
        <v>75</v>
      </c>
      <c r="V102" s="28" t="s">
        <v>75</v>
      </c>
      <c r="W102" s="28"/>
    </row>
    <row r="103" spans="1:23" s="12" customFormat="1">
      <c r="A103" s="46" t="s">
        <v>711</v>
      </c>
      <c r="B103" s="28" t="s">
        <v>1333</v>
      </c>
      <c r="C103" s="28" t="s">
        <v>2330</v>
      </c>
      <c r="D103" s="28" t="s">
        <v>690</v>
      </c>
      <c r="E103" s="28" t="s">
        <v>2504</v>
      </c>
      <c r="F103" s="28" t="s">
        <v>2302</v>
      </c>
      <c r="G103" s="28" t="s">
        <v>2302</v>
      </c>
      <c r="H103" s="28" t="s">
        <v>1621</v>
      </c>
      <c r="I103" s="28" t="str">
        <f>VLOOKUP(E103,표준용어사전!$C$2:$D$494, 2, FALSE)</f>
        <v>여부C1</v>
      </c>
      <c r="J103" s="28" t="s">
        <v>709</v>
      </c>
      <c r="K103" s="29">
        <v>1</v>
      </c>
      <c r="L103" s="55" t="s">
        <v>571</v>
      </c>
      <c r="M103" s="29" t="s">
        <v>722</v>
      </c>
      <c r="N103" s="29" t="s">
        <v>75</v>
      </c>
      <c r="O103" s="28"/>
      <c r="P103" s="28" t="s">
        <v>76</v>
      </c>
      <c r="Q103" s="28"/>
      <c r="R103" s="29"/>
      <c r="S103" s="28"/>
      <c r="T103" s="28"/>
      <c r="U103" s="28" t="s">
        <v>75</v>
      </c>
      <c r="V103" s="28" t="s">
        <v>75</v>
      </c>
      <c r="W103" s="28"/>
    </row>
    <row r="104" spans="1:23" s="12" customFormat="1">
      <c r="A104" s="46" t="s">
        <v>711</v>
      </c>
      <c r="B104" s="28" t="s">
        <v>1333</v>
      </c>
      <c r="C104" s="28" t="s">
        <v>2330</v>
      </c>
      <c r="D104" s="9" t="s">
        <v>690</v>
      </c>
      <c r="E104" s="28" t="s">
        <v>2505</v>
      </c>
      <c r="F104" s="28" t="s">
        <v>2303</v>
      </c>
      <c r="G104" s="28" t="s">
        <v>2303</v>
      </c>
      <c r="H104" s="28" t="s">
        <v>1621</v>
      </c>
      <c r="I104" s="28" t="str">
        <f>VLOOKUP(E104,표준용어사전!$C$2:$D$494, 2, FALSE)</f>
        <v>연월일시분초TS</v>
      </c>
      <c r="J104" s="28" t="s">
        <v>719</v>
      </c>
      <c r="K104" s="29" t="s">
        <v>571</v>
      </c>
      <c r="L104" s="55" t="s">
        <v>571</v>
      </c>
      <c r="M104" s="29" t="s">
        <v>726</v>
      </c>
      <c r="N104" s="29" t="s">
        <v>75</v>
      </c>
      <c r="O104" s="48"/>
      <c r="P104" s="9" t="s">
        <v>76</v>
      </c>
      <c r="Q104" s="28"/>
      <c r="R104" s="29"/>
      <c r="S104" s="9"/>
      <c r="T104" s="9"/>
      <c r="U104" s="9" t="s">
        <v>75</v>
      </c>
      <c r="V104" s="9" t="s">
        <v>75</v>
      </c>
      <c r="W104" s="9"/>
    </row>
    <row r="105" spans="1:23" s="12" customFormat="1">
      <c r="A105" s="46" t="s">
        <v>711</v>
      </c>
      <c r="B105" s="28" t="s">
        <v>1333</v>
      </c>
      <c r="C105" s="28" t="s">
        <v>2330</v>
      </c>
      <c r="D105" s="9" t="s">
        <v>690</v>
      </c>
      <c r="E105" s="28" t="s">
        <v>2506</v>
      </c>
      <c r="F105" s="28" t="s">
        <v>2304</v>
      </c>
      <c r="G105" s="28" t="s">
        <v>2304</v>
      </c>
      <c r="H105" s="28" t="s">
        <v>1621</v>
      </c>
      <c r="I105" s="28" t="str">
        <f>VLOOKUP(E105,표준용어사전!$C$2:$D$494, 2, FALSE)</f>
        <v>수N14</v>
      </c>
      <c r="J105" s="28" t="s">
        <v>748</v>
      </c>
      <c r="K105" s="29" t="s">
        <v>1137</v>
      </c>
      <c r="L105" s="55" t="s">
        <v>571</v>
      </c>
      <c r="M105" s="29" t="s">
        <v>776</v>
      </c>
      <c r="N105" s="50" t="s">
        <v>75</v>
      </c>
      <c r="O105" s="48"/>
      <c r="P105" s="9" t="s">
        <v>76</v>
      </c>
      <c r="Q105" s="28"/>
      <c r="R105" s="29"/>
      <c r="S105" s="9"/>
      <c r="T105" s="9"/>
      <c r="U105" s="9" t="s">
        <v>75</v>
      </c>
      <c r="V105" s="9" t="s">
        <v>75</v>
      </c>
      <c r="W105" s="9"/>
    </row>
    <row r="106" spans="1:23" s="12" customFormat="1">
      <c r="A106" s="46" t="s">
        <v>711</v>
      </c>
      <c r="B106" s="28" t="s">
        <v>1333</v>
      </c>
      <c r="C106" s="28" t="s">
        <v>2330</v>
      </c>
      <c r="D106" s="28" t="s">
        <v>690</v>
      </c>
      <c r="E106" s="28" t="s">
        <v>2507</v>
      </c>
      <c r="F106" s="28" t="s">
        <v>2305</v>
      </c>
      <c r="G106" s="28" t="s">
        <v>2305</v>
      </c>
      <c r="H106" s="28" t="s">
        <v>1621</v>
      </c>
      <c r="I106" s="28" t="str">
        <f>VLOOKUP(E106,표준용어사전!$C$2:$D$494, 2, FALSE)</f>
        <v>수N14</v>
      </c>
      <c r="J106" s="28" t="s">
        <v>748</v>
      </c>
      <c r="K106" s="29" t="s">
        <v>1137</v>
      </c>
      <c r="L106" s="55" t="s">
        <v>571</v>
      </c>
      <c r="M106" s="29" t="s">
        <v>776</v>
      </c>
      <c r="N106" s="29" t="s">
        <v>75</v>
      </c>
      <c r="O106" s="28"/>
      <c r="P106" s="28" t="s">
        <v>76</v>
      </c>
      <c r="Q106" s="28"/>
      <c r="R106" s="29"/>
      <c r="S106" s="28"/>
      <c r="T106" s="28"/>
      <c r="U106" s="9" t="s">
        <v>75</v>
      </c>
      <c r="V106" s="9" t="s">
        <v>75</v>
      </c>
      <c r="W106" s="28"/>
    </row>
    <row r="107" spans="1:23" s="12" customFormat="1">
      <c r="A107" s="46" t="s">
        <v>711</v>
      </c>
      <c r="B107" s="28" t="s">
        <v>1333</v>
      </c>
      <c r="C107" s="28" t="s">
        <v>2330</v>
      </c>
      <c r="D107" s="9" t="s">
        <v>690</v>
      </c>
      <c r="E107" s="28" t="s">
        <v>90</v>
      </c>
      <c r="F107" s="28" t="s">
        <v>14</v>
      </c>
      <c r="G107" s="28" t="s">
        <v>14</v>
      </c>
      <c r="H107" s="28" t="s">
        <v>1621</v>
      </c>
      <c r="I107" s="28" t="str">
        <f>VLOOKUP(E107,표준용어사전!$C$2:$D$494, 2, FALSE)</f>
        <v>연월일시분초TS</v>
      </c>
      <c r="J107" s="28" t="s">
        <v>719</v>
      </c>
      <c r="K107" s="29" t="s">
        <v>571</v>
      </c>
      <c r="L107" s="55" t="s">
        <v>571</v>
      </c>
      <c r="M107" s="29" t="s">
        <v>726</v>
      </c>
      <c r="N107" s="29" t="s">
        <v>973</v>
      </c>
      <c r="O107" s="9"/>
      <c r="P107" s="9" t="s">
        <v>76</v>
      </c>
      <c r="Q107" s="28"/>
      <c r="R107" s="29"/>
      <c r="S107" s="9"/>
      <c r="T107" s="9"/>
      <c r="U107" s="9" t="s">
        <v>75</v>
      </c>
      <c r="V107" s="9" t="s">
        <v>75</v>
      </c>
      <c r="W107" s="9"/>
    </row>
    <row r="108" spans="1:23" s="12" customFormat="1">
      <c r="A108" s="46" t="s">
        <v>711</v>
      </c>
      <c r="B108" s="28" t="s">
        <v>1333</v>
      </c>
      <c r="C108" s="28" t="s">
        <v>2330</v>
      </c>
      <c r="D108" s="9" t="s">
        <v>690</v>
      </c>
      <c r="E108" s="28" t="s">
        <v>91</v>
      </c>
      <c r="F108" s="28" t="s">
        <v>369</v>
      </c>
      <c r="G108" s="28" t="s">
        <v>369</v>
      </c>
      <c r="H108" s="28" t="s">
        <v>1621</v>
      </c>
      <c r="I108" s="28" t="str">
        <f>VLOOKUP(E108,표준용어사전!$C$2:$D$494, 2, FALSE)</f>
        <v>명V20</v>
      </c>
      <c r="J108" s="28" t="s">
        <v>718</v>
      </c>
      <c r="K108" s="29" t="s">
        <v>986</v>
      </c>
      <c r="L108" s="55" t="s">
        <v>571</v>
      </c>
      <c r="M108" s="29" t="s">
        <v>727</v>
      </c>
      <c r="N108" s="10" t="s">
        <v>75</v>
      </c>
      <c r="O108" s="9"/>
      <c r="P108" s="9" t="s">
        <v>76</v>
      </c>
      <c r="Q108" s="28"/>
      <c r="R108" s="29"/>
      <c r="S108" s="9"/>
      <c r="T108" s="9"/>
      <c r="U108" s="9" t="s">
        <v>75</v>
      </c>
      <c r="V108" s="9" t="s">
        <v>75</v>
      </c>
      <c r="W108" s="9"/>
    </row>
    <row r="109" spans="1:23" s="12" customFormat="1">
      <c r="A109" s="46" t="s">
        <v>711</v>
      </c>
      <c r="B109" s="28" t="s">
        <v>1333</v>
      </c>
      <c r="C109" s="28" t="s">
        <v>2330</v>
      </c>
      <c r="D109" s="9" t="s">
        <v>690</v>
      </c>
      <c r="E109" s="28" t="s">
        <v>92</v>
      </c>
      <c r="F109" s="28" t="s">
        <v>15</v>
      </c>
      <c r="G109" s="28" t="s">
        <v>15</v>
      </c>
      <c r="H109" s="28" t="s">
        <v>1621</v>
      </c>
      <c r="I109" s="28" t="str">
        <f>VLOOKUP(E109,표준용어사전!$C$2:$D$494, 2, FALSE)</f>
        <v>연월일시분초TS</v>
      </c>
      <c r="J109" s="28" t="s">
        <v>719</v>
      </c>
      <c r="K109" s="29" t="s">
        <v>571</v>
      </c>
      <c r="L109" s="55" t="s">
        <v>571</v>
      </c>
      <c r="M109" s="29" t="s">
        <v>726</v>
      </c>
      <c r="N109" s="10" t="s">
        <v>75</v>
      </c>
      <c r="O109" s="9"/>
      <c r="P109" s="9" t="s">
        <v>76</v>
      </c>
      <c r="Q109" s="28"/>
      <c r="R109" s="29"/>
      <c r="S109" s="9"/>
      <c r="T109" s="9"/>
      <c r="U109" s="9" t="s">
        <v>75</v>
      </c>
      <c r="V109" s="9" t="s">
        <v>75</v>
      </c>
      <c r="W109" s="9"/>
    </row>
    <row r="110" spans="1:23" s="12" customFormat="1">
      <c r="A110" s="46" t="s">
        <v>711</v>
      </c>
      <c r="B110" s="28" t="s">
        <v>1333</v>
      </c>
      <c r="C110" s="28" t="s">
        <v>2330</v>
      </c>
      <c r="D110" s="9" t="s">
        <v>690</v>
      </c>
      <c r="E110" s="28" t="s">
        <v>93</v>
      </c>
      <c r="F110" s="28" t="s">
        <v>370</v>
      </c>
      <c r="G110" s="28" t="s">
        <v>370</v>
      </c>
      <c r="H110" s="28" t="s">
        <v>1621</v>
      </c>
      <c r="I110" s="28" t="str">
        <f>VLOOKUP(E110,표준용어사전!$C$2:$D$494, 2, FALSE)</f>
        <v>명V20</v>
      </c>
      <c r="J110" s="28" t="s">
        <v>718</v>
      </c>
      <c r="K110" s="29" t="s">
        <v>986</v>
      </c>
      <c r="L110" s="55" t="s">
        <v>571</v>
      </c>
      <c r="M110" s="29" t="s">
        <v>727</v>
      </c>
      <c r="N110" s="10" t="s">
        <v>75</v>
      </c>
      <c r="O110" s="9"/>
      <c r="P110" s="9" t="s">
        <v>76</v>
      </c>
      <c r="Q110" s="28"/>
      <c r="R110" s="29"/>
      <c r="S110" s="9"/>
      <c r="T110" s="9"/>
      <c r="U110" s="9" t="s">
        <v>75</v>
      </c>
      <c r="V110" s="9" t="s">
        <v>75</v>
      </c>
      <c r="W110" s="9"/>
    </row>
    <row r="111" spans="1:23" s="12" customFormat="1">
      <c r="A111" s="46" t="s">
        <v>572</v>
      </c>
      <c r="B111" s="28" t="s">
        <v>1336</v>
      </c>
      <c r="C111" s="28" t="s">
        <v>2330</v>
      </c>
      <c r="D111" s="9" t="s">
        <v>689</v>
      </c>
      <c r="E111" s="28" t="s">
        <v>635</v>
      </c>
      <c r="F111" s="28" t="s">
        <v>1615</v>
      </c>
      <c r="G111" s="28" t="s">
        <v>1615</v>
      </c>
      <c r="H111" s="28" t="s">
        <v>2332</v>
      </c>
      <c r="I111" s="28" t="str">
        <f>VLOOKUP(E111,표준용어사전!$C$2:$D$494, 2, FALSE)</f>
        <v>명V20</v>
      </c>
      <c r="J111" s="28" t="s">
        <v>718</v>
      </c>
      <c r="K111" s="29" t="s">
        <v>986</v>
      </c>
      <c r="L111" s="55" t="s">
        <v>571</v>
      </c>
      <c r="M111" s="29" t="s">
        <v>727</v>
      </c>
      <c r="N111" s="29" t="s">
        <v>973</v>
      </c>
      <c r="O111" s="9" t="s">
        <v>73</v>
      </c>
      <c r="P111" s="9" t="s">
        <v>76</v>
      </c>
      <c r="Q111" s="28"/>
      <c r="R111" s="29"/>
      <c r="S111" s="9"/>
      <c r="T111" s="9"/>
      <c r="U111" s="9" t="s">
        <v>75</v>
      </c>
      <c r="V111" s="9" t="s">
        <v>75</v>
      </c>
      <c r="W111" s="9"/>
    </row>
    <row r="112" spans="1:23" s="12" customFormat="1">
      <c r="A112" s="46" t="s">
        <v>572</v>
      </c>
      <c r="B112" s="28" t="s">
        <v>1336</v>
      </c>
      <c r="C112" s="28" t="s">
        <v>2330</v>
      </c>
      <c r="D112" s="9" t="s">
        <v>689</v>
      </c>
      <c r="E112" s="28" t="s">
        <v>636</v>
      </c>
      <c r="F112" s="28" t="s">
        <v>2395</v>
      </c>
      <c r="G112" s="28" t="s">
        <v>2395</v>
      </c>
      <c r="H112" s="28" t="s">
        <v>2332</v>
      </c>
      <c r="I112" s="28" t="str">
        <f>VLOOKUP(E112,표준용어사전!$C$2:$D$494, 2, FALSE)</f>
        <v>코드C3</v>
      </c>
      <c r="J112" s="28" t="s">
        <v>709</v>
      </c>
      <c r="K112" s="29">
        <v>3</v>
      </c>
      <c r="L112" s="55" t="s">
        <v>571</v>
      </c>
      <c r="M112" s="29" t="s">
        <v>981</v>
      </c>
      <c r="N112" s="10" t="s">
        <v>75</v>
      </c>
      <c r="O112" s="9"/>
      <c r="P112" s="9" t="s">
        <v>76</v>
      </c>
      <c r="Q112" s="28"/>
      <c r="R112" s="29"/>
      <c r="S112" s="9"/>
      <c r="T112" s="9"/>
      <c r="U112" s="9" t="s">
        <v>75</v>
      </c>
      <c r="V112" s="9" t="s">
        <v>75</v>
      </c>
      <c r="W112" s="9"/>
    </row>
    <row r="113" spans="1:23" s="12" customFormat="1">
      <c r="A113" s="46" t="s">
        <v>572</v>
      </c>
      <c r="B113" s="28" t="s">
        <v>1336</v>
      </c>
      <c r="C113" s="28" t="s">
        <v>2330</v>
      </c>
      <c r="D113" s="9" t="s">
        <v>689</v>
      </c>
      <c r="E113" s="28" t="s">
        <v>2150</v>
      </c>
      <c r="F113" s="28" t="s">
        <v>2396</v>
      </c>
      <c r="G113" s="28" t="s">
        <v>2396</v>
      </c>
      <c r="H113" s="28" t="s">
        <v>2332</v>
      </c>
      <c r="I113" s="28" t="str">
        <f>VLOOKUP(E113,표준용어사전!$C$2:$D$494, 2, FALSE)</f>
        <v>코드V50</v>
      </c>
      <c r="J113" s="28" t="s">
        <v>718</v>
      </c>
      <c r="K113" s="29">
        <v>50</v>
      </c>
      <c r="L113" s="55" t="s">
        <v>571</v>
      </c>
      <c r="M113" s="29" t="s">
        <v>720</v>
      </c>
      <c r="N113" s="10" t="s">
        <v>75</v>
      </c>
      <c r="O113" s="9"/>
      <c r="P113" s="9" t="s">
        <v>76</v>
      </c>
      <c r="Q113" s="28"/>
      <c r="R113" s="29"/>
      <c r="S113" s="9"/>
      <c r="T113" s="9"/>
      <c r="U113" s="9" t="s">
        <v>75</v>
      </c>
      <c r="V113" s="9" t="s">
        <v>75</v>
      </c>
      <c r="W113" s="9"/>
    </row>
    <row r="114" spans="1:23" s="12" customFormat="1">
      <c r="A114" s="46" t="s">
        <v>572</v>
      </c>
      <c r="B114" s="28" t="s">
        <v>1336</v>
      </c>
      <c r="C114" s="28" t="s">
        <v>2330</v>
      </c>
      <c r="D114" s="9" t="s">
        <v>689</v>
      </c>
      <c r="E114" s="28" t="s">
        <v>2151</v>
      </c>
      <c r="F114" s="28" t="s">
        <v>1619</v>
      </c>
      <c r="G114" s="28" t="s">
        <v>1619</v>
      </c>
      <c r="H114" s="28" t="s">
        <v>2332</v>
      </c>
      <c r="I114" s="28" t="str">
        <f>VLOOKUP(E114,표준용어사전!$C$2:$D$494, 2, FALSE)</f>
        <v>내용V2000</v>
      </c>
      <c r="J114" s="28" t="s">
        <v>718</v>
      </c>
      <c r="K114" s="29">
        <v>2000</v>
      </c>
      <c r="L114" s="55" t="s">
        <v>571</v>
      </c>
      <c r="M114" s="29" t="s">
        <v>728</v>
      </c>
      <c r="N114" s="10" t="s">
        <v>75</v>
      </c>
      <c r="O114" s="9"/>
      <c r="P114" s="9" t="s">
        <v>76</v>
      </c>
      <c r="Q114" s="28"/>
      <c r="R114" s="29"/>
      <c r="S114" s="9"/>
      <c r="T114" s="9"/>
      <c r="U114" s="9" t="s">
        <v>75</v>
      </c>
      <c r="V114" s="9" t="s">
        <v>75</v>
      </c>
      <c r="W114" s="9"/>
    </row>
    <row r="115" spans="1:23" s="12" customFormat="1">
      <c r="A115" s="46" t="s">
        <v>572</v>
      </c>
      <c r="B115" s="28" t="s">
        <v>1336</v>
      </c>
      <c r="C115" s="28" t="s">
        <v>2330</v>
      </c>
      <c r="D115" s="9" t="s">
        <v>689</v>
      </c>
      <c r="E115" s="28" t="s">
        <v>639</v>
      </c>
      <c r="F115" s="28" t="s">
        <v>2397</v>
      </c>
      <c r="G115" s="28" t="s">
        <v>2397</v>
      </c>
      <c r="H115" s="28" t="s">
        <v>2332</v>
      </c>
      <c r="I115" s="28" t="str">
        <f>VLOOKUP(E115,표준용어사전!$C$2:$D$494, 2, FALSE)</f>
        <v>코드C4</v>
      </c>
      <c r="J115" s="28" t="s">
        <v>709</v>
      </c>
      <c r="K115" s="29">
        <v>4</v>
      </c>
      <c r="L115" s="55" t="s">
        <v>571</v>
      </c>
      <c r="M115" s="29" t="s">
        <v>929</v>
      </c>
      <c r="N115" s="29" t="s">
        <v>75</v>
      </c>
      <c r="O115" s="9"/>
      <c r="P115" s="9" t="s">
        <v>76</v>
      </c>
      <c r="Q115" s="28"/>
      <c r="R115" s="29"/>
      <c r="S115" s="9"/>
      <c r="T115" s="9"/>
      <c r="U115" s="9" t="s">
        <v>75</v>
      </c>
      <c r="V115" s="9" t="s">
        <v>75</v>
      </c>
      <c r="W115" s="9"/>
    </row>
    <row r="116" spans="1:23" s="12" customFormat="1">
      <c r="A116" s="46" t="s">
        <v>572</v>
      </c>
      <c r="B116" s="28" t="s">
        <v>1336</v>
      </c>
      <c r="C116" s="28" t="s">
        <v>2330</v>
      </c>
      <c r="D116" s="9" t="s">
        <v>689</v>
      </c>
      <c r="E116" s="28" t="s">
        <v>640</v>
      </c>
      <c r="F116" s="28" t="s">
        <v>2398</v>
      </c>
      <c r="G116" s="28" t="s">
        <v>2398</v>
      </c>
      <c r="H116" s="28" t="s">
        <v>2332</v>
      </c>
      <c r="I116" s="28" t="str">
        <f>VLOOKUP(E116,표준용어사전!$C$2:$D$494, 2, FALSE)</f>
        <v>명V512</v>
      </c>
      <c r="J116" s="28" t="s">
        <v>718</v>
      </c>
      <c r="K116" s="29">
        <v>512</v>
      </c>
      <c r="L116" s="55" t="s">
        <v>571</v>
      </c>
      <c r="M116" s="29" t="s">
        <v>721</v>
      </c>
      <c r="N116" s="29" t="s">
        <v>75</v>
      </c>
      <c r="O116" s="9"/>
      <c r="P116" s="9" t="s">
        <v>76</v>
      </c>
      <c r="Q116" s="28"/>
      <c r="R116" s="29"/>
      <c r="S116" s="9"/>
      <c r="T116" s="9"/>
      <c r="U116" s="9" t="s">
        <v>75</v>
      </c>
      <c r="V116" s="9" t="s">
        <v>75</v>
      </c>
      <c r="W116" s="9"/>
    </row>
    <row r="117" spans="1:23" s="12" customFormat="1">
      <c r="A117" s="46" t="s">
        <v>572</v>
      </c>
      <c r="B117" s="28" t="s">
        <v>1336</v>
      </c>
      <c r="C117" s="28" t="s">
        <v>2330</v>
      </c>
      <c r="D117" s="9" t="s">
        <v>689</v>
      </c>
      <c r="E117" s="28" t="s">
        <v>89</v>
      </c>
      <c r="F117" s="28" t="s">
        <v>501</v>
      </c>
      <c r="G117" s="28" t="s">
        <v>501</v>
      </c>
      <c r="H117" s="28" t="s">
        <v>2332</v>
      </c>
      <c r="I117" s="28" t="str">
        <f>VLOOKUP(E117,표준용어사전!$C$2:$D$494, 2, FALSE)</f>
        <v>명V20</v>
      </c>
      <c r="J117" s="28" t="s">
        <v>718</v>
      </c>
      <c r="K117" s="29" t="s">
        <v>986</v>
      </c>
      <c r="L117" s="55" t="s">
        <v>571</v>
      </c>
      <c r="M117" s="29" t="s">
        <v>727</v>
      </c>
      <c r="N117" s="29" t="s">
        <v>75</v>
      </c>
      <c r="O117" s="9"/>
      <c r="P117" s="9" t="s">
        <v>76</v>
      </c>
      <c r="Q117" s="28"/>
      <c r="R117" s="29"/>
      <c r="S117" s="9"/>
      <c r="T117" s="9"/>
      <c r="U117" s="9" t="s">
        <v>75</v>
      </c>
      <c r="V117" s="9" t="s">
        <v>75</v>
      </c>
      <c r="W117" s="9"/>
    </row>
    <row r="118" spans="1:23" s="12" customFormat="1">
      <c r="A118" s="46" t="s">
        <v>572</v>
      </c>
      <c r="B118" s="28" t="s">
        <v>1336</v>
      </c>
      <c r="C118" s="28" t="s">
        <v>2330</v>
      </c>
      <c r="D118" s="9" t="s">
        <v>689</v>
      </c>
      <c r="E118" s="28" t="s">
        <v>295</v>
      </c>
      <c r="F118" s="28" t="s">
        <v>518</v>
      </c>
      <c r="G118" s="28" t="s">
        <v>518</v>
      </c>
      <c r="H118" s="28" t="s">
        <v>2332</v>
      </c>
      <c r="I118" s="28" t="str">
        <f>VLOOKUP(E118,표준용어사전!$C$2:$D$494, 2, FALSE)</f>
        <v>명V50</v>
      </c>
      <c r="J118" s="28" t="s">
        <v>718</v>
      </c>
      <c r="K118" s="29">
        <v>50</v>
      </c>
      <c r="L118" s="55" t="s">
        <v>571</v>
      </c>
      <c r="M118" s="29" t="s">
        <v>720</v>
      </c>
      <c r="N118" s="29" t="s">
        <v>75</v>
      </c>
      <c r="O118" s="9"/>
      <c r="P118" s="9" t="s">
        <v>76</v>
      </c>
      <c r="Q118" s="28"/>
      <c r="R118" s="29"/>
      <c r="S118" s="9"/>
      <c r="T118" s="9"/>
      <c r="U118" s="9" t="s">
        <v>75</v>
      </c>
      <c r="V118" s="9" t="s">
        <v>75</v>
      </c>
      <c r="W118" s="9"/>
    </row>
    <row r="119" spans="1:23" s="12" customFormat="1">
      <c r="A119" s="46" t="s">
        <v>572</v>
      </c>
      <c r="B119" s="28" t="s">
        <v>1336</v>
      </c>
      <c r="C119" s="28" t="s">
        <v>2330</v>
      </c>
      <c r="D119" s="28" t="s">
        <v>689</v>
      </c>
      <c r="E119" s="28" t="s">
        <v>2152</v>
      </c>
      <c r="F119" s="28" t="s">
        <v>517</v>
      </c>
      <c r="G119" s="28" t="s">
        <v>517</v>
      </c>
      <c r="H119" s="28" t="s">
        <v>2332</v>
      </c>
      <c r="I119" s="28" t="str">
        <f>VLOOKUP(E119,표준용어사전!$C$2:$D$494, 2, FALSE)</f>
        <v>명V50</v>
      </c>
      <c r="J119" s="28" t="s">
        <v>718</v>
      </c>
      <c r="K119" s="29">
        <v>50</v>
      </c>
      <c r="L119" s="55" t="s">
        <v>571</v>
      </c>
      <c r="M119" s="29" t="s">
        <v>720</v>
      </c>
      <c r="N119" s="29" t="s">
        <v>75</v>
      </c>
      <c r="O119" s="9"/>
      <c r="P119" s="28" t="s">
        <v>76</v>
      </c>
      <c r="Q119" s="28"/>
      <c r="R119" s="29"/>
      <c r="S119" s="28"/>
      <c r="T119" s="28"/>
      <c r="U119" s="9" t="s">
        <v>75</v>
      </c>
      <c r="V119" s="9" t="s">
        <v>75</v>
      </c>
      <c r="W119" s="28"/>
    </row>
    <row r="120" spans="1:23" s="12" customFormat="1">
      <c r="A120" s="46" t="s">
        <v>572</v>
      </c>
      <c r="B120" s="28" t="s">
        <v>1336</v>
      </c>
      <c r="C120" s="28" t="s">
        <v>2330</v>
      </c>
      <c r="D120" s="9" t="s">
        <v>689</v>
      </c>
      <c r="E120" s="28" t="s">
        <v>151</v>
      </c>
      <c r="F120" s="28" t="s">
        <v>413</v>
      </c>
      <c r="G120" s="28" t="s">
        <v>413</v>
      </c>
      <c r="H120" s="28" t="s">
        <v>2332</v>
      </c>
      <c r="I120" s="28" t="str">
        <f>VLOOKUP(E120,표준용어사전!$C$2:$D$494, 2, FALSE)</f>
        <v>번호N10</v>
      </c>
      <c r="J120" s="28" t="s">
        <v>748</v>
      </c>
      <c r="K120" s="29">
        <v>10</v>
      </c>
      <c r="L120" s="55" t="s">
        <v>571</v>
      </c>
      <c r="M120" s="29" t="s">
        <v>2592</v>
      </c>
      <c r="N120" s="29" t="s">
        <v>75</v>
      </c>
      <c r="O120" s="9"/>
      <c r="P120" s="9" t="s">
        <v>76</v>
      </c>
      <c r="Q120" s="28"/>
      <c r="R120" s="29"/>
      <c r="S120" s="9"/>
      <c r="T120" s="9"/>
      <c r="U120" s="9" t="s">
        <v>75</v>
      </c>
      <c r="V120" s="9" t="s">
        <v>75</v>
      </c>
      <c r="W120" s="9"/>
    </row>
    <row r="121" spans="1:23" s="12" customFormat="1">
      <c r="A121" s="46" t="s">
        <v>572</v>
      </c>
      <c r="B121" s="28" t="s">
        <v>1336</v>
      </c>
      <c r="C121" s="28" t="s">
        <v>2330</v>
      </c>
      <c r="D121" s="9" t="s">
        <v>689</v>
      </c>
      <c r="E121" s="28" t="s">
        <v>202</v>
      </c>
      <c r="F121" s="28" t="s">
        <v>451</v>
      </c>
      <c r="G121" s="28" t="s">
        <v>451</v>
      </c>
      <c r="H121" s="28" t="s">
        <v>2332</v>
      </c>
      <c r="I121" s="28" t="str">
        <f>VLOOKUP(E121,표준용어사전!$C$2:$D$494, 2, FALSE)</f>
        <v>명V20</v>
      </c>
      <c r="J121" s="28" t="s">
        <v>718</v>
      </c>
      <c r="K121" s="29" t="s">
        <v>986</v>
      </c>
      <c r="L121" s="55" t="s">
        <v>571</v>
      </c>
      <c r="M121" s="29" t="s">
        <v>727</v>
      </c>
      <c r="N121" s="10" t="s">
        <v>75</v>
      </c>
      <c r="O121" s="9"/>
      <c r="P121" s="9" t="s">
        <v>76</v>
      </c>
      <c r="Q121" s="28"/>
      <c r="R121" s="29"/>
      <c r="S121" s="9"/>
      <c r="T121" s="9"/>
      <c r="U121" s="9" t="s">
        <v>75</v>
      </c>
      <c r="V121" s="9" t="s">
        <v>75</v>
      </c>
      <c r="W121" s="9"/>
    </row>
    <row r="122" spans="1:23" s="12" customFormat="1">
      <c r="A122" s="46" t="s">
        <v>572</v>
      </c>
      <c r="B122" s="28" t="s">
        <v>1336</v>
      </c>
      <c r="C122" s="28" t="s">
        <v>2330</v>
      </c>
      <c r="D122" s="9" t="s">
        <v>689</v>
      </c>
      <c r="E122" s="28" t="s">
        <v>2153</v>
      </c>
      <c r="F122" s="28" t="s">
        <v>478</v>
      </c>
      <c r="G122" s="28" t="s">
        <v>478</v>
      </c>
      <c r="H122" s="28" t="s">
        <v>2332</v>
      </c>
      <c r="I122" s="28" t="str">
        <f>VLOOKUP(E122,표준용어사전!$C$2:$D$494, 2, FALSE)</f>
        <v>명V50</v>
      </c>
      <c r="J122" s="28" t="s">
        <v>718</v>
      </c>
      <c r="K122" s="29">
        <v>50</v>
      </c>
      <c r="L122" s="55" t="s">
        <v>571</v>
      </c>
      <c r="M122" s="29" t="s">
        <v>720</v>
      </c>
      <c r="N122" s="10" t="s">
        <v>75</v>
      </c>
      <c r="O122" s="9"/>
      <c r="P122" s="9" t="s">
        <v>76</v>
      </c>
      <c r="Q122" s="28"/>
      <c r="R122" s="29"/>
      <c r="S122" s="9"/>
      <c r="T122" s="9"/>
      <c r="U122" s="9" t="s">
        <v>75</v>
      </c>
      <c r="V122" s="9" t="s">
        <v>75</v>
      </c>
      <c r="W122" s="9"/>
    </row>
    <row r="123" spans="1:23" s="12" customFormat="1">
      <c r="A123" s="46" t="s">
        <v>572</v>
      </c>
      <c r="B123" s="28" t="s">
        <v>1336</v>
      </c>
      <c r="C123" s="28" t="s">
        <v>2330</v>
      </c>
      <c r="D123" s="9" t="s">
        <v>689</v>
      </c>
      <c r="E123" s="28" t="s">
        <v>91</v>
      </c>
      <c r="F123" s="28" t="s">
        <v>369</v>
      </c>
      <c r="G123" s="28" t="s">
        <v>369</v>
      </c>
      <c r="H123" s="28" t="s">
        <v>2332</v>
      </c>
      <c r="I123" s="28" t="str">
        <f>VLOOKUP(E123,표준용어사전!$C$2:$D$494, 2, FALSE)</f>
        <v>명V20</v>
      </c>
      <c r="J123" s="28" t="s">
        <v>718</v>
      </c>
      <c r="K123" s="29" t="s">
        <v>986</v>
      </c>
      <c r="L123" s="55" t="s">
        <v>571</v>
      </c>
      <c r="M123" s="29" t="s">
        <v>727</v>
      </c>
      <c r="N123" s="10" t="s">
        <v>75</v>
      </c>
      <c r="O123" s="9"/>
      <c r="P123" s="9" t="s">
        <v>76</v>
      </c>
      <c r="Q123" s="28"/>
      <c r="R123" s="29"/>
      <c r="S123" s="9"/>
      <c r="T123" s="9"/>
      <c r="U123" s="9" t="s">
        <v>75</v>
      </c>
      <c r="V123" s="9" t="s">
        <v>75</v>
      </c>
      <c r="W123" s="9"/>
    </row>
    <row r="124" spans="1:23" s="12" customFormat="1">
      <c r="A124" s="46" t="s">
        <v>572</v>
      </c>
      <c r="B124" s="28" t="s">
        <v>1336</v>
      </c>
      <c r="C124" s="28" t="s">
        <v>2330</v>
      </c>
      <c r="D124" s="28" t="s">
        <v>689</v>
      </c>
      <c r="E124" s="28" t="s">
        <v>90</v>
      </c>
      <c r="F124" s="28" t="s">
        <v>14</v>
      </c>
      <c r="G124" s="28" t="s">
        <v>14</v>
      </c>
      <c r="H124" s="28" t="s">
        <v>2332</v>
      </c>
      <c r="I124" s="28" t="str">
        <f>VLOOKUP(E124,표준용어사전!$C$2:$D$494, 2, FALSE)</f>
        <v>연월일시분초TS</v>
      </c>
      <c r="J124" s="28" t="s">
        <v>719</v>
      </c>
      <c r="K124" s="29" t="s">
        <v>571</v>
      </c>
      <c r="L124" s="55" t="s">
        <v>571</v>
      </c>
      <c r="M124" s="29" t="s">
        <v>726</v>
      </c>
      <c r="N124" s="29" t="s">
        <v>973</v>
      </c>
      <c r="O124" s="48"/>
      <c r="P124" s="28" t="s">
        <v>76</v>
      </c>
      <c r="Q124" s="28"/>
      <c r="R124" s="29"/>
      <c r="S124" s="28"/>
      <c r="T124" s="28"/>
      <c r="U124" s="28" t="s">
        <v>75</v>
      </c>
      <c r="V124" s="28" t="s">
        <v>75</v>
      </c>
      <c r="W124" s="28"/>
    </row>
    <row r="125" spans="1:23" s="12" customFormat="1">
      <c r="A125" s="46" t="s">
        <v>572</v>
      </c>
      <c r="B125" s="28" t="s">
        <v>1336</v>
      </c>
      <c r="C125" s="28" t="s">
        <v>2330</v>
      </c>
      <c r="D125" s="28" t="s">
        <v>689</v>
      </c>
      <c r="E125" s="28" t="s">
        <v>868</v>
      </c>
      <c r="F125" s="28" t="s">
        <v>794</v>
      </c>
      <c r="G125" s="28" t="s">
        <v>794</v>
      </c>
      <c r="H125" s="28" t="s">
        <v>2332</v>
      </c>
      <c r="I125" s="28" t="str">
        <f>VLOOKUP(E125,표준용어사전!$C$2:$D$494, 2, FALSE)</f>
        <v>여부C1</v>
      </c>
      <c r="J125" s="28" t="s">
        <v>709</v>
      </c>
      <c r="K125" s="29">
        <v>1</v>
      </c>
      <c r="L125" s="55" t="s">
        <v>571</v>
      </c>
      <c r="M125" s="29" t="s">
        <v>722</v>
      </c>
      <c r="N125" s="50" t="s">
        <v>75</v>
      </c>
      <c r="O125" s="48"/>
      <c r="P125" s="28" t="s">
        <v>76</v>
      </c>
      <c r="Q125" s="28"/>
      <c r="R125" s="29"/>
      <c r="S125" s="28"/>
      <c r="T125" s="28"/>
      <c r="U125" s="28" t="s">
        <v>75</v>
      </c>
      <c r="V125" s="28" t="s">
        <v>75</v>
      </c>
      <c r="W125" s="28"/>
    </row>
    <row r="126" spans="1:23" s="12" customFormat="1">
      <c r="A126" s="46" t="s">
        <v>572</v>
      </c>
      <c r="B126" s="28" t="s">
        <v>1336</v>
      </c>
      <c r="C126" s="28" t="s">
        <v>2330</v>
      </c>
      <c r="D126" s="9" t="s">
        <v>689</v>
      </c>
      <c r="E126" s="28" t="s">
        <v>869</v>
      </c>
      <c r="F126" s="28" t="s">
        <v>795</v>
      </c>
      <c r="G126" s="28" t="s">
        <v>795</v>
      </c>
      <c r="H126" s="28" t="s">
        <v>2332</v>
      </c>
      <c r="I126" s="28" t="str">
        <f>VLOOKUP(E126,표준용어사전!$C$2:$D$494, 2, FALSE)</f>
        <v>내용V2000</v>
      </c>
      <c r="J126" s="28" t="s">
        <v>718</v>
      </c>
      <c r="K126" s="29">
        <v>2000</v>
      </c>
      <c r="L126" s="55" t="s">
        <v>571</v>
      </c>
      <c r="M126" s="29" t="s">
        <v>728</v>
      </c>
      <c r="N126" s="10" t="s">
        <v>75</v>
      </c>
      <c r="O126" s="9"/>
      <c r="P126" s="9" t="s">
        <v>76</v>
      </c>
      <c r="Q126" s="28"/>
      <c r="R126" s="29"/>
      <c r="S126" s="9"/>
      <c r="T126" s="9"/>
      <c r="U126" s="9" t="s">
        <v>75</v>
      </c>
      <c r="V126" s="9" t="s">
        <v>75</v>
      </c>
      <c r="W126" s="9"/>
    </row>
    <row r="127" spans="1:23" s="12" customFormat="1">
      <c r="A127" s="46" t="s">
        <v>572</v>
      </c>
      <c r="B127" s="28" t="s">
        <v>1336</v>
      </c>
      <c r="C127" s="28" t="s">
        <v>740</v>
      </c>
      <c r="D127" s="28" t="s">
        <v>689</v>
      </c>
      <c r="E127" s="28" t="s">
        <v>2709</v>
      </c>
      <c r="F127" s="28" t="s">
        <v>2711</v>
      </c>
      <c r="G127" s="28" t="s">
        <v>2711</v>
      </c>
      <c r="H127" s="28" t="s">
        <v>2332</v>
      </c>
      <c r="I127" s="28" t="str">
        <f>VLOOKUP(E127,표준용어사전!$C$2:$D$494, 2, FALSE)</f>
        <v>명V50</v>
      </c>
      <c r="J127" s="28" t="s">
        <v>718</v>
      </c>
      <c r="K127" s="29" t="s">
        <v>2713</v>
      </c>
      <c r="L127" s="55" t="s">
        <v>571</v>
      </c>
      <c r="M127" s="29" t="s">
        <v>720</v>
      </c>
      <c r="N127" s="29" t="s">
        <v>75</v>
      </c>
      <c r="O127" s="28"/>
      <c r="P127" s="28" t="s">
        <v>76</v>
      </c>
      <c r="Q127" s="28"/>
      <c r="R127" s="29"/>
      <c r="S127" s="28"/>
      <c r="T127" s="28"/>
      <c r="U127" s="28" t="s">
        <v>75</v>
      </c>
      <c r="V127" s="28" t="s">
        <v>75</v>
      </c>
      <c r="W127" s="28"/>
    </row>
    <row r="128" spans="1:23" s="12" customFormat="1">
      <c r="A128" s="46" t="s">
        <v>572</v>
      </c>
      <c r="B128" s="28" t="s">
        <v>1336</v>
      </c>
      <c r="C128" s="28" t="s">
        <v>740</v>
      </c>
      <c r="D128" s="28" t="s">
        <v>689</v>
      </c>
      <c r="E128" s="28" t="s">
        <v>2710</v>
      </c>
      <c r="F128" s="28" t="s">
        <v>2712</v>
      </c>
      <c r="G128" s="28" t="s">
        <v>2712</v>
      </c>
      <c r="H128" s="28" t="s">
        <v>2332</v>
      </c>
      <c r="I128" s="28" t="str">
        <f>VLOOKUP(E128,표준용어사전!$C$2:$D$494, 2, FALSE)</f>
        <v>명V50</v>
      </c>
      <c r="J128" s="28" t="s">
        <v>718</v>
      </c>
      <c r="K128" s="29" t="s">
        <v>2713</v>
      </c>
      <c r="L128" s="55" t="s">
        <v>571</v>
      </c>
      <c r="M128" s="29" t="s">
        <v>720</v>
      </c>
      <c r="N128" s="29" t="s">
        <v>75</v>
      </c>
      <c r="O128" s="28"/>
      <c r="P128" s="28" t="s">
        <v>76</v>
      </c>
      <c r="Q128" s="28"/>
      <c r="R128" s="29"/>
      <c r="S128" s="28"/>
      <c r="T128" s="28"/>
      <c r="U128" s="28" t="s">
        <v>75</v>
      </c>
      <c r="V128" s="28" t="s">
        <v>75</v>
      </c>
      <c r="W128" s="28"/>
    </row>
    <row r="129" spans="1:23" s="12" customFormat="1">
      <c r="A129" s="46" t="s">
        <v>711</v>
      </c>
      <c r="B129" s="28" t="s">
        <v>1333</v>
      </c>
      <c r="C129" s="28" t="s">
        <v>2330</v>
      </c>
      <c r="D129" s="9" t="s">
        <v>2432</v>
      </c>
      <c r="E129" s="28" t="s">
        <v>89</v>
      </c>
      <c r="F129" s="28" t="s">
        <v>501</v>
      </c>
      <c r="G129" s="28" t="s">
        <v>501</v>
      </c>
      <c r="H129" s="28" t="s">
        <v>128</v>
      </c>
      <c r="I129" s="28" t="str">
        <f>VLOOKUP(E129,표준용어사전!$C$2:$D$494, 2, FALSE)</f>
        <v>명V20</v>
      </c>
      <c r="J129" s="28" t="s">
        <v>718</v>
      </c>
      <c r="K129" s="29" t="s">
        <v>986</v>
      </c>
      <c r="L129" s="55" t="s">
        <v>571</v>
      </c>
      <c r="M129" s="29" t="s">
        <v>727</v>
      </c>
      <c r="N129" s="29" t="s">
        <v>973</v>
      </c>
      <c r="O129" s="9" t="s">
        <v>73</v>
      </c>
      <c r="P129" s="9" t="s">
        <v>76</v>
      </c>
      <c r="Q129" s="28"/>
      <c r="R129" s="29"/>
      <c r="S129" s="9"/>
      <c r="T129" s="9"/>
      <c r="U129" s="9" t="s">
        <v>75</v>
      </c>
      <c r="V129" s="9" t="s">
        <v>75</v>
      </c>
      <c r="W129" s="9"/>
    </row>
    <row r="130" spans="1:23" s="12" customFormat="1">
      <c r="A130" s="46" t="s">
        <v>711</v>
      </c>
      <c r="B130" s="28" t="s">
        <v>1333</v>
      </c>
      <c r="C130" s="28" t="s">
        <v>2330</v>
      </c>
      <c r="D130" s="9" t="s">
        <v>2432</v>
      </c>
      <c r="E130" s="28" t="s">
        <v>2142</v>
      </c>
      <c r="F130" s="28" t="s">
        <v>395</v>
      </c>
      <c r="G130" s="28" t="s">
        <v>395</v>
      </c>
      <c r="H130" s="28" t="s">
        <v>128</v>
      </c>
      <c r="I130" s="28" t="str">
        <f>VLOOKUP(E130,표준용어사전!$C$2:$D$494, 2, FALSE)</f>
        <v>수N14</v>
      </c>
      <c r="J130" s="28" t="s">
        <v>748</v>
      </c>
      <c r="K130" s="29" t="s">
        <v>1137</v>
      </c>
      <c r="L130" s="55" t="s">
        <v>571</v>
      </c>
      <c r="M130" s="29" t="s">
        <v>776</v>
      </c>
      <c r="N130" s="29" t="s">
        <v>75</v>
      </c>
      <c r="O130" s="9"/>
      <c r="P130" s="9" t="s">
        <v>76</v>
      </c>
      <c r="Q130" s="28"/>
      <c r="R130" s="29"/>
      <c r="S130" s="9"/>
      <c r="T130" s="9"/>
      <c r="U130" s="9" t="s">
        <v>75</v>
      </c>
      <c r="V130" s="9" t="s">
        <v>75</v>
      </c>
      <c r="W130" s="9"/>
    </row>
    <row r="131" spans="1:23" s="12" customFormat="1">
      <c r="A131" s="46" t="s">
        <v>711</v>
      </c>
      <c r="B131" s="28" t="s">
        <v>1333</v>
      </c>
      <c r="C131" s="28" t="s">
        <v>2330</v>
      </c>
      <c r="D131" s="9" t="s">
        <v>2432</v>
      </c>
      <c r="E131" s="28" t="s">
        <v>2143</v>
      </c>
      <c r="F131" s="28" t="s">
        <v>396</v>
      </c>
      <c r="G131" s="28" t="s">
        <v>396</v>
      </c>
      <c r="H131" s="28" t="s">
        <v>128</v>
      </c>
      <c r="I131" s="28" t="str">
        <f>VLOOKUP(E131,표준용어사전!$C$2:$D$494, 2, FALSE)</f>
        <v>수N14</v>
      </c>
      <c r="J131" s="28" t="s">
        <v>748</v>
      </c>
      <c r="K131" s="29" t="s">
        <v>1137</v>
      </c>
      <c r="L131" s="55" t="s">
        <v>571</v>
      </c>
      <c r="M131" s="29" t="s">
        <v>776</v>
      </c>
      <c r="N131" s="10" t="s">
        <v>75</v>
      </c>
      <c r="O131" s="9"/>
      <c r="P131" s="9" t="s">
        <v>76</v>
      </c>
      <c r="Q131" s="28"/>
      <c r="R131" s="29"/>
      <c r="S131" s="9"/>
      <c r="T131" s="9"/>
      <c r="U131" s="9" t="s">
        <v>75</v>
      </c>
      <c r="V131" s="9" t="s">
        <v>75</v>
      </c>
      <c r="W131" s="9"/>
    </row>
    <row r="132" spans="1:23" s="12" customFormat="1">
      <c r="A132" s="46" t="s">
        <v>711</v>
      </c>
      <c r="B132" s="28" t="s">
        <v>1333</v>
      </c>
      <c r="C132" s="28" t="s">
        <v>2330</v>
      </c>
      <c r="D132" s="9" t="s">
        <v>2432</v>
      </c>
      <c r="E132" s="28" t="s">
        <v>131</v>
      </c>
      <c r="F132" s="28" t="s">
        <v>397</v>
      </c>
      <c r="G132" s="28" t="s">
        <v>397</v>
      </c>
      <c r="H132" s="28" t="s">
        <v>128</v>
      </c>
      <c r="I132" s="28" t="str">
        <f>VLOOKUP(E132,표준용어사전!$C$2:$D$494, 2, FALSE)</f>
        <v>수N14</v>
      </c>
      <c r="J132" s="28" t="s">
        <v>748</v>
      </c>
      <c r="K132" s="29" t="s">
        <v>1137</v>
      </c>
      <c r="L132" s="55" t="s">
        <v>571</v>
      </c>
      <c r="M132" s="29" t="s">
        <v>776</v>
      </c>
      <c r="N132" s="10" t="s">
        <v>75</v>
      </c>
      <c r="O132" s="9"/>
      <c r="P132" s="9" t="s">
        <v>76</v>
      </c>
      <c r="Q132" s="28"/>
      <c r="R132" s="29"/>
      <c r="S132" s="9"/>
      <c r="T132" s="9"/>
      <c r="U132" s="9" t="s">
        <v>75</v>
      </c>
      <c r="V132" s="9" t="s">
        <v>75</v>
      </c>
      <c r="W132" s="9"/>
    </row>
    <row r="133" spans="1:23" s="12" customFormat="1">
      <c r="A133" s="46" t="s">
        <v>711</v>
      </c>
      <c r="B133" s="28" t="s">
        <v>1333</v>
      </c>
      <c r="C133" s="28" t="s">
        <v>2330</v>
      </c>
      <c r="D133" s="9" t="s">
        <v>2432</v>
      </c>
      <c r="E133" s="28" t="s">
        <v>132</v>
      </c>
      <c r="F133" s="28" t="s">
        <v>398</v>
      </c>
      <c r="G133" s="28" t="s">
        <v>398</v>
      </c>
      <c r="H133" s="28" t="s">
        <v>128</v>
      </c>
      <c r="I133" s="28" t="str">
        <f>VLOOKUP(E133,표준용어사전!$C$2:$D$494, 2, FALSE)</f>
        <v>수N14</v>
      </c>
      <c r="J133" s="28" t="s">
        <v>748</v>
      </c>
      <c r="K133" s="29" t="s">
        <v>1137</v>
      </c>
      <c r="L133" s="55" t="s">
        <v>571</v>
      </c>
      <c r="M133" s="29" t="s">
        <v>776</v>
      </c>
      <c r="N133" s="10" t="s">
        <v>75</v>
      </c>
      <c r="O133" s="9"/>
      <c r="P133" s="9" t="s">
        <v>76</v>
      </c>
      <c r="Q133" s="28"/>
      <c r="R133" s="29"/>
      <c r="S133" s="9"/>
      <c r="T133" s="9"/>
      <c r="U133" s="9" t="s">
        <v>75</v>
      </c>
      <c r="V133" s="9" t="s">
        <v>75</v>
      </c>
      <c r="W133" s="9"/>
    </row>
    <row r="134" spans="1:23" s="12" customFormat="1">
      <c r="A134" s="46" t="s">
        <v>711</v>
      </c>
      <c r="B134" s="28" t="s">
        <v>1333</v>
      </c>
      <c r="C134" s="28" t="s">
        <v>2330</v>
      </c>
      <c r="D134" s="9" t="s">
        <v>2432</v>
      </c>
      <c r="E134" s="28" t="s">
        <v>866</v>
      </c>
      <c r="F134" s="28" t="s">
        <v>2144</v>
      </c>
      <c r="G134" s="28" t="s">
        <v>2144</v>
      </c>
      <c r="H134" s="28" t="s">
        <v>128</v>
      </c>
      <c r="I134" s="28" t="str">
        <f>VLOOKUP(E134,표준용어사전!$C$2:$D$494, 2, FALSE)</f>
        <v>수N14</v>
      </c>
      <c r="J134" s="28" t="s">
        <v>748</v>
      </c>
      <c r="K134" s="29" t="s">
        <v>1137</v>
      </c>
      <c r="L134" s="55" t="s">
        <v>571</v>
      </c>
      <c r="M134" s="29" t="s">
        <v>776</v>
      </c>
      <c r="N134" s="29" t="s">
        <v>75</v>
      </c>
      <c r="O134" s="9"/>
      <c r="P134" s="9" t="s">
        <v>76</v>
      </c>
      <c r="Q134" s="28"/>
      <c r="R134" s="29"/>
      <c r="S134" s="9"/>
      <c r="T134" s="9"/>
      <c r="U134" s="9" t="s">
        <v>75</v>
      </c>
      <c r="V134" s="9" t="s">
        <v>75</v>
      </c>
      <c r="W134" s="9"/>
    </row>
    <row r="135" spans="1:23" s="12" customFormat="1">
      <c r="A135" s="46" t="s">
        <v>711</v>
      </c>
      <c r="B135" s="28" t="s">
        <v>1333</v>
      </c>
      <c r="C135" s="28" t="s">
        <v>2330</v>
      </c>
      <c r="D135" s="9" t="s">
        <v>2432</v>
      </c>
      <c r="E135" s="28" t="s">
        <v>135</v>
      </c>
      <c r="F135" s="28" t="s">
        <v>401</v>
      </c>
      <c r="G135" s="28" t="s">
        <v>401</v>
      </c>
      <c r="H135" s="28" t="s">
        <v>128</v>
      </c>
      <c r="I135" s="28" t="str">
        <f>VLOOKUP(E135,표준용어사전!$C$2:$D$494, 2, FALSE)</f>
        <v>수N14</v>
      </c>
      <c r="J135" s="28" t="s">
        <v>748</v>
      </c>
      <c r="K135" s="29" t="s">
        <v>1137</v>
      </c>
      <c r="L135" s="55" t="s">
        <v>571</v>
      </c>
      <c r="M135" s="29" t="s">
        <v>776</v>
      </c>
      <c r="N135" s="10" t="s">
        <v>75</v>
      </c>
      <c r="O135" s="9"/>
      <c r="P135" s="9" t="s">
        <v>76</v>
      </c>
      <c r="Q135" s="28"/>
      <c r="R135" s="29"/>
      <c r="S135" s="9"/>
      <c r="T135" s="9"/>
      <c r="U135" s="9" t="s">
        <v>75</v>
      </c>
      <c r="V135" s="9" t="s">
        <v>75</v>
      </c>
      <c r="W135" s="9"/>
    </row>
    <row r="136" spans="1:23" s="12" customFormat="1">
      <c r="A136" s="46" t="s">
        <v>711</v>
      </c>
      <c r="B136" s="28" t="s">
        <v>1333</v>
      </c>
      <c r="C136" s="28" t="s">
        <v>2330</v>
      </c>
      <c r="D136" s="9" t="s">
        <v>2432</v>
      </c>
      <c r="E136" s="28" t="s">
        <v>2508</v>
      </c>
      <c r="F136" s="28" t="s">
        <v>2145</v>
      </c>
      <c r="G136" s="28" t="s">
        <v>2145</v>
      </c>
      <c r="H136" s="28" t="s">
        <v>128</v>
      </c>
      <c r="I136" s="28" t="str">
        <f>VLOOKUP(E136,표준용어사전!$C$2:$D$494, 2, FALSE)</f>
        <v>수N14</v>
      </c>
      <c r="J136" s="28" t="s">
        <v>748</v>
      </c>
      <c r="K136" s="29" t="s">
        <v>1137</v>
      </c>
      <c r="L136" s="55" t="s">
        <v>571</v>
      </c>
      <c r="M136" s="29" t="s">
        <v>776</v>
      </c>
      <c r="N136" s="10" t="s">
        <v>75</v>
      </c>
      <c r="O136" s="9"/>
      <c r="P136" s="9" t="s">
        <v>76</v>
      </c>
      <c r="Q136" s="28"/>
      <c r="R136" s="29"/>
      <c r="S136" s="9"/>
      <c r="T136" s="9"/>
      <c r="U136" s="9" t="s">
        <v>75</v>
      </c>
      <c r="V136" s="9" t="s">
        <v>75</v>
      </c>
      <c r="W136" s="9"/>
    </row>
    <row r="137" spans="1:23" s="12" customFormat="1">
      <c r="A137" s="46" t="s">
        <v>711</v>
      </c>
      <c r="B137" s="28" t="s">
        <v>1333</v>
      </c>
      <c r="C137" s="28" t="s">
        <v>2330</v>
      </c>
      <c r="D137" s="9" t="s">
        <v>2432</v>
      </c>
      <c r="E137" s="28" t="s">
        <v>2146</v>
      </c>
      <c r="F137" s="28" t="s">
        <v>400</v>
      </c>
      <c r="G137" s="28" t="s">
        <v>400</v>
      </c>
      <c r="H137" s="28" t="s">
        <v>128</v>
      </c>
      <c r="I137" s="28" t="str">
        <f>VLOOKUP(E137,표준용어사전!$C$2:$D$494, 2, FALSE)</f>
        <v>수N14</v>
      </c>
      <c r="J137" s="28" t="s">
        <v>748</v>
      </c>
      <c r="K137" s="29" t="s">
        <v>1137</v>
      </c>
      <c r="L137" s="55" t="s">
        <v>571</v>
      </c>
      <c r="M137" s="29" t="s">
        <v>776</v>
      </c>
      <c r="N137" s="10" t="s">
        <v>75</v>
      </c>
      <c r="O137" s="9"/>
      <c r="P137" s="9" t="s">
        <v>76</v>
      </c>
      <c r="Q137" s="28"/>
      <c r="R137" s="29"/>
      <c r="S137" s="9"/>
      <c r="T137" s="9"/>
      <c r="U137" s="9" t="s">
        <v>75</v>
      </c>
      <c r="V137" s="9" t="s">
        <v>75</v>
      </c>
      <c r="W137" s="9"/>
    </row>
    <row r="138" spans="1:23" s="12" customFormat="1">
      <c r="A138" s="46" t="s">
        <v>711</v>
      </c>
      <c r="B138" s="28" t="s">
        <v>1333</v>
      </c>
      <c r="C138" s="28" t="s">
        <v>2330</v>
      </c>
      <c r="D138" s="9" t="s">
        <v>2432</v>
      </c>
      <c r="E138" s="28" t="s">
        <v>2509</v>
      </c>
      <c r="F138" s="28" t="s">
        <v>2147</v>
      </c>
      <c r="G138" s="28" t="s">
        <v>2147</v>
      </c>
      <c r="H138" s="28" t="s">
        <v>128</v>
      </c>
      <c r="I138" s="28" t="str">
        <f>VLOOKUP(E138,표준용어사전!$C$2:$D$494, 2, FALSE)</f>
        <v>수N14</v>
      </c>
      <c r="J138" s="28" t="s">
        <v>748</v>
      </c>
      <c r="K138" s="29" t="s">
        <v>1137</v>
      </c>
      <c r="L138" s="55" t="s">
        <v>571</v>
      </c>
      <c r="M138" s="29" t="s">
        <v>776</v>
      </c>
      <c r="N138" s="10" t="s">
        <v>75</v>
      </c>
      <c r="O138" s="9"/>
      <c r="P138" s="9" t="s">
        <v>76</v>
      </c>
      <c r="Q138" s="28"/>
      <c r="R138" s="29"/>
      <c r="S138" s="9"/>
      <c r="T138" s="9"/>
      <c r="U138" s="9" t="s">
        <v>75</v>
      </c>
      <c r="V138" s="9" t="s">
        <v>75</v>
      </c>
      <c r="W138" s="9"/>
    </row>
    <row r="139" spans="1:23" s="12" customFormat="1">
      <c r="A139" s="46" t="s">
        <v>711</v>
      </c>
      <c r="B139" s="28" t="s">
        <v>1333</v>
      </c>
      <c r="C139" s="28" t="s">
        <v>2330</v>
      </c>
      <c r="D139" s="9" t="s">
        <v>2432</v>
      </c>
      <c r="E139" s="28" t="s">
        <v>2307</v>
      </c>
      <c r="F139" s="28" t="s">
        <v>2306</v>
      </c>
      <c r="G139" s="28" t="s">
        <v>2306</v>
      </c>
      <c r="H139" s="28" t="s">
        <v>128</v>
      </c>
      <c r="I139" s="28" t="str">
        <f>VLOOKUP(E139,표준용어사전!$C$2:$D$494, 2, FALSE)</f>
        <v>수N14</v>
      </c>
      <c r="J139" s="28" t="s">
        <v>748</v>
      </c>
      <c r="K139" s="29" t="s">
        <v>1137</v>
      </c>
      <c r="L139" s="55" t="s">
        <v>571</v>
      </c>
      <c r="M139" s="29" t="s">
        <v>776</v>
      </c>
      <c r="N139" s="10" t="s">
        <v>75</v>
      </c>
      <c r="O139" s="9"/>
      <c r="P139" s="9" t="s">
        <v>76</v>
      </c>
      <c r="Q139" s="28"/>
      <c r="R139" s="29"/>
      <c r="S139" s="9"/>
      <c r="T139" s="9"/>
      <c r="U139" s="9" t="s">
        <v>75</v>
      </c>
      <c r="V139" s="9" t="s">
        <v>75</v>
      </c>
      <c r="W139" s="9"/>
    </row>
    <row r="140" spans="1:23" s="12" customFormat="1">
      <c r="A140" s="46" t="s">
        <v>711</v>
      </c>
      <c r="B140" s="28" t="s">
        <v>1333</v>
      </c>
      <c r="C140" s="28" t="s">
        <v>2330</v>
      </c>
      <c r="D140" s="9" t="s">
        <v>2432</v>
      </c>
      <c r="E140" s="28" t="s">
        <v>2510</v>
      </c>
      <c r="F140" s="28" t="s">
        <v>2308</v>
      </c>
      <c r="G140" s="28" t="s">
        <v>2308</v>
      </c>
      <c r="H140" s="28" t="s">
        <v>128</v>
      </c>
      <c r="I140" s="28" t="str">
        <f>VLOOKUP(E140,표준용어사전!$C$2:$D$494, 2, FALSE)</f>
        <v>수N14</v>
      </c>
      <c r="J140" s="28" t="s">
        <v>748</v>
      </c>
      <c r="K140" s="29" t="s">
        <v>1137</v>
      </c>
      <c r="L140" s="55" t="s">
        <v>571</v>
      </c>
      <c r="M140" s="29" t="s">
        <v>776</v>
      </c>
      <c r="N140" s="10" t="s">
        <v>75</v>
      </c>
      <c r="O140" s="9"/>
      <c r="P140" s="9" t="s">
        <v>76</v>
      </c>
      <c r="Q140" s="28"/>
      <c r="R140" s="29"/>
      <c r="S140" s="9"/>
      <c r="T140" s="9"/>
      <c r="U140" s="9" t="s">
        <v>75</v>
      </c>
      <c r="V140" s="9" t="s">
        <v>75</v>
      </c>
      <c r="W140" s="9"/>
    </row>
    <row r="141" spans="1:23" s="12" customFormat="1">
      <c r="A141" s="46" t="s">
        <v>711</v>
      </c>
      <c r="B141" s="28" t="s">
        <v>1333</v>
      </c>
      <c r="C141" s="28" t="s">
        <v>2330</v>
      </c>
      <c r="D141" s="9" t="s">
        <v>2432</v>
      </c>
      <c r="E141" s="28" t="s">
        <v>90</v>
      </c>
      <c r="F141" s="28" t="s">
        <v>14</v>
      </c>
      <c r="G141" s="28" t="s">
        <v>14</v>
      </c>
      <c r="H141" s="28" t="s">
        <v>128</v>
      </c>
      <c r="I141" s="28" t="str">
        <f>VLOOKUP(E141,표준용어사전!$C$2:$D$494, 2, FALSE)</f>
        <v>연월일시분초TS</v>
      </c>
      <c r="J141" s="28" t="s">
        <v>719</v>
      </c>
      <c r="K141" s="29" t="s">
        <v>571</v>
      </c>
      <c r="L141" s="55" t="s">
        <v>571</v>
      </c>
      <c r="M141" s="29" t="s">
        <v>726</v>
      </c>
      <c r="N141" s="10" t="s">
        <v>973</v>
      </c>
      <c r="O141" s="9"/>
      <c r="P141" s="9" t="s">
        <v>76</v>
      </c>
      <c r="Q141" s="28"/>
      <c r="R141" s="29"/>
      <c r="S141" s="9"/>
      <c r="T141" s="9"/>
      <c r="U141" s="9" t="s">
        <v>75</v>
      </c>
      <c r="V141" s="9" t="s">
        <v>75</v>
      </c>
      <c r="W141" s="9"/>
    </row>
    <row r="142" spans="1:23" s="12" customFormat="1">
      <c r="A142" s="46" t="s">
        <v>711</v>
      </c>
      <c r="B142" s="28" t="s">
        <v>1333</v>
      </c>
      <c r="C142" s="28" t="s">
        <v>2330</v>
      </c>
      <c r="D142" s="28" t="s">
        <v>2432</v>
      </c>
      <c r="E142" s="28" t="s">
        <v>91</v>
      </c>
      <c r="F142" s="28" t="s">
        <v>369</v>
      </c>
      <c r="G142" s="28" t="s">
        <v>369</v>
      </c>
      <c r="H142" s="28" t="s">
        <v>128</v>
      </c>
      <c r="I142" s="28" t="str">
        <f>VLOOKUP(E142,표준용어사전!$C$2:$D$494, 2, FALSE)</f>
        <v>명V20</v>
      </c>
      <c r="J142" s="28" t="s">
        <v>718</v>
      </c>
      <c r="K142" s="29" t="s">
        <v>986</v>
      </c>
      <c r="L142" s="55" t="s">
        <v>571</v>
      </c>
      <c r="M142" s="29" t="s">
        <v>727</v>
      </c>
      <c r="N142" s="29" t="s">
        <v>75</v>
      </c>
      <c r="O142" s="28"/>
      <c r="P142" s="28" t="s">
        <v>76</v>
      </c>
      <c r="Q142" s="28"/>
      <c r="R142" s="29"/>
      <c r="S142" s="28"/>
      <c r="T142" s="28"/>
      <c r="U142" s="9" t="s">
        <v>75</v>
      </c>
      <c r="V142" s="9" t="s">
        <v>75</v>
      </c>
      <c r="W142" s="28"/>
    </row>
    <row r="143" spans="1:23" s="12" customFormat="1">
      <c r="A143" s="46" t="s">
        <v>711</v>
      </c>
      <c r="B143" s="28" t="s">
        <v>1333</v>
      </c>
      <c r="C143" s="28" t="s">
        <v>2330</v>
      </c>
      <c r="D143" s="28" t="s">
        <v>2432</v>
      </c>
      <c r="E143" s="28" t="s">
        <v>92</v>
      </c>
      <c r="F143" s="28" t="s">
        <v>15</v>
      </c>
      <c r="G143" s="28" t="s">
        <v>15</v>
      </c>
      <c r="H143" s="28" t="s">
        <v>128</v>
      </c>
      <c r="I143" s="28" t="str">
        <f>VLOOKUP(E143,표준용어사전!$C$2:$D$494, 2, FALSE)</f>
        <v>연월일시분초TS</v>
      </c>
      <c r="J143" s="28" t="s">
        <v>719</v>
      </c>
      <c r="K143" s="29" t="s">
        <v>571</v>
      </c>
      <c r="L143" s="55" t="s">
        <v>571</v>
      </c>
      <c r="M143" s="29" t="s">
        <v>726</v>
      </c>
      <c r="N143" s="29" t="s">
        <v>75</v>
      </c>
      <c r="O143" s="28"/>
      <c r="P143" s="28" t="s">
        <v>76</v>
      </c>
      <c r="Q143" s="28"/>
      <c r="R143" s="29"/>
      <c r="S143" s="28"/>
      <c r="T143" s="28"/>
      <c r="U143" s="9" t="s">
        <v>75</v>
      </c>
      <c r="V143" s="9" t="s">
        <v>75</v>
      </c>
      <c r="W143" s="28"/>
    </row>
    <row r="144" spans="1:23" s="12" customFormat="1">
      <c r="A144" s="46" t="s">
        <v>711</v>
      </c>
      <c r="B144" s="28" t="s">
        <v>1333</v>
      </c>
      <c r="C144" s="28" t="s">
        <v>2330</v>
      </c>
      <c r="D144" s="28" t="s">
        <v>2432</v>
      </c>
      <c r="E144" s="28" t="s">
        <v>93</v>
      </c>
      <c r="F144" s="28" t="s">
        <v>370</v>
      </c>
      <c r="G144" s="28" t="s">
        <v>370</v>
      </c>
      <c r="H144" s="28" t="s">
        <v>128</v>
      </c>
      <c r="I144" s="28" t="str">
        <f>VLOOKUP(E144,표준용어사전!$C$2:$D$494, 2, FALSE)</f>
        <v>명V20</v>
      </c>
      <c r="J144" s="28" t="s">
        <v>718</v>
      </c>
      <c r="K144" s="29" t="s">
        <v>986</v>
      </c>
      <c r="L144" s="55" t="s">
        <v>571</v>
      </c>
      <c r="M144" s="29" t="s">
        <v>727</v>
      </c>
      <c r="N144" s="29" t="s">
        <v>75</v>
      </c>
      <c r="O144" s="28"/>
      <c r="P144" s="28" t="s">
        <v>76</v>
      </c>
      <c r="Q144" s="28"/>
      <c r="R144" s="29"/>
      <c r="S144" s="28"/>
      <c r="T144" s="28"/>
      <c r="U144" s="9" t="s">
        <v>75</v>
      </c>
      <c r="V144" s="9" t="s">
        <v>75</v>
      </c>
      <c r="W144" s="28"/>
    </row>
    <row r="145" spans="1:23" s="12" customFormat="1">
      <c r="A145" s="46" t="s">
        <v>572</v>
      </c>
      <c r="B145" s="28" t="s">
        <v>1333</v>
      </c>
      <c r="C145" s="28" t="s">
        <v>2330</v>
      </c>
      <c r="D145" s="28" t="s">
        <v>2433</v>
      </c>
      <c r="E145" s="28" t="s">
        <v>2139</v>
      </c>
      <c r="F145" s="28" t="s">
        <v>789</v>
      </c>
      <c r="G145" s="28" t="s">
        <v>789</v>
      </c>
      <c r="H145" s="28" t="s">
        <v>708</v>
      </c>
      <c r="I145" s="28" t="str">
        <f>VLOOKUP(E145,표준용어사전!$C$2:$D$494, 2, FALSE)</f>
        <v>번호I</v>
      </c>
      <c r="J145" s="28" t="s">
        <v>717</v>
      </c>
      <c r="K145" s="29" t="s">
        <v>571</v>
      </c>
      <c r="L145" s="55" t="s">
        <v>571</v>
      </c>
      <c r="M145" s="29" t="s">
        <v>2591</v>
      </c>
      <c r="N145" s="29" t="s">
        <v>973</v>
      </c>
      <c r="O145" s="28" t="s">
        <v>73</v>
      </c>
      <c r="P145" s="28" t="s">
        <v>76</v>
      </c>
      <c r="Q145" s="28"/>
      <c r="R145" s="29"/>
      <c r="S145" s="28"/>
      <c r="T145" s="28"/>
      <c r="U145" s="9" t="s">
        <v>75</v>
      </c>
      <c r="V145" s="9" t="s">
        <v>75</v>
      </c>
      <c r="W145" s="28"/>
    </row>
    <row r="146" spans="1:23" s="12" customFormat="1">
      <c r="A146" s="46" t="s">
        <v>572</v>
      </c>
      <c r="B146" s="28" t="s">
        <v>1333</v>
      </c>
      <c r="C146" s="28" t="s">
        <v>2330</v>
      </c>
      <c r="D146" s="28" t="s">
        <v>2433</v>
      </c>
      <c r="E146" s="28" t="s">
        <v>243</v>
      </c>
      <c r="F146" s="28" t="s">
        <v>2399</v>
      </c>
      <c r="G146" s="28" t="s">
        <v>2399</v>
      </c>
      <c r="H146" s="28" t="s">
        <v>708</v>
      </c>
      <c r="I146" s="28" t="str">
        <f>VLOOKUP(E146,표준용어사전!$C$2:$D$494, 2, FALSE)</f>
        <v>코드C2</v>
      </c>
      <c r="J146" s="28" t="s">
        <v>709</v>
      </c>
      <c r="K146" s="29">
        <v>2</v>
      </c>
      <c r="L146" s="55" t="s">
        <v>571</v>
      </c>
      <c r="M146" s="29" t="s">
        <v>766</v>
      </c>
      <c r="N146" s="29" t="s">
        <v>75</v>
      </c>
      <c r="O146" s="28"/>
      <c r="P146" s="28" t="s">
        <v>76</v>
      </c>
      <c r="Q146" s="28"/>
      <c r="R146" s="29"/>
      <c r="S146" s="28"/>
      <c r="T146" s="9"/>
      <c r="U146" s="9" t="s">
        <v>75</v>
      </c>
      <c r="V146" s="9" t="s">
        <v>75</v>
      </c>
      <c r="W146" s="28"/>
    </row>
    <row r="147" spans="1:23" s="12" customFormat="1">
      <c r="A147" s="46" t="s">
        <v>572</v>
      </c>
      <c r="B147" s="28" t="s">
        <v>1333</v>
      </c>
      <c r="C147" s="28" t="s">
        <v>2330</v>
      </c>
      <c r="D147" s="9" t="s">
        <v>2433</v>
      </c>
      <c r="E147" s="28" t="s">
        <v>244</v>
      </c>
      <c r="F147" s="28" t="s">
        <v>2400</v>
      </c>
      <c r="G147" s="28" t="s">
        <v>2400</v>
      </c>
      <c r="H147" s="28" t="s">
        <v>708</v>
      </c>
      <c r="I147" s="28" t="str">
        <f>VLOOKUP(E147,표준용어사전!$C$2:$D$494, 2, FALSE)</f>
        <v>코드C2</v>
      </c>
      <c r="J147" s="28" t="s">
        <v>709</v>
      </c>
      <c r="K147" s="29">
        <v>2</v>
      </c>
      <c r="L147" s="55" t="s">
        <v>571</v>
      </c>
      <c r="M147" s="29" t="s">
        <v>766</v>
      </c>
      <c r="N147" s="10" t="s">
        <v>75</v>
      </c>
      <c r="O147" s="9"/>
      <c r="P147" s="9" t="s">
        <v>76</v>
      </c>
      <c r="Q147" s="28"/>
      <c r="R147" s="29"/>
      <c r="S147" s="9"/>
      <c r="T147" s="9"/>
      <c r="U147" s="9" t="s">
        <v>75</v>
      </c>
      <c r="V147" s="9" t="s">
        <v>75</v>
      </c>
      <c r="W147" s="9"/>
    </row>
    <row r="148" spans="1:23" s="12" customFormat="1">
      <c r="A148" s="46" t="s">
        <v>572</v>
      </c>
      <c r="B148" s="28" t="s">
        <v>1333</v>
      </c>
      <c r="C148" s="28" t="s">
        <v>2330</v>
      </c>
      <c r="D148" s="9" t="s">
        <v>2433</v>
      </c>
      <c r="E148" s="28" t="s">
        <v>245</v>
      </c>
      <c r="F148" s="28" t="s">
        <v>482</v>
      </c>
      <c r="G148" s="28" t="s">
        <v>482</v>
      </c>
      <c r="H148" s="28" t="s">
        <v>708</v>
      </c>
      <c r="I148" s="28" t="str">
        <f>VLOOKUP(E148,표준용어사전!$C$2:$D$494, 2, FALSE)</f>
        <v>내용V2000</v>
      </c>
      <c r="J148" s="28" t="s">
        <v>718</v>
      </c>
      <c r="K148" s="29">
        <v>2000</v>
      </c>
      <c r="L148" s="55" t="s">
        <v>571</v>
      </c>
      <c r="M148" s="29" t="s">
        <v>728</v>
      </c>
      <c r="N148" s="10" t="s">
        <v>75</v>
      </c>
      <c r="O148" s="9"/>
      <c r="P148" s="9" t="s">
        <v>76</v>
      </c>
      <c r="Q148" s="28"/>
      <c r="R148" s="29"/>
      <c r="S148" s="9"/>
      <c r="T148" s="9"/>
      <c r="U148" s="9" t="s">
        <v>75</v>
      </c>
      <c r="V148" s="9" t="s">
        <v>75</v>
      </c>
      <c r="W148" s="9"/>
    </row>
    <row r="149" spans="1:23" s="12" customFormat="1">
      <c r="A149" s="46" t="s">
        <v>572</v>
      </c>
      <c r="B149" s="28" t="s">
        <v>1333</v>
      </c>
      <c r="C149" s="28" t="s">
        <v>2330</v>
      </c>
      <c r="D149" s="9" t="s">
        <v>2433</v>
      </c>
      <c r="E149" s="28" t="s">
        <v>90</v>
      </c>
      <c r="F149" s="28" t="s">
        <v>14</v>
      </c>
      <c r="G149" s="28" t="s">
        <v>14</v>
      </c>
      <c r="H149" s="28" t="s">
        <v>708</v>
      </c>
      <c r="I149" s="28" t="str">
        <f>VLOOKUP(E149,표준용어사전!$C$2:$D$494, 2, FALSE)</f>
        <v>연월일시분초TS</v>
      </c>
      <c r="J149" s="28" t="s">
        <v>719</v>
      </c>
      <c r="K149" s="29" t="s">
        <v>571</v>
      </c>
      <c r="L149" s="55" t="s">
        <v>571</v>
      </c>
      <c r="M149" s="29" t="s">
        <v>726</v>
      </c>
      <c r="N149" s="10" t="s">
        <v>973</v>
      </c>
      <c r="O149" s="9"/>
      <c r="P149" s="9" t="s">
        <v>76</v>
      </c>
      <c r="Q149" s="28"/>
      <c r="R149" s="29"/>
      <c r="S149" s="9"/>
      <c r="T149" s="9"/>
      <c r="U149" s="9" t="s">
        <v>75</v>
      </c>
      <c r="V149" s="9" t="s">
        <v>75</v>
      </c>
      <c r="W149" s="9"/>
    </row>
    <row r="150" spans="1:23" s="12" customFormat="1">
      <c r="A150" s="46" t="s">
        <v>572</v>
      </c>
      <c r="B150" s="28" t="s">
        <v>1333</v>
      </c>
      <c r="C150" s="28" t="s">
        <v>2330</v>
      </c>
      <c r="D150" s="9" t="s">
        <v>2433</v>
      </c>
      <c r="E150" s="28" t="s">
        <v>91</v>
      </c>
      <c r="F150" s="28" t="s">
        <v>369</v>
      </c>
      <c r="G150" s="28" t="s">
        <v>369</v>
      </c>
      <c r="H150" s="28" t="s">
        <v>708</v>
      </c>
      <c r="I150" s="28" t="str">
        <f>VLOOKUP(E150,표준용어사전!$C$2:$D$494, 2, FALSE)</f>
        <v>명V20</v>
      </c>
      <c r="J150" s="28" t="s">
        <v>718</v>
      </c>
      <c r="K150" s="29" t="s">
        <v>986</v>
      </c>
      <c r="L150" s="55" t="s">
        <v>571</v>
      </c>
      <c r="M150" s="29" t="s">
        <v>727</v>
      </c>
      <c r="N150" s="10" t="s">
        <v>75</v>
      </c>
      <c r="O150" s="9"/>
      <c r="P150" s="9" t="s">
        <v>76</v>
      </c>
      <c r="Q150" s="28"/>
      <c r="R150" s="29"/>
      <c r="S150" s="9"/>
      <c r="T150" s="9"/>
      <c r="U150" s="9" t="s">
        <v>75</v>
      </c>
      <c r="V150" s="9" t="s">
        <v>75</v>
      </c>
      <c r="W150" s="9"/>
    </row>
    <row r="151" spans="1:23" s="12" customFormat="1">
      <c r="A151" s="46" t="s">
        <v>572</v>
      </c>
      <c r="B151" s="28" t="s">
        <v>2579</v>
      </c>
      <c r="C151" s="28" t="s">
        <v>2330</v>
      </c>
      <c r="D151" s="9" t="s">
        <v>2434</v>
      </c>
      <c r="E151" s="28" t="s">
        <v>2241</v>
      </c>
      <c r="F151" s="28" t="s">
        <v>2240</v>
      </c>
      <c r="G151" s="28" t="s">
        <v>2240</v>
      </c>
      <c r="H151" s="28" t="s">
        <v>2333</v>
      </c>
      <c r="I151" s="28" t="str">
        <f>VLOOKUP(E151,표준용어사전!$C$2:$D$494, 2, FALSE)</f>
        <v>명V20</v>
      </c>
      <c r="J151" s="28" t="s">
        <v>718</v>
      </c>
      <c r="K151" s="29" t="s">
        <v>986</v>
      </c>
      <c r="L151" s="55" t="s">
        <v>571</v>
      </c>
      <c r="M151" s="29" t="s">
        <v>727</v>
      </c>
      <c r="N151" s="10" t="s">
        <v>973</v>
      </c>
      <c r="O151" s="9" t="s">
        <v>73</v>
      </c>
      <c r="P151" s="9" t="s">
        <v>76</v>
      </c>
      <c r="Q151" s="28"/>
      <c r="R151" s="29"/>
      <c r="S151" s="9"/>
      <c r="T151" s="9"/>
      <c r="U151" s="9" t="s">
        <v>75</v>
      </c>
      <c r="V151" s="9" t="s">
        <v>75</v>
      </c>
      <c r="W151" s="9"/>
    </row>
    <row r="152" spans="1:23" s="12" customFormat="1">
      <c r="A152" s="46" t="s">
        <v>572</v>
      </c>
      <c r="B152" s="28" t="s">
        <v>2579</v>
      </c>
      <c r="C152" s="28" t="s">
        <v>2330</v>
      </c>
      <c r="D152" s="28" t="s">
        <v>2434</v>
      </c>
      <c r="E152" s="28" t="s">
        <v>2236</v>
      </c>
      <c r="F152" s="28" t="s">
        <v>1721</v>
      </c>
      <c r="G152" s="28" t="s">
        <v>1721</v>
      </c>
      <c r="H152" s="28" t="s">
        <v>2333</v>
      </c>
      <c r="I152" s="28" t="str">
        <f>VLOOKUP(E152,표준용어사전!$C$2:$D$494, 2, FALSE)</f>
        <v>명V20</v>
      </c>
      <c r="J152" s="28" t="s">
        <v>718</v>
      </c>
      <c r="K152" s="29" t="s">
        <v>986</v>
      </c>
      <c r="L152" s="55" t="s">
        <v>571</v>
      </c>
      <c r="M152" s="29" t="s">
        <v>727</v>
      </c>
      <c r="N152" s="29" t="s">
        <v>973</v>
      </c>
      <c r="O152" s="28"/>
      <c r="P152" s="28" t="s">
        <v>2734</v>
      </c>
      <c r="Q152" s="28"/>
      <c r="R152" s="29"/>
      <c r="S152" s="28"/>
      <c r="T152" s="28"/>
      <c r="U152" s="9" t="s">
        <v>75</v>
      </c>
      <c r="V152" s="9" t="s">
        <v>75</v>
      </c>
      <c r="W152" s="28"/>
    </row>
    <row r="153" spans="1:23" s="12" customFormat="1">
      <c r="A153" s="46" t="s">
        <v>572</v>
      </c>
      <c r="B153" s="28" t="s">
        <v>2579</v>
      </c>
      <c r="C153" s="28" t="s">
        <v>2330</v>
      </c>
      <c r="D153" s="28" t="s">
        <v>2434</v>
      </c>
      <c r="E153" s="28" t="s">
        <v>2243</v>
      </c>
      <c r="F153" s="28" t="s">
        <v>2242</v>
      </c>
      <c r="G153" s="28" t="s">
        <v>2242</v>
      </c>
      <c r="H153" s="28" t="s">
        <v>2333</v>
      </c>
      <c r="I153" s="28" t="str">
        <f>VLOOKUP(E153,표준용어사전!$C$2:$D$494, 2, FALSE)</f>
        <v>코드C4</v>
      </c>
      <c r="J153" s="28" t="s">
        <v>709</v>
      </c>
      <c r="K153" s="29">
        <v>4</v>
      </c>
      <c r="L153" s="55" t="s">
        <v>571</v>
      </c>
      <c r="M153" s="29" t="s">
        <v>929</v>
      </c>
      <c r="N153" s="29" t="s">
        <v>973</v>
      </c>
      <c r="O153" s="9"/>
      <c r="P153" s="28" t="s">
        <v>76</v>
      </c>
      <c r="Q153" s="28"/>
      <c r="R153" s="29"/>
      <c r="S153" s="28"/>
      <c r="T153" s="28"/>
      <c r="U153" s="9" t="s">
        <v>75</v>
      </c>
      <c r="V153" s="9" t="s">
        <v>75</v>
      </c>
      <c r="W153" s="28"/>
    </row>
    <row r="154" spans="1:23" s="12" customFormat="1">
      <c r="A154" s="46" t="s">
        <v>572</v>
      </c>
      <c r="B154" s="28" t="s">
        <v>2579</v>
      </c>
      <c r="C154" s="28" t="s">
        <v>2330</v>
      </c>
      <c r="D154" s="9" t="s">
        <v>2434</v>
      </c>
      <c r="E154" s="28" t="s">
        <v>2245</v>
      </c>
      <c r="F154" s="28" t="s">
        <v>2244</v>
      </c>
      <c r="G154" s="28" t="s">
        <v>2244</v>
      </c>
      <c r="H154" s="28" t="s">
        <v>2333</v>
      </c>
      <c r="I154" s="28" t="str">
        <f>VLOOKUP(E154,표준용어사전!$C$2:$D$494, 2, FALSE)</f>
        <v>내용V2000</v>
      </c>
      <c r="J154" s="28" t="s">
        <v>718</v>
      </c>
      <c r="K154" s="29">
        <v>2000</v>
      </c>
      <c r="L154" s="55" t="s">
        <v>571</v>
      </c>
      <c r="M154" s="29" t="s">
        <v>728</v>
      </c>
      <c r="N154" s="10" t="s">
        <v>973</v>
      </c>
      <c r="O154" s="9"/>
      <c r="P154" s="9" t="s">
        <v>76</v>
      </c>
      <c r="Q154" s="28"/>
      <c r="R154" s="29"/>
      <c r="S154" s="9"/>
      <c r="T154" s="9"/>
      <c r="U154" s="9" t="s">
        <v>75</v>
      </c>
      <c r="V154" s="9" t="s">
        <v>75</v>
      </c>
      <c r="W154" s="9"/>
    </row>
    <row r="155" spans="1:23" s="12" customFormat="1">
      <c r="A155" s="46" t="s">
        <v>572</v>
      </c>
      <c r="B155" s="28" t="s">
        <v>2579</v>
      </c>
      <c r="C155" s="28" t="s">
        <v>2330</v>
      </c>
      <c r="D155" s="9" t="s">
        <v>2434</v>
      </c>
      <c r="E155" s="28" t="s">
        <v>90</v>
      </c>
      <c r="F155" s="28" t="s">
        <v>14</v>
      </c>
      <c r="G155" s="28" t="s">
        <v>14</v>
      </c>
      <c r="H155" s="28" t="s">
        <v>2333</v>
      </c>
      <c r="I155" s="28" t="str">
        <f>VLOOKUP(E155,표준용어사전!$C$2:$D$494, 2, FALSE)</f>
        <v>연월일시분초TS</v>
      </c>
      <c r="J155" s="28" t="s">
        <v>719</v>
      </c>
      <c r="K155" s="29" t="s">
        <v>571</v>
      </c>
      <c r="L155" s="55" t="s">
        <v>571</v>
      </c>
      <c r="M155" s="29" t="s">
        <v>726</v>
      </c>
      <c r="N155" s="29" t="s">
        <v>973</v>
      </c>
      <c r="O155" s="9"/>
      <c r="P155" s="9" t="s">
        <v>76</v>
      </c>
      <c r="Q155" s="28"/>
      <c r="R155" s="29"/>
      <c r="S155" s="9"/>
      <c r="T155" s="9"/>
      <c r="U155" s="9" t="s">
        <v>75</v>
      </c>
      <c r="V155" s="9" t="s">
        <v>75</v>
      </c>
      <c r="W155" s="9"/>
    </row>
    <row r="156" spans="1:23" s="12" customFormat="1">
      <c r="A156" s="46" t="s">
        <v>711</v>
      </c>
      <c r="B156" s="28" t="s">
        <v>2599</v>
      </c>
      <c r="C156" s="28" t="s">
        <v>2330</v>
      </c>
      <c r="D156" s="9" t="s">
        <v>2435</v>
      </c>
      <c r="E156" s="28" t="s">
        <v>2310</v>
      </c>
      <c r="F156" s="28" t="s">
        <v>2309</v>
      </c>
      <c r="G156" s="28" t="s">
        <v>2309</v>
      </c>
      <c r="H156" s="28" t="s">
        <v>2334</v>
      </c>
      <c r="I156" s="28" t="str">
        <f>VLOOKUP(E156,표준용어사전!$C$2:$D$494, 2, FALSE)</f>
        <v>연월C6</v>
      </c>
      <c r="J156" s="28" t="s">
        <v>709</v>
      </c>
      <c r="K156" s="29">
        <v>6</v>
      </c>
      <c r="L156" s="55" t="s">
        <v>571</v>
      </c>
      <c r="M156" s="29" t="s">
        <v>733</v>
      </c>
      <c r="N156" s="10" t="s">
        <v>973</v>
      </c>
      <c r="O156" s="9" t="s">
        <v>73</v>
      </c>
      <c r="P156" s="9" t="s">
        <v>76</v>
      </c>
      <c r="Q156" s="28"/>
      <c r="R156" s="29"/>
      <c r="S156" s="9"/>
      <c r="T156" s="9"/>
      <c r="U156" s="9" t="s">
        <v>75</v>
      </c>
      <c r="V156" s="9" t="s">
        <v>75</v>
      </c>
      <c r="W156" s="9"/>
    </row>
    <row r="157" spans="1:23" s="12" customFormat="1">
      <c r="A157" s="46" t="s">
        <v>711</v>
      </c>
      <c r="B157" s="28" t="s">
        <v>2599</v>
      </c>
      <c r="C157" s="28" t="s">
        <v>2330</v>
      </c>
      <c r="D157" s="9" t="s">
        <v>2435</v>
      </c>
      <c r="E157" s="28" t="s">
        <v>2312</v>
      </c>
      <c r="F157" s="28" t="s">
        <v>2311</v>
      </c>
      <c r="G157" s="28" t="s">
        <v>2311</v>
      </c>
      <c r="H157" s="28" t="s">
        <v>2334</v>
      </c>
      <c r="I157" s="28" t="str">
        <f>VLOOKUP(E157,표준용어사전!$C$2:$D$494, 2, FALSE)</f>
        <v>수N2</v>
      </c>
      <c r="J157" s="28" t="s">
        <v>748</v>
      </c>
      <c r="K157" s="29">
        <v>2</v>
      </c>
      <c r="L157" s="55" t="s">
        <v>571</v>
      </c>
      <c r="M157" s="29">
        <v>99</v>
      </c>
      <c r="N157" s="29" t="s">
        <v>973</v>
      </c>
      <c r="O157" s="9" t="s">
        <v>74</v>
      </c>
      <c r="P157" s="9" t="s">
        <v>76</v>
      </c>
      <c r="Q157" s="28"/>
      <c r="R157" s="29"/>
      <c r="S157" s="9"/>
      <c r="T157" s="9"/>
      <c r="U157" s="9" t="s">
        <v>75</v>
      </c>
      <c r="V157" s="9" t="s">
        <v>75</v>
      </c>
      <c r="W157" s="9"/>
    </row>
    <row r="158" spans="1:23" s="12" customFormat="1">
      <c r="A158" s="46" t="s">
        <v>711</v>
      </c>
      <c r="B158" s="28" t="s">
        <v>2599</v>
      </c>
      <c r="C158" s="28" t="s">
        <v>2330</v>
      </c>
      <c r="D158" s="9" t="s">
        <v>2435</v>
      </c>
      <c r="E158" s="28" t="s">
        <v>2239</v>
      </c>
      <c r="F158" s="28" t="s">
        <v>2238</v>
      </c>
      <c r="G158" s="28" t="s">
        <v>2238</v>
      </c>
      <c r="H158" s="28" t="s">
        <v>2334</v>
      </c>
      <c r="I158" s="28" t="str">
        <f>VLOOKUP(E158,표준용어사전!$C$2:$D$494, 2, FALSE)</f>
        <v>내용TXT</v>
      </c>
      <c r="J158" s="28" t="s">
        <v>713</v>
      </c>
      <c r="K158" s="29" t="s">
        <v>571</v>
      </c>
      <c r="L158" s="55" t="s">
        <v>571</v>
      </c>
      <c r="M158" s="29" t="s">
        <v>2590</v>
      </c>
      <c r="N158" s="10" t="s">
        <v>973</v>
      </c>
      <c r="O158" s="9"/>
      <c r="P158" s="9" t="s">
        <v>76</v>
      </c>
      <c r="Q158" s="28"/>
      <c r="R158" s="29"/>
      <c r="S158" s="9"/>
      <c r="T158" s="9"/>
      <c r="U158" s="9" t="s">
        <v>75</v>
      </c>
      <c r="V158" s="9" t="s">
        <v>75</v>
      </c>
      <c r="W158" s="9"/>
    </row>
    <row r="159" spans="1:23" s="12" customFormat="1">
      <c r="A159" s="46" t="s">
        <v>572</v>
      </c>
      <c r="B159" s="28" t="s">
        <v>2579</v>
      </c>
      <c r="C159" s="28" t="s">
        <v>2330</v>
      </c>
      <c r="D159" s="9" t="s">
        <v>2601</v>
      </c>
      <c r="E159" s="28" t="s">
        <v>2246</v>
      </c>
      <c r="F159" s="28" t="s">
        <v>1723</v>
      </c>
      <c r="G159" s="28" t="s">
        <v>1723</v>
      </c>
      <c r="H159" s="28" t="s">
        <v>2335</v>
      </c>
      <c r="I159" s="28" t="str">
        <f>VLOOKUP(E159,표준용어사전!$C$2:$D$494, 2, FALSE)</f>
        <v>명V20</v>
      </c>
      <c r="J159" s="28" t="s">
        <v>718</v>
      </c>
      <c r="K159" s="29" t="s">
        <v>986</v>
      </c>
      <c r="L159" s="55" t="s">
        <v>571</v>
      </c>
      <c r="M159" s="29" t="s">
        <v>727</v>
      </c>
      <c r="N159" s="10" t="s">
        <v>973</v>
      </c>
      <c r="O159" s="9" t="s">
        <v>73</v>
      </c>
      <c r="P159" s="9" t="s">
        <v>76</v>
      </c>
      <c r="Q159" s="28"/>
      <c r="R159" s="29"/>
      <c r="S159" s="9"/>
      <c r="T159" s="9"/>
      <c r="U159" s="9" t="s">
        <v>75</v>
      </c>
      <c r="V159" s="9" t="s">
        <v>75</v>
      </c>
      <c r="W159" s="9"/>
    </row>
    <row r="160" spans="1:23" s="12" customFormat="1">
      <c r="A160" s="46" t="s">
        <v>572</v>
      </c>
      <c r="B160" s="28" t="s">
        <v>2579</v>
      </c>
      <c r="C160" s="28" t="s">
        <v>2330</v>
      </c>
      <c r="D160" s="28" t="s">
        <v>2601</v>
      </c>
      <c r="E160" s="28" t="s">
        <v>2243</v>
      </c>
      <c r="F160" s="28" t="s">
        <v>2242</v>
      </c>
      <c r="G160" s="28" t="s">
        <v>2242</v>
      </c>
      <c r="H160" s="28" t="s">
        <v>2335</v>
      </c>
      <c r="I160" s="28" t="str">
        <f>VLOOKUP(E160,표준용어사전!$C$2:$D$494, 2, FALSE)</f>
        <v>코드C4</v>
      </c>
      <c r="J160" s="28" t="s">
        <v>709</v>
      </c>
      <c r="K160" s="29">
        <v>4</v>
      </c>
      <c r="L160" s="55" t="s">
        <v>571</v>
      </c>
      <c r="M160" s="29" t="s">
        <v>929</v>
      </c>
      <c r="N160" s="29" t="s">
        <v>973</v>
      </c>
      <c r="O160" s="28" t="s">
        <v>74</v>
      </c>
      <c r="P160" s="28" t="s">
        <v>76</v>
      </c>
      <c r="Q160" s="28"/>
      <c r="R160" s="29"/>
      <c r="S160" s="28"/>
      <c r="T160" s="28"/>
      <c r="U160" s="9" t="s">
        <v>75</v>
      </c>
      <c r="V160" s="9" t="s">
        <v>75</v>
      </c>
      <c r="W160" s="28"/>
    </row>
    <row r="161" spans="1:23" s="12" customFormat="1">
      <c r="A161" s="46" t="s">
        <v>572</v>
      </c>
      <c r="B161" s="28" t="s">
        <v>2579</v>
      </c>
      <c r="C161" s="28" t="s">
        <v>2330</v>
      </c>
      <c r="D161" s="28" t="s">
        <v>2601</v>
      </c>
      <c r="E161" s="28" t="s">
        <v>2245</v>
      </c>
      <c r="F161" s="28" t="s">
        <v>2244</v>
      </c>
      <c r="G161" s="28" t="s">
        <v>2244</v>
      </c>
      <c r="H161" s="28" t="s">
        <v>2335</v>
      </c>
      <c r="I161" s="28" t="str">
        <f>VLOOKUP(E161,표준용어사전!$C$2:$D$494, 2, FALSE)</f>
        <v>내용V2000</v>
      </c>
      <c r="J161" s="28" t="s">
        <v>718</v>
      </c>
      <c r="K161" s="29">
        <v>2000</v>
      </c>
      <c r="L161" s="55" t="s">
        <v>571</v>
      </c>
      <c r="M161" s="29" t="s">
        <v>728</v>
      </c>
      <c r="N161" s="29" t="s">
        <v>973</v>
      </c>
      <c r="O161" s="28" t="s">
        <v>624</v>
      </c>
      <c r="P161" s="28" t="s">
        <v>76</v>
      </c>
      <c r="Q161" s="28"/>
      <c r="R161" s="29"/>
      <c r="S161" s="28"/>
      <c r="T161" s="28"/>
      <c r="U161" s="9" t="s">
        <v>75</v>
      </c>
      <c r="V161" s="9" t="s">
        <v>75</v>
      </c>
      <c r="W161" s="28"/>
    </row>
    <row r="162" spans="1:23" s="12" customFormat="1">
      <c r="A162" s="46" t="s">
        <v>572</v>
      </c>
      <c r="B162" s="28" t="s">
        <v>2579</v>
      </c>
      <c r="C162" s="28" t="s">
        <v>2330</v>
      </c>
      <c r="D162" s="9" t="s">
        <v>2601</v>
      </c>
      <c r="E162" s="28" t="s">
        <v>2249</v>
      </c>
      <c r="F162" s="28" t="s">
        <v>2248</v>
      </c>
      <c r="G162" s="28" t="s">
        <v>2248</v>
      </c>
      <c r="H162" s="28" t="s">
        <v>2335</v>
      </c>
      <c r="I162" s="28" t="str">
        <f>VLOOKUP(E162,표준용어사전!$C$2:$D$494, 2, FALSE)</f>
        <v>내용V2000</v>
      </c>
      <c r="J162" s="28" t="s">
        <v>718</v>
      </c>
      <c r="K162" s="29">
        <v>2000</v>
      </c>
      <c r="L162" s="55" t="s">
        <v>571</v>
      </c>
      <c r="M162" s="29" t="s">
        <v>728</v>
      </c>
      <c r="N162" s="29" t="s">
        <v>75</v>
      </c>
      <c r="O162" s="9"/>
      <c r="P162" s="9" t="s">
        <v>76</v>
      </c>
      <c r="Q162" s="28"/>
      <c r="R162" s="29"/>
      <c r="S162" s="9"/>
      <c r="T162" s="9"/>
      <c r="U162" s="9" t="s">
        <v>75</v>
      </c>
      <c r="V162" s="9" t="s">
        <v>75</v>
      </c>
      <c r="W162" s="9"/>
    </row>
    <row r="163" spans="1:23" s="12" customFormat="1">
      <c r="A163" s="46" t="s">
        <v>572</v>
      </c>
      <c r="B163" s="28" t="s">
        <v>2579</v>
      </c>
      <c r="C163" s="28" t="s">
        <v>2330</v>
      </c>
      <c r="D163" s="9" t="s">
        <v>2601</v>
      </c>
      <c r="E163" s="28" t="s">
        <v>2251</v>
      </c>
      <c r="F163" s="28" t="s">
        <v>2250</v>
      </c>
      <c r="G163" s="28" t="s">
        <v>2250</v>
      </c>
      <c r="H163" s="28" t="s">
        <v>2335</v>
      </c>
      <c r="I163" s="28" t="str">
        <f>VLOOKUP(E163,표준용어사전!$C$2:$D$494, 2, FALSE)</f>
        <v>수N14</v>
      </c>
      <c r="J163" s="28" t="s">
        <v>748</v>
      </c>
      <c r="K163" s="29" t="s">
        <v>1137</v>
      </c>
      <c r="L163" s="55" t="s">
        <v>571</v>
      </c>
      <c r="M163" s="29" t="s">
        <v>776</v>
      </c>
      <c r="N163" s="10" t="s">
        <v>75</v>
      </c>
      <c r="O163" s="9"/>
      <c r="P163" s="9" t="s">
        <v>76</v>
      </c>
      <c r="Q163" s="28"/>
      <c r="R163" s="29"/>
      <c r="S163" s="9"/>
      <c r="T163" s="9"/>
      <c r="U163" s="9" t="s">
        <v>75</v>
      </c>
      <c r="V163" s="9" t="s">
        <v>75</v>
      </c>
      <c r="W163" s="9"/>
    </row>
    <row r="164" spans="1:23" s="12" customFormat="1">
      <c r="A164" s="46" t="s">
        <v>572</v>
      </c>
      <c r="B164" s="28" t="s">
        <v>2579</v>
      </c>
      <c r="C164" s="28" t="s">
        <v>2330</v>
      </c>
      <c r="D164" s="9" t="s">
        <v>2601</v>
      </c>
      <c r="E164" s="28" t="s">
        <v>90</v>
      </c>
      <c r="F164" s="28" t="s">
        <v>14</v>
      </c>
      <c r="G164" s="28" t="s">
        <v>14</v>
      </c>
      <c r="H164" s="28" t="s">
        <v>2335</v>
      </c>
      <c r="I164" s="28" t="str">
        <f>VLOOKUP(E164,표준용어사전!$C$2:$D$494, 2, FALSE)</f>
        <v>연월일시분초TS</v>
      </c>
      <c r="J164" s="28" t="s">
        <v>719</v>
      </c>
      <c r="K164" s="29" t="s">
        <v>571</v>
      </c>
      <c r="L164" s="55" t="s">
        <v>571</v>
      </c>
      <c r="M164" s="29" t="s">
        <v>726</v>
      </c>
      <c r="N164" s="10" t="s">
        <v>973</v>
      </c>
      <c r="O164" s="9"/>
      <c r="P164" s="9" t="s">
        <v>76</v>
      </c>
      <c r="Q164" s="28"/>
      <c r="R164" s="29"/>
      <c r="S164" s="9"/>
      <c r="T164" s="9"/>
      <c r="U164" s="9" t="s">
        <v>75</v>
      </c>
      <c r="V164" s="9" t="s">
        <v>75</v>
      </c>
      <c r="W164" s="9"/>
    </row>
    <row r="165" spans="1:23" s="12" customFormat="1">
      <c r="A165" s="46" t="s">
        <v>572</v>
      </c>
      <c r="B165" s="28" t="s">
        <v>2579</v>
      </c>
      <c r="C165" s="28" t="s">
        <v>2330</v>
      </c>
      <c r="D165" s="9" t="s">
        <v>2436</v>
      </c>
      <c r="E165" s="28" t="s">
        <v>2252</v>
      </c>
      <c r="F165" s="28" t="s">
        <v>1725</v>
      </c>
      <c r="G165" s="28" t="s">
        <v>1725</v>
      </c>
      <c r="H165" s="28" t="s">
        <v>2336</v>
      </c>
      <c r="I165" s="28" t="str">
        <f>VLOOKUP(E165,표준용어사전!$C$2:$D$494, 2, FALSE)</f>
        <v>명V20</v>
      </c>
      <c r="J165" s="28" t="s">
        <v>718</v>
      </c>
      <c r="K165" s="29" t="s">
        <v>986</v>
      </c>
      <c r="L165" s="55" t="s">
        <v>571</v>
      </c>
      <c r="M165" s="29" t="s">
        <v>727</v>
      </c>
      <c r="N165" s="10" t="s">
        <v>973</v>
      </c>
      <c r="O165" s="9" t="s">
        <v>73</v>
      </c>
      <c r="P165" s="9" t="s">
        <v>76</v>
      </c>
      <c r="Q165" s="28"/>
      <c r="R165" s="29"/>
      <c r="S165" s="9"/>
      <c r="T165" s="9"/>
      <c r="U165" s="9" t="s">
        <v>75</v>
      </c>
      <c r="V165" s="9" t="s">
        <v>75</v>
      </c>
      <c r="W165" s="9"/>
    </row>
    <row r="166" spans="1:23" s="12" customFormat="1">
      <c r="A166" s="46" t="s">
        <v>572</v>
      </c>
      <c r="B166" s="28" t="s">
        <v>2579</v>
      </c>
      <c r="C166" s="28" t="s">
        <v>2330</v>
      </c>
      <c r="D166" s="9" t="s">
        <v>2436</v>
      </c>
      <c r="E166" s="28" t="s">
        <v>2229</v>
      </c>
      <c r="F166" s="28" t="s">
        <v>2228</v>
      </c>
      <c r="G166" s="28" t="s">
        <v>2228</v>
      </c>
      <c r="H166" s="28" t="s">
        <v>2336</v>
      </c>
      <c r="I166" s="28" t="str">
        <f>VLOOKUP(E166,표준용어사전!$C$2:$D$494, 2, FALSE)</f>
        <v>명V256</v>
      </c>
      <c r="J166" s="28" t="s">
        <v>718</v>
      </c>
      <c r="K166" s="29">
        <v>256</v>
      </c>
      <c r="L166" s="55" t="s">
        <v>571</v>
      </c>
      <c r="M166" s="29" t="s">
        <v>730</v>
      </c>
      <c r="N166" s="10" t="s">
        <v>973</v>
      </c>
      <c r="O166" s="9"/>
      <c r="P166" s="9" t="s">
        <v>76</v>
      </c>
      <c r="Q166" s="28"/>
      <c r="R166" s="29"/>
      <c r="S166" s="9"/>
      <c r="T166" s="9"/>
      <c r="U166" s="9" t="s">
        <v>75</v>
      </c>
      <c r="V166" s="9" t="s">
        <v>75</v>
      </c>
      <c r="W166" s="9"/>
    </row>
    <row r="167" spans="1:23" s="12" customFormat="1">
      <c r="A167" s="46" t="s">
        <v>572</v>
      </c>
      <c r="B167" s="28" t="s">
        <v>2579</v>
      </c>
      <c r="C167" s="28" t="s">
        <v>2330</v>
      </c>
      <c r="D167" s="9" t="s">
        <v>2436</v>
      </c>
      <c r="E167" s="28" t="s">
        <v>2253</v>
      </c>
      <c r="F167" s="28" t="s">
        <v>1726</v>
      </c>
      <c r="G167" s="28" t="s">
        <v>1726</v>
      </c>
      <c r="H167" s="28" t="s">
        <v>2336</v>
      </c>
      <c r="I167" s="28" t="str">
        <f>VLOOKUP(E167,표준용어사전!$C$2:$D$494, 2, FALSE)</f>
        <v>수N14</v>
      </c>
      <c r="J167" s="28" t="s">
        <v>748</v>
      </c>
      <c r="K167" s="29" t="s">
        <v>1137</v>
      </c>
      <c r="L167" s="55" t="s">
        <v>571</v>
      </c>
      <c r="M167" s="29" t="s">
        <v>776</v>
      </c>
      <c r="N167" s="10" t="s">
        <v>973</v>
      </c>
      <c r="O167" s="9"/>
      <c r="P167" s="9" t="s">
        <v>76</v>
      </c>
      <c r="Q167" s="28"/>
      <c r="R167" s="29"/>
      <c r="S167" s="9"/>
      <c r="T167" s="9"/>
      <c r="U167" s="9" t="s">
        <v>75</v>
      </c>
      <c r="V167" s="9" t="s">
        <v>75</v>
      </c>
      <c r="W167" s="9"/>
    </row>
    <row r="168" spans="1:23" s="12" customFormat="1">
      <c r="A168" s="46" t="s">
        <v>572</v>
      </c>
      <c r="B168" s="28" t="s">
        <v>2579</v>
      </c>
      <c r="C168" s="28" t="s">
        <v>2330</v>
      </c>
      <c r="D168" s="9" t="s">
        <v>2436</v>
      </c>
      <c r="E168" s="28" t="s">
        <v>90</v>
      </c>
      <c r="F168" s="28" t="s">
        <v>14</v>
      </c>
      <c r="G168" s="28" t="s">
        <v>14</v>
      </c>
      <c r="H168" s="28" t="s">
        <v>2336</v>
      </c>
      <c r="I168" s="28" t="str">
        <f>VLOOKUP(E168,표준용어사전!$C$2:$D$494, 2, FALSE)</f>
        <v>연월일시분초TS</v>
      </c>
      <c r="J168" s="28" t="s">
        <v>719</v>
      </c>
      <c r="K168" s="29" t="s">
        <v>571</v>
      </c>
      <c r="L168" s="55" t="s">
        <v>571</v>
      </c>
      <c r="M168" s="29" t="s">
        <v>726</v>
      </c>
      <c r="N168" s="10" t="s">
        <v>973</v>
      </c>
      <c r="O168" s="9"/>
      <c r="P168" s="9" t="s">
        <v>76</v>
      </c>
      <c r="Q168" s="28"/>
      <c r="R168" s="29"/>
      <c r="S168" s="9"/>
      <c r="T168" s="9"/>
      <c r="U168" s="9" t="s">
        <v>75</v>
      </c>
      <c r="V168" s="9" t="s">
        <v>75</v>
      </c>
      <c r="W168" s="9"/>
    </row>
    <row r="169" spans="1:23" s="12" customFormat="1">
      <c r="A169" s="46" t="s">
        <v>572</v>
      </c>
      <c r="B169" s="28" t="s">
        <v>2579</v>
      </c>
      <c r="C169" s="28" t="s">
        <v>2330</v>
      </c>
      <c r="D169" s="28" t="s">
        <v>2437</v>
      </c>
      <c r="E169" s="28" t="s">
        <v>2246</v>
      </c>
      <c r="F169" s="28" t="s">
        <v>1723</v>
      </c>
      <c r="G169" s="28" t="s">
        <v>1723</v>
      </c>
      <c r="H169" s="28" t="s">
        <v>2337</v>
      </c>
      <c r="I169" s="28" t="str">
        <f>VLOOKUP(E169,표준용어사전!$C$2:$D$494, 2, FALSE)</f>
        <v>명V20</v>
      </c>
      <c r="J169" s="28" t="s">
        <v>718</v>
      </c>
      <c r="K169" s="29" t="s">
        <v>986</v>
      </c>
      <c r="L169" s="55" t="s">
        <v>571</v>
      </c>
      <c r="M169" s="29" t="s">
        <v>727</v>
      </c>
      <c r="N169" s="29" t="s">
        <v>973</v>
      </c>
      <c r="O169" s="28" t="s">
        <v>73</v>
      </c>
      <c r="P169" s="28" t="s">
        <v>2735</v>
      </c>
      <c r="Q169" s="28"/>
      <c r="R169" s="29"/>
      <c r="S169" s="28"/>
      <c r="T169" s="28"/>
      <c r="U169" s="9" t="s">
        <v>75</v>
      </c>
      <c r="V169" s="9" t="s">
        <v>75</v>
      </c>
      <c r="W169" s="28"/>
    </row>
    <row r="170" spans="1:23" s="12" customFormat="1">
      <c r="A170" s="46" t="s">
        <v>572</v>
      </c>
      <c r="B170" s="28" t="s">
        <v>2579</v>
      </c>
      <c r="C170" s="28" t="s">
        <v>2330</v>
      </c>
      <c r="D170" s="28" t="s">
        <v>2437</v>
      </c>
      <c r="E170" s="28" t="s">
        <v>2252</v>
      </c>
      <c r="F170" s="28" t="s">
        <v>1725</v>
      </c>
      <c r="G170" s="28" t="s">
        <v>1725</v>
      </c>
      <c r="H170" s="28" t="s">
        <v>2337</v>
      </c>
      <c r="I170" s="28" t="str">
        <f>VLOOKUP(E170,표준용어사전!$C$2:$D$494, 2, FALSE)</f>
        <v>명V20</v>
      </c>
      <c r="J170" s="28" t="s">
        <v>718</v>
      </c>
      <c r="K170" s="29" t="s">
        <v>986</v>
      </c>
      <c r="L170" s="55" t="s">
        <v>571</v>
      </c>
      <c r="M170" s="29" t="s">
        <v>727</v>
      </c>
      <c r="N170" s="29" t="s">
        <v>973</v>
      </c>
      <c r="O170" s="28" t="s">
        <v>74</v>
      </c>
      <c r="P170" s="28" t="s">
        <v>2736</v>
      </c>
      <c r="Q170" s="28"/>
      <c r="R170" s="29"/>
      <c r="S170" s="28"/>
      <c r="T170" s="28"/>
      <c r="U170" s="9" t="s">
        <v>75</v>
      </c>
      <c r="V170" s="9" t="s">
        <v>75</v>
      </c>
      <c r="W170" s="28"/>
    </row>
    <row r="171" spans="1:23" s="12" customFormat="1">
      <c r="A171" s="46" t="s">
        <v>572</v>
      </c>
      <c r="B171" s="28" t="s">
        <v>2579</v>
      </c>
      <c r="C171" s="28" t="s">
        <v>2330</v>
      </c>
      <c r="D171" s="28" t="s">
        <v>2437</v>
      </c>
      <c r="E171" s="28" t="s">
        <v>2254</v>
      </c>
      <c r="F171" s="28" t="s">
        <v>1727</v>
      </c>
      <c r="G171" s="28" t="s">
        <v>1727</v>
      </c>
      <c r="H171" s="28" t="s">
        <v>2337</v>
      </c>
      <c r="I171" s="28" t="str">
        <f>VLOOKUP(E171,표준용어사전!$C$2:$D$494, 2, FALSE)</f>
        <v>수N10,3</v>
      </c>
      <c r="J171" s="28" t="s">
        <v>748</v>
      </c>
      <c r="K171" s="29" t="s">
        <v>1061</v>
      </c>
      <c r="L171" s="55" t="s">
        <v>980</v>
      </c>
      <c r="M171" s="29" t="s">
        <v>2593</v>
      </c>
      <c r="N171" s="29" t="s">
        <v>75</v>
      </c>
      <c r="O171" s="28"/>
      <c r="P171" s="28"/>
      <c r="Q171" s="28"/>
      <c r="R171" s="29"/>
      <c r="S171" s="28"/>
      <c r="T171" s="28"/>
      <c r="U171" s="9" t="s">
        <v>75</v>
      </c>
      <c r="V171" s="9" t="s">
        <v>75</v>
      </c>
      <c r="W171" s="28"/>
    </row>
    <row r="172" spans="1:23" s="12" customFormat="1">
      <c r="A172" s="46" t="s">
        <v>572</v>
      </c>
      <c r="B172" s="28" t="s">
        <v>2579</v>
      </c>
      <c r="C172" s="28" t="s">
        <v>2330</v>
      </c>
      <c r="D172" s="28" t="s">
        <v>2437</v>
      </c>
      <c r="E172" s="28" t="s">
        <v>90</v>
      </c>
      <c r="F172" s="28" t="s">
        <v>14</v>
      </c>
      <c r="G172" s="28" t="s">
        <v>14</v>
      </c>
      <c r="H172" s="28" t="s">
        <v>2337</v>
      </c>
      <c r="I172" s="28" t="str">
        <f>VLOOKUP(E172,표준용어사전!$C$2:$D$494, 2, FALSE)</f>
        <v>연월일시분초TS</v>
      </c>
      <c r="J172" s="28" t="s">
        <v>719</v>
      </c>
      <c r="K172" s="29" t="s">
        <v>571</v>
      </c>
      <c r="L172" s="55" t="s">
        <v>571</v>
      </c>
      <c r="M172" s="29" t="s">
        <v>726</v>
      </c>
      <c r="N172" s="29" t="s">
        <v>973</v>
      </c>
      <c r="O172" s="28"/>
      <c r="P172" s="28"/>
      <c r="Q172" s="28"/>
      <c r="R172" s="29"/>
      <c r="S172" s="28"/>
      <c r="T172" s="28"/>
      <c r="U172" s="9" t="s">
        <v>75</v>
      </c>
      <c r="V172" s="9" t="s">
        <v>75</v>
      </c>
      <c r="W172" s="28"/>
    </row>
    <row r="173" spans="1:23" s="12" customFormat="1">
      <c r="A173" s="46" t="s">
        <v>572</v>
      </c>
      <c r="B173" s="28" t="s">
        <v>2579</v>
      </c>
      <c r="C173" s="28" t="s">
        <v>2330</v>
      </c>
      <c r="D173" s="28" t="s">
        <v>2438</v>
      </c>
      <c r="E173" s="28" t="s">
        <v>2246</v>
      </c>
      <c r="F173" s="28" t="s">
        <v>1723</v>
      </c>
      <c r="G173" s="28" t="s">
        <v>1723</v>
      </c>
      <c r="H173" s="28" t="s">
        <v>2338</v>
      </c>
      <c r="I173" s="28" t="str">
        <f>VLOOKUP(E173,표준용어사전!$C$2:$D$494, 2, FALSE)</f>
        <v>명V20</v>
      </c>
      <c r="J173" s="28" t="s">
        <v>718</v>
      </c>
      <c r="K173" s="29" t="s">
        <v>986</v>
      </c>
      <c r="L173" s="55" t="s">
        <v>571</v>
      </c>
      <c r="M173" s="29" t="s">
        <v>727</v>
      </c>
      <c r="N173" s="29" t="s">
        <v>973</v>
      </c>
      <c r="O173" s="28" t="s">
        <v>73</v>
      </c>
      <c r="P173" s="28" t="s">
        <v>76</v>
      </c>
      <c r="Q173" s="28"/>
      <c r="R173" s="29"/>
      <c r="S173" s="28"/>
      <c r="T173" s="28"/>
      <c r="U173" s="9" t="s">
        <v>75</v>
      </c>
      <c r="V173" s="9" t="s">
        <v>75</v>
      </c>
      <c r="W173" s="28"/>
    </row>
    <row r="174" spans="1:23" s="12" customFormat="1">
      <c r="A174" s="46" t="s">
        <v>572</v>
      </c>
      <c r="B174" s="28" t="s">
        <v>2579</v>
      </c>
      <c r="C174" s="28" t="s">
        <v>2330</v>
      </c>
      <c r="D174" s="28" t="s">
        <v>2438</v>
      </c>
      <c r="E174" s="28" t="s">
        <v>2239</v>
      </c>
      <c r="F174" s="28" t="s">
        <v>2238</v>
      </c>
      <c r="G174" s="28" t="s">
        <v>2238</v>
      </c>
      <c r="H174" s="28" t="s">
        <v>2338</v>
      </c>
      <c r="I174" s="28" t="str">
        <f>VLOOKUP(E174,표준용어사전!$C$2:$D$494, 2, FALSE)</f>
        <v>내용TXT</v>
      </c>
      <c r="J174" s="28" t="s">
        <v>713</v>
      </c>
      <c r="K174" s="29" t="s">
        <v>571</v>
      </c>
      <c r="L174" s="55" t="s">
        <v>571</v>
      </c>
      <c r="M174" s="29" t="s">
        <v>2590</v>
      </c>
      <c r="N174" s="29" t="s">
        <v>973</v>
      </c>
      <c r="O174" s="28"/>
      <c r="P174" s="28" t="s">
        <v>76</v>
      </c>
      <c r="Q174" s="28"/>
      <c r="R174" s="29"/>
      <c r="S174" s="28"/>
      <c r="T174" s="9"/>
      <c r="U174" s="9" t="s">
        <v>75</v>
      </c>
      <c r="V174" s="9" t="s">
        <v>75</v>
      </c>
      <c r="W174" s="28"/>
    </row>
    <row r="175" spans="1:23" s="12" customFormat="1">
      <c r="A175" s="46" t="s">
        <v>572</v>
      </c>
      <c r="B175" s="28" t="s">
        <v>2579</v>
      </c>
      <c r="C175" s="28" t="s">
        <v>2330</v>
      </c>
      <c r="D175" s="28" t="s">
        <v>2438</v>
      </c>
      <c r="E175" s="28" t="s">
        <v>2247</v>
      </c>
      <c r="F175" s="28" t="s">
        <v>1724</v>
      </c>
      <c r="G175" s="28" t="s">
        <v>1724</v>
      </c>
      <c r="H175" s="28" t="s">
        <v>2338</v>
      </c>
      <c r="I175" s="28" t="str">
        <f>VLOOKUP(E175,표준용어사전!$C$2:$D$494, 2, FALSE)</f>
        <v>수N14</v>
      </c>
      <c r="J175" s="28" t="s">
        <v>748</v>
      </c>
      <c r="K175" s="29" t="s">
        <v>1137</v>
      </c>
      <c r="L175" s="55" t="s">
        <v>571</v>
      </c>
      <c r="M175" s="29" t="s">
        <v>776</v>
      </c>
      <c r="N175" s="29" t="s">
        <v>75</v>
      </c>
      <c r="O175" s="28"/>
      <c r="P175" s="28" t="s">
        <v>76</v>
      </c>
      <c r="Q175" s="28"/>
      <c r="R175" s="29"/>
      <c r="S175" s="28"/>
      <c r="T175" s="9"/>
      <c r="U175" s="9" t="s">
        <v>75</v>
      </c>
      <c r="V175" s="9" t="s">
        <v>75</v>
      </c>
      <c r="W175" s="28"/>
    </row>
    <row r="176" spans="1:23" s="12" customFormat="1">
      <c r="A176" s="46" t="s">
        <v>572</v>
      </c>
      <c r="B176" s="28" t="s">
        <v>2579</v>
      </c>
      <c r="C176" s="28" t="s">
        <v>2330</v>
      </c>
      <c r="D176" s="28" t="s">
        <v>2438</v>
      </c>
      <c r="E176" s="28" t="s">
        <v>90</v>
      </c>
      <c r="F176" s="28" t="s">
        <v>14</v>
      </c>
      <c r="G176" s="28" t="s">
        <v>14</v>
      </c>
      <c r="H176" s="28" t="s">
        <v>2338</v>
      </c>
      <c r="I176" s="28" t="str">
        <f>VLOOKUP(E176,표준용어사전!$C$2:$D$494, 2, FALSE)</f>
        <v>연월일시분초TS</v>
      </c>
      <c r="J176" s="28" t="s">
        <v>719</v>
      </c>
      <c r="K176" s="29" t="s">
        <v>571</v>
      </c>
      <c r="L176" s="55" t="s">
        <v>571</v>
      </c>
      <c r="M176" s="29" t="s">
        <v>726</v>
      </c>
      <c r="N176" s="29" t="s">
        <v>973</v>
      </c>
      <c r="O176" s="28"/>
      <c r="P176" s="28" t="s">
        <v>76</v>
      </c>
      <c r="Q176" s="28"/>
      <c r="R176" s="29"/>
      <c r="S176" s="28"/>
      <c r="T176" s="9"/>
      <c r="U176" s="9" t="s">
        <v>75</v>
      </c>
      <c r="V176" s="9" t="s">
        <v>75</v>
      </c>
      <c r="W176" s="28"/>
    </row>
    <row r="177" spans="1:23" s="12" customFormat="1">
      <c r="A177" s="46" t="s">
        <v>572</v>
      </c>
      <c r="B177" s="28" t="s">
        <v>1337</v>
      </c>
      <c r="C177" s="28" t="s">
        <v>2330</v>
      </c>
      <c r="D177" s="28" t="s">
        <v>686</v>
      </c>
      <c r="E177" s="28" t="s">
        <v>862</v>
      </c>
      <c r="F177" s="28" t="s">
        <v>1597</v>
      </c>
      <c r="G177" s="28" t="s">
        <v>1597</v>
      </c>
      <c r="H177" s="28" t="s">
        <v>1598</v>
      </c>
      <c r="I177" s="28" t="str">
        <f>VLOOKUP(E177,표준용어사전!$C$2:$D$494, 2, FALSE)</f>
        <v>명V20</v>
      </c>
      <c r="J177" s="28" t="s">
        <v>718</v>
      </c>
      <c r="K177" s="29" t="s">
        <v>986</v>
      </c>
      <c r="L177" s="55" t="s">
        <v>571</v>
      </c>
      <c r="M177" s="29" t="s">
        <v>727</v>
      </c>
      <c r="N177" s="29" t="s">
        <v>973</v>
      </c>
      <c r="O177" s="28" t="s">
        <v>73</v>
      </c>
      <c r="P177" s="28" t="s">
        <v>76</v>
      </c>
      <c r="Q177" s="28"/>
      <c r="R177" s="29"/>
      <c r="S177" s="28"/>
      <c r="T177" s="9"/>
      <c r="U177" s="9" t="s">
        <v>75</v>
      </c>
      <c r="V177" s="9" t="s">
        <v>75</v>
      </c>
      <c r="W177" s="28"/>
    </row>
    <row r="178" spans="1:23" s="12" customFormat="1">
      <c r="A178" s="46" t="s">
        <v>572</v>
      </c>
      <c r="B178" s="28" t="s">
        <v>1337</v>
      </c>
      <c r="C178" s="28" t="s">
        <v>2330</v>
      </c>
      <c r="D178" s="28" t="s">
        <v>686</v>
      </c>
      <c r="E178" s="28" t="s">
        <v>2137</v>
      </c>
      <c r="F178" s="28" t="s">
        <v>2401</v>
      </c>
      <c r="G178" s="28" t="s">
        <v>2401</v>
      </c>
      <c r="H178" s="28" t="s">
        <v>1598</v>
      </c>
      <c r="I178" s="28" t="str">
        <f>VLOOKUP(E178,표준용어사전!$C$2:$D$494, 2, FALSE)</f>
        <v>주소V40</v>
      </c>
      <c r="J178" s="28" t="s">
        <v>718</v>
      </c>
      <c r="K178" s="29">
        <v>40</v>
      </c>
      <c r="L178" s="55" t="s">
        <v>571</v>
      </c>
      <c r="M178" s="29" t="s">
        <v>1051</v>
      </c>
      <c r="N178" s="29" t="s">
        <v>75</v>
      </c>
      <c r="O178" s="28"/>
      <c r="P178" s="28" t="s">
        <v>76</v>
      </c>
      <c r="Q178" s="28"/>
      <c r="R178" s="29"/>
      <c r="S178" s="28"/>
      <c r="T178" s="9"/>
      <c r="U178" s="9" t="s">
        <v>75</v>
      </c>
      <c r="V178" s="9" t="s">
        <v>75</v>
      </c>
      <c r="W178" s="28"/>
    </row>
    <row r="179" spans="1:23" s="12" customFormat="1">
      <c r="A179" s="46" t="s">
        <v>572</v>
      </c>
      <c r="B179" s="28" t="s">
        <v>1337</v>
      </c>
      <c r="C179" s="28" t="s">
        <v>2330</v>
      </c>
      <c r="D179" s="28" t="s">
        <v>686</v>
      </c>
      <c r="E179" s="28" t="s">
        <v>864</v>
      </c>
      <c r="F179" s="28" t="s">
        <v>787</v>
      </c>
      <c r="G179" s="28" t="s">
        <v>787</v>
      </c>
      <c r="H179" s="28" t="s">
        <v>1598</v>
      </c>
      <c r="I179" s="28" t="str">
        <f>VLOOKUP(E179,표준용어사전!$C$2:$D$494, 2, FALSE)</f>
        <v>명V20</v>
      </c>
      <c r="J179" s="28" t="s">
        <v>718</v>
      </c>
      <c r="K179" s="29" t="s">
        <v>986</v>
      </c>
      <c r="L179" s="55" t="s">
        <v>571</v>
      </c>
      <c r="M179" s="29" t="s">
        <v>727</v>
      </c>
      <c r="N179" s="29" t="s">
        <v>75</v>
      </c>
      <c r="O179" s="28"/>
      <c r="P179" s="28" t="s">
        <v>76</v>
      </c>
      <c r="Q179" s="28"/>
      <c r="R179" s="29"/>
      <c r="S179" s="28"/>
      <c r="T179" s="9"/>
      <c r="U179" s="9" t="s">
        <v>75</v>
      </c>
      <c r="V179" s="9" t="s">
        <v>75</v>
      </c>
      <c r="W179" s="28"/>
    </row>
    <row r="180" spans="1:23" s="12" customFormat="1">
      <c r="A180" s="46" t="s">
        <v>572</v>
      </c>
      <c r="B180" s="28" t="s">
        <v>1337</v>
      </c>
      <c r="C180" s="28" t="s">
        <v>2330</v>
      </c>
      <c r="D180" s="28" t="s">
        <v>686</v>
      </c>
      <c r="E180" s="28" t="s">
        <v>2512</v>
      </c>
      <c r="F180" s="28" t="s">
        <v>2207</v>
      </c>
      <c r="G180" s="28" t="s">
        <v>2207</v>
      </c>
      <c r="H180" s="28" t="s">
        <v>1598</v>
      </c>
      <c r="I180" s="28" t="str">
        <f>VLOOKUP(E180,표준용어사전!$C$2:$D$494, 2, FALSE)</f>
        <v>코드C4</v>
      </c>
      <c r="J180" s="28" t="s">
        <v>709</v>
      </c>
      <c r="K180" s="29">
        <v>4</v>
      </c>
      <c r="L180" s="55" t="s">
        <v>571</v>
      </c>
      <c r="M180" s="29" t="s">
        <v>929</v>
      </c>
      <c r="N180" s="29" t="s">
        <v>973</v>
      </c>
      <c r="O180" s="28"/>
      <c r="P180" s="28" t="s">
        <v>76</v>
      </c>
      <c r="Q180" s="28"/>
      <c r="R180" s="29"/>
      <c r="S180" s="28"/>
      <c r="T180" s="28"/>
      <c r="U180" s="9" t="s">
        <v>75</v>
      </c>
      <c r="V180" s="9" t="s">
        <v>75</v>
      </c>
      <c r="W180" s="28"/>
    </row>
    <row r="181" spans="1:23" s="12" customFormat="1">
      <c r="A181" s="46" t="s">
        <v>572</v>
      </c>
      <c r="B181" s="28" t="s">
        <v>1337</v>
      </c>
      <c r="C181" s="28" t="s">
        <v>2330</v>
      </c>
      <c r="D181" s="28" t="s">
        <v>686</v>
      </c>
      <c r="E181" s="28" t="s">
        <v>2511</v>
      </c>
      <c r="F181" s="28" t="s">
        <v>580</v>
      </c>
      <c r="G181" s="28" t="s">
        <v>580</v>
      </c>
      <c r="H181" s="28" t="s">
        <v>1598</v>
      </c>
      <c r="I181" s="28" t="str">
        <f>VLOOKUP(E181,표준용어사전!$C$2:$D$494, 2, FALSE)</f>
        <v>명V20</v>
      </c>
      <c r="J181" s="28" t="s">
        <v>718</v>
      </c>
      <c r="K181" s="29" t="s">
        <v>986</v>
      </c>
      <c r="L181" s="55" t="s">
        <v>571</v>
      </c>
      <c r="M181" s="29" t="s">
        <v>727</v>
      </c>
      <c r="N181" s="29" t="s">
        <v>973</v>
      </c>
      <c r="O181" s="28"/>
      <c r="P181" s="28" t="s">
        <v>76</v>
      </c>
      <c r="Q181" s="28"/>
      <c r="R181" s="29"/>
      <c r="S181" s="28"/>
      <c r="T181" s="28"/>
      <c r="U181" s="9" t="s">
        <v>75</v>
      </c>
      <c r="V181" s="9" t="s">
        <v>75</v>
      </c>
      <c r="W181" s="28"/>
    </row>
    <row r="182" spans="1:23" s="12" customFormat="1">
      <c r="A182" s="46" t="s">
        <v>572</v>
      </c>
      <c r="B182" s="28" t="s">
        <v>1337</v>
      </c>
      <c r="C182" s="28" t="s">
        <v>2330</v>
      </c>
      <c r="D182" s="28" t="s">
        <v>686</v>
      </c>
      <c r="E182" s="28" t="s">
        <v>90</v>
      </c>
      <c r="F182" s="28" t="s">
        <v>14</v>
      </c>
      <c r="G182" s="28" t="s">
        <v>14</v>
      </c>
      <c r="H182" s="28" t="s">
        <v>1598</v>
      </c>
      <c r="I182" s="28" t="str">
        <f>VLOOKUP(E182,표준용어사전!$C$2:$D$494, 2, FALSE)</f>
        <v>연월일시분초TS</v>
      </c>
      <c r="J182" s="28" t="s">
        <v>719</v>
      </c>
      <c r="K182" s="29" t="s">
        <v>571</v>
      </c>
      <c r="L182" s="55" t="s">
        <v>571</v>
      </c>
      <c r="M182" s="29" t="s">
        <v>726</v>
      </c>
      <c r="N182" s="29" t="s">
        <v>973</v>
      </c>
      <c r="O182" s="28"/>
      <c r="P182" s="28" t="s">
        <v>76</v>
      </c>
      <c r="Q182" s="28"/>
      <c r="R182" s="29"/>
      <c r="S182" s="28"/>
      <c r="T182" s="28"/>
      <c r="U182" s="9" t="s">
        <v>75</v>
      </c>
      <c r="V182" s="9" t="s">
        <v>75</v>
      </c>
      <c r="W182" s="28"/>
    </row>
    <row r="183" spans="1:23" s="12" customFormat="1">
      <c r="A183" s="46" t="s">
        <v>572</v>
      </c>
      <c r="B183" s="28" t="s">
        <v>1337</v>
      </c>
      <c r="C183" s="28" t="s">
        <v>2330</v>
      </c>
      <c r="D183" s="28" t="s">
        <v>686</v>
      </c>
      <c r="E183" s="28" t="s">
        <v>1315</v>
      </c>
      <c r="F183" s="28" t="s">
        <v>2326</v>
      </c>
      <c r="G183" s="28" t="s">
        <v>2326</v>
      </c>
      <c r="H183" s="28" t="s">
        <v>1598</v>
      </c>
      <c r="I183" s="28" t="str">
        <f>VLOOKUP(E183,표준용어사전!$C$2:$D$494, 2, FALSE)</f>
        <v>연월일시분초TS</v>
      </c>
      <c r="J183" s="28" t="s">
        <v>719</v>
      </c>
      <c r="K183" s="29" t="s">
        <v>571</v>
      </c>
      <c r="L183" s="55" t="s">
        <v>571</v>
      </c>
      <c r="M183" s="29" t="s">
        <v>726</v>
      </c>
      <c r="N183" s="29" t="s">
        <v>75</v>
      </c>
      <c r="O183" s="28"/>
      <c r="P183" s="28" t="s">
        <v>76</v>
      </c>
      <c r="Q183" s="28"/>
      <c r="R183" s="29"/>
      <c r="S183" s="28"/>
      <c r="T183" s="28"/>
      <c r="U183" s="9" t="s">
        <v>75</v>
      </c>
      <c r="V183" s="9" t="s">
        <v>75</v>
      </c>
      <c r="W183" s="28"/>
    </row>
    <row r="184" spans="1:23" s="12" customFormat="1">
      <c r="A184" s="46" t="s">
        <v>572</v>
      </c>
      <c r="B184" s="28" t="s">
        <v>1333</v>
      </c>
      <c r="C184" s="28" t="s">
        <v>2330</v>
      </c>
      <c r="D184" s="28" t="s">
        <v>2602</v>
      </c>
      <c r="E184" s="28" t="s">
        <v>251</v>
      </c>
      <c r="F184" s="28" t="s">
        <v>484</v>
      </c>
      <c r="G184" s="28" t="s">
        <v>484</v>
      </c>
      <c r="H184" s="28" t="s">
        <v>2339</v>
      </c>
      <c r="I184" s="28" t="str">
        <f>VLOOKUP(E184,표준용어사전!$C$2:$D$494, 2, FALSE)</f>
        <v>번호I</v>
      </c>
      <c r="J184" s="28" t="s">
        <v>717</v>
      </c>
      <c r="K184" s="29" t="s">
        <v>571</v>
      </c>
      <c r="L184" s="55" t="s">
        <v>571</v>
      </c>
      <c r="M184" s="29" t="s">
        <v>2591</v>
      </c>
      <c r="N184" s="29" t="s">
        <v>973</v>
      </c>
      <c r="O184" s="28" t="s">
        <v>73</v>
      </c>
      <c r="P184" s="28" t="s">
        <v>76</v>
      </c>
      <c r="Q184" s="28"/>
      <c r="R184" s="29"/>
      <c r="S184" s="28"/>
      <c r="T184" s="28"/>
      <c r="U184" s="9" t="s">
        <v>75</v>
      </c>
      <c r="V184" s="9" t="s">
        <v>75</v>
      </c>
      <c r="W184" s="28"/>
    </row>
    <row r="185" spans="1:23" s="12" customFormat="1">
      <c r="A185" s="46" t="s">
        <v>572</v>
      </c>
      <c r="B185" s="28" t="s">
        <v>1333</v>
      </c>
      <c r="C185" s="28" t="s">
        <v>2330</v>
      </c>
      <c r="D185" s="28" t="s">
        <v>2602</v>
      </c>
      <c r="E185" s="28" t="s">
        <v>246</v>
      </c>
      <c r="F185" s="28" t="s">
        <v>17</v>
      </c>
      <c r="G185" s="28" t="s">
        <v>17</v>
      </c>
      <c r="H185" s="28" t="s">
        <v>2339</v>
      </c>
      <c r="I185" s="28" t="str">
        <f>VLOOKUP(E185,표준용어사전!$C$2:$D$494, 2, FALSE)</f>
        <v>명V20</v>
      </c>
      <c r="J185" s="28" t="s">
        <v>718</v>
      </c>
      <c r="K185" s="29" t="s">
        <v>986</v>
      </c>
      <c r="L185" s="55" t="s">
        <v>571</v>
      </c>
      <c r="M185" s="29" t="s">
        <v>727</v>
      </c>
      <c r="N185" s="29" t="s">
        <v>973</v>
      </c>
      <c r="O185" s="28"/>
      <c r="P185" s="28" t="s">
        <v>76</v>
      </c>
      <c r="Q185" s="28"/>
      <c r="R185" s="29"/>
      <c r="S185" s="28"/>
      <c r="T185" s="9"/>
      <c r="U185" s="9" t="s">
        <v>75</v>
      </c>
      <c r="V185" s="9" t="s">
        <v>75</v>
      </c>
      <c r="W185" s="28"/>
    </row>
    <row r="186" spans="1:23" s="12" customFormat="1">
      <c r="A186" s="46" t="s">
        <v>572</v>
      </c>
      <c r="B186" s="28" t="s">
        <v>1333</v>
      </c>
      <c r="C186" s="28" t="s">
        <v>2330</v>
      </c>
      <c r="D186" s="28" t="s">
        <v>2602</v>
      </c>
      <c r="E186" s="28" t="s">
        <v>252</v>
      </c>
      <c r="F186" s="28" t="s">
        <v>77</v>
      </c>
      <c r="G186" s="28" t="s">
        <v>77</v>
      </c>
      <c r="H186" s="28" t="s">
        <v>2339</v>
      </c>
      <c r="I186" s="28" t="str">
        <f>VLOOKUP(E186,표준용어사전!$C$2:$D$494, 2, FALSE)</f>
        <v>내용TXT</v>
      </c>
      <c r="J186" s="28" t="s">
        <v>713</v>
      </c>
      <c r="K186" s="29" t="s">
        <v>571</v>
      </c>
      <c r="L186" s="55" t="s">
        <v>571</v>
      </c>
      <c r="M186" s="29" t="s">
        <v>2590</v>
      </c>
      <c r="N186" s="29" t="s">
        <v>75</v>
      </c>
      <c r="O186" s="28"/>
      <c r="P186" s="28" t="s">
        <v>76</v>
      </c>
      <c r="Q186" s="28"/>
      <c r="R186" s="29"/>
      <c r="S186" s="28"/>
      <c r="T186" s="9"/>
      <c r="U186" s="9" t="s">
        <v>75</v>
      </c>
      <c r="V186" s="9" t="s">
        <v>75</v>
      </c>
      <c r="W186" s="28"/>
    </row>
    <row r="187" spans="1:23" s="12" customFormat="1">
      <c r="A187" s="46" t="s">
        <v>572</v>
      </c>
      <c r="B187" s="28" t="s">
        <v>1333</v>
      </c>
      <c r="C187" s="28" t="s">
        <v>2330</v>
      </c>
      <c r="D187" s="28" t="s">
        <v>2602</v>
      </c>
      <c r="E187" s="28" t="s">
        <v>90</v>
      </c>
      <c r="F187" s="28" t="s">
        <v>14</v>
      </c>
      <c r="G187" s="28" t="s">
        <v>14</v>
      </c>
      <c r="H187" s="28" t="s">
        <v>2339</v>
      </c>
      <c r="I187" s="28" t="str">
        <f>VLOOKUP(E187,표준용어사전!$C$2:$D$494, 2, FALSE)</f>
        <v>연월일시분초TS</v>
      </c>
      <c r="J187" s="28" t="s">
        <v>719</v>
      </c>
      <c r="K187" s="29" t="s">
        <v>571</v>
      </c>
      <c r="L187" s="55" t="s">
        <v>571</v>
      </c>
      <c r="M187" s="29" t="s">
        <v>726</v>
      </c>
      <c r="N187" s="29" t="s">
        <v>973</v>
      </c>
      <c r="O187" s="28"/>
      <c r="P187" s="28" t="s">
        <v>76</v>
      </c>
      <c r="Q187" s="28"/>
      <c r="R187" s="29"/>
      <c r="S187" s="28"/>
      <c r="T187" s="9"/>
      <c r="U187" s="9" t="s">
        <v>75</v>
      </c>
      <c r="V187" s="9" t="s">
        <v>75</v>
      </c>
      <c r="W187" s="28"/>
    </row>
    <row r="188" spans="1:23" s="12" customFormat="1">
      <c r="A188" s="46" t="s">
        <v>572</v>
      </c>
      <c r="B188" s="28" t="s">
        <v>1333</v>
      </c>
      <c r="C188" s="28" t="s">
        <v>2330</v>
      </c>
      <c r="D188" s="28" t="s">
        <v>2602</v>
      </c>
      <c r="E188" s="28" t="s">
        <v>91</v>
      </c>
      <c r="F188" s="28" t="s">
        <v>369</v>
      </c>
      <c r="G188" s="28" t="s">
        <v>369</v>
      </c>
      <c r="H188" s="28" t="s">
        <v>2339</v>
      </c>
      <c r="I188" s="28" t="str">
        <f>VLOOKUP(E188,표준용어사전!$C$2:$D$494, 2, FALSE)</f>
        <v>명V20</v>
      </c>
      <c r="J188" s="28" t="s">
        <v>718</v>
      </c>
      <c r="K188" s="29" t="s">
        <v>986</v>
      </c>
      <c r="L188" s="55" t="s">
        <v>571</v>
      </c>
      <c r="M188" s="29" t="s">
        <v>727</v>
      </c>
      <c r="N188" s="29" t="s">
        <v>75</v>
      </c>
      <c r="O188" s="28"/>
      <c r="P188" s="28" t="s">
        <v>76</v>
      </c>
      <c r="Q188" s="28"/>
      <c r="R188" s="29"/>
      <c r="S188" s="28"/>
      <c r="T188" s="9"/>
      <c r="U188" s="9" t="s">
        <v>75</v>
      </c>
      <c r="V188" s="9" t="s">
        <v>75</v>
      </c>
      <c r="W188" s="28"/>
    </row>
    <row r="189" spans="1:23" s="12" customFormat="1">
      <c r="A189" s="46" t="s">
        <v>572</v>
      </c>
      <c r="B189" s="28" t="s">
        <v>1333</v>
      </c>
      <c r="C189" s="28" t="s">
        <v>2330</v>
      </c>
      <c r="D189" s="9" t="s">
        <v>2603</v>
      </c>
      <c r="E189" s="28" t="s">
        <v>246</v>
      </c>
      <c r="F189" s="28" t="s">
        <v>17</v>
      </c>
      <c r="G189" s="28" t="s">
        <v>17</v>
      </c>
      <c r="H189" s="28" t="s">
        <v>2340</v>
      </c>
      <c r="I189" s="28" t="str">
        <f>VLOOKUP(E189,표준용어사전!$C$2:$D$494, 2, FALSE)</f>
        <v>명V20</v>
      </c>
      <c r="J189" s="28" t="s">
        <v>718</v>
      </c>
      <c r="K189" s="29" t="s">
        <v>986</v>
      </c>
      <c r="L189" s="55" t="s">
        <v>571</v>
      </c>
      <c r="M189" s="29" t="s">
        <v>727</v>
      </c>
      <c r="N189" s="10" t="s">
        <v>973</v>
      </c>
      <c r="O189" s="9" t="s">
        <v>73</v>
      </c>
      <c r="P189" s="9" t="s">
        <v>76</v>
      </c>
      <c r="Q189" s="28"/>
      <c r="R189" s="29"/>
      <c r="S189" s="9"/>
      <c r="T189" s="9"/>
      <c r="U189" s="9" t="s">
        <v>75</v>
      </c>
      <c r="V189" s="9" t="s">
        <v>75</v>
      </c>
      <c r="W189" s="9"/>
    </row>
    <row r="190" spans="1:23" s="12" customFormat="1">
      <c r="A190" s="46" t="s">
        <v>572</v>
      </c>
      <c r="B190" s="28" t="s">
        <v>1333</v>
      </c>
      <c r="C190" s="28" t="s">
        <v>2330</v>
      </c>
      <c r="D190" s="28" t="s">
        <v>2603</v>
      </c>
      <c r="E190" s="28" t="s">
        <v>247</v>
      </c>
      <c r="F190" s="28" t="s">
        <v>2402</v>
      </c>
      <c r="G190" s="28" t="s">
        <v>2402</v>
      </c>
      <c r="H190" s="28" t="s">
        <v>2340</v>
      </c>
      <c r="I190" s="28" t="str">
        <f>VLOOKUP(E190,표준용어사전!$C$2:$D$494, 2, FALSE)</f>
        <v>코드C2</v>
      </c>
      <c r="J190" s="28" t="s">
        <v>709</v>
      </c>
      <c r="K190" s="29">
        <v>2</v>
      </c>
      <c r="L190" s="55" t="s">
        <v>571</v>
      </c>
      <c r="M190" s="29" t="s">
        <v>766</v>
      </c>
      <c r="N190" s="29" t="s">
        <v>75</v>
      </c>
      <c r="O190" s="28"/>
      <c r="P190" s="28" t="s">
        <v>76</v>
      </c>
      <c r="Q190" s="28"/>
      <c r="R190" s="29"/>
      <c r="S190" s="28"/>
      <c r="T190" s="28"/>
      <c r="U190" s="28" t="s">
        <v>75</v>
      </c>
      <c r="V190" s="28" t="s">
        <v>75</v>
      </c>
      <c r="W190" s="28"/>
    </row>
    <row r="191" spans="1:23" s="12" customFormat="1">
      <c r="A191" s="46" t="s">
        <v>572</v>
      </c>
      <c r="B191" s="28" t="s">
        <v>1333</v>
      </c>
      <c r="C191" s="28" t="s">
        <v>2330</v>
      </c>
      <c r="D191" s="9" t="s">
        <v>2603</v>
      </c>
      <c r="E191" s="28" t="s">
        <v>248</v>
      </c>
      <c r="F191" s="28" t="s">
        <v>2403</v>
      </c>
      <c r="G191" s="28" t="s">
        <v>2403</v>
      </c>
      <c r="H191" s="28" t="s">
        <v>2340</v>
      </c>
      <c r="I191" s="28" t="str">
        <f>VLOOKUP(E191,표준용어사전!$C$2:$D$494, 2, FALSE)</f>
        <v>코드C2</v>
      </c>
      <c r="J191" s="28" t="s">
        <v>709</v>
      </c>
      <c r="K191" s="29">
        <v>2</v>
      </c>
      <c r="L191" s="55" t="s">
        <v>571</v>
      </c>
      <c r="M191" s="29" t="s">
        <v>766</v>
      </c>
      <c r="N191" s="10" t="s">
        <v>75</v>
      </c>
      <c r="O191" s="9"/>
      <c r="P191" s="9" t="s">
        <v>76</v>
      </c>
      <c r="Q191" s="28"/>
      <c r="R191" s="29"/>
      <c r="S191" s="9"/>
      <c r="T191" s="9"/>
      <c r="U191" s="9" t="s">
        <v>75</v>
      </c>
      <c r="V191" s="9" t="s">
        <v>75</v>
      </c>
      <c r="W191" s="9"/>
    </row>
    <row r="192" spans="1:23" s="12" customFormat="1">
      <c r="A192" s="46" t="s">
        <v>572</v>
      </c>
      <c r="B192" s="28" t="s">
        <v>1333</v>
      </c>
      <c r="C192" s="28" t="s">
        <v>2330</v>
      </c>
      <c r="D192" s="28" t="s">
        <v>2603</v>
      </c>
      <c r="E192" s="28" t="s">
        <v>249</v>
      </c>
      <c r="F192" s="28" t="s">
        <v>2404</v>
      </c>
      <c r="G192" s="28" t="s">
        <v>2404</v>
      </c>
      <c r="H192" s="28" t="s">
        <v>2340</v>
      </c>
      <c r="I192" s="28" t="str">
        <f>VLOOKUP(E192,표준용어사전!$C$2:$D$494, 2, FALSE)</f>
        <v>코드C2</v>
      </c>
      <c r="J192" s="28" t="s">
        <v>709</v>
      </c>
      <c r="K192" s="29">
        <v>2</v>
      </c>
      <c r="L192" s="55" t="s">
        <v>571</v>
      </c>
      <c r="M192" s="29" t="s">
        <v>766</v>
      </c>
      <c r="N192" s="29" t="s">
        <v>75</v>
      </c>
      <c r="O192" s="28"/>
      <c r="P192" s="28" t="s">
        <v>76</v>
      </c>
      <c r="Q192" s="28"/>
      <c r="R192" s="29"/>
      <c r="S192" s="28"/>
      <c r="T192" s="28"/>
      <c r="U192" s="28" t="s">
        <v>75</v>
      </c>
      <c r="V192" s="28" t="s">
        <v>75</v>
      </c>
      <c r="W192" s="28"/>
    </row>
    <row r="193" spans="1:23" s="12" customFormat="1">
      <c r="A193" s="46" t="s">
        <v>572</v>
      </c>
      <c r="B193" s="28" t="s">
        <v>1333</v>
      </c>
      <c r="C193" s="28" t="s">
        <v>2330</v>
      </c>
      <c r="D193" s="28" t="s">
        <v>2603</v>
      </c>
      <c r="E193" s="28" t="s">
        <v>250</v>
      </c>
      <c r="F193" s="28" t="s">
        <v>483</v>
      </c>
      <c r="G193" s="28" t="s">
        <v>483</v>
      </c>
      <c r="H193" s="28" t="s">
        <v>2340</v>
      </c>
      <c r="I193" s="28" t="str">
        <f>VLOOKUP(E193,표준용어사전!$C$2:$D$494, 2, FALSE)</f>
        <v>연월일시분초TS</v>
      </c>
      <c r="J193" s="28" t="s">
        <v>719</v>
      </c>
      <c r="K193" s="29" t="s">
        <v>571</v>
      </c>
      <c r="L193" s="55" t="s">
        <v>571</v>
      </c>
      <c r="M193" s="29" t="s">
        <v>726</v>
      </c>
      <c r="N193" s="29" t="s">
        <v>75</v>
      </c>
      <c r="O193" s="28"/>
      <c r="P193" s="28" t="s">
        <v>76</v>
      </c>
      <c r="Q193" s="28"/>
      <c r="R193" s="29"/>
      <c r="S193" s="28"/>
      <c r="T193" s="28"/>
      <c r="U193" s="28" t="s">
        <v>75</v>
      </c>
      <c r="V193" s="28" t="s">
        <v>75</v>
      </c>
      <c r="W193" s="28"/>
    </row>
    <row r="194" spans="1:23" s="51" customFormat="1">
      <c r="A194" s="46" t="s">
        <v>572</v>
      </c>
      <c r="B194" s="28" t="s">
        <v>1333</v>
      </c>
      <c r="C194" s="28" t="s">
        <v>2330</v>
      </c>
      <c r="D194" s="28" t="s">
        <v>2603</v>
      </c>
      <c r="E194" s="28" t="s">
        <v>859</v>
      </c>
      <c r="F194" s="28" t="s">
        <v>784</v>
      </c>
      <c r="G194" s="28" t="s">
        <v>784</v>
      </c>
      <c r="H194" s="28" t="s">
        <v>2340</v>
      </c>
      <c r="I194" s="28" t="str">
        <f>VLOOKUP(E194,표준용어사전!$C$2:$D$494, 2, FALSE)</f>
        <v>번호N10</v>
      </c>
      <c r="J194" s="28" t="s">
        <v>748</v>
      </c>
      <c r="K194" s="29">
        <v>10</v>
      </c>
      <c r="L194" s="55" t="s">
        <v>571</v>
      </c>
      <c r="M194" s="29" t="s">
        <v>2592</v>
      </c>
      <c r="N194" s="29" t="s">
        <v>75</v>
      </c>
      <c r="O194" s="48"/>
      <c r="P194" s="48" t="s">
        <v>76</v>
      </c>
      <c r="Q194" s="48"/>
      <c r="R194" s="50"/>
      <c r="S194" s="48"/>
      <c r="T194" s="48"/>
      <c r="U194" s="48" t="s">
        <v>75</v>
      </c>
      <c r="V194" s="48" t="s">
        <v>75</v>
      </c>
      <c r="W194" s="48"/>
    </row>
    <row r="195" spans="1:23" s="51" customFormat="1">
      <c r="A195" s="46" t="s">
        <v>572</v>
      </c>
      <c r="B195" s="28" t="s">
        <v>1333</v>
      </c>
      <c r="C195" s="28" t="s">
        <v>2330</v>
      </c>
      <c r="D195" s="28" t="s">
        <v>2603</v>
      </c>
      <c r="E195" s="28" t="s">
        <v>860</v>
      </c>
      <c r="F195" s="28" t="s">
        <v>785</v>
      </c>
      <c r="G195" s="28" t="s">
        <v>785</v>
      </c>
      <c r="H195" s="28" t="s">
        <v>2340</v>
      </c>
      <c r="I195" s="28" t="str">
        <f>VLOOKUP(E195,표준용어사전!$C$2:$D$494, 2, FALSE)</f>
        <v>연월일시분초TS</v>
      </c>
      <c r="J195" s="28" t="s">
        <v>719</v>
      </c>
      <c r="K195" s="29" t="s">
        <v>571</v>
      </c>
      <c r="L195" s="55" t="s">
        <v>571</v>
      </c>
      <c r="M195" s="29" t="s">
        <v>726</v>
      </c>
      <c r="N195" s="50" t="s">
        <v>75</v>
      </c>
      <c r="O195" s="48"/>
      <c r="P195" s="48" t="s">
        <v>76</v>
      </c>
      <c r="Q195" s="48"/>
      <c r="R195" s="50"/>
      <c r="S195" s="48"/>
      <c r="T195" s="48"/>
      <c r="U195" s="48" t="s">
        <v>75</v>
      </c>
      <c r="V195" s="48" t="s">
        <v>75</v>
      </c>
      <c r="W195" s="48"/>
    </row>
    <row r="196" spans="1:23" s="12" customFormat="1">
      <c r="A196" s="46" t="s">
        <v>572</v>
      </c>
      <c r="B196" s="28" t="s">
        <v>1333</v>
      </c>
      <c r="C196" s="28" t="s">
        <v>2330</v>
      </c>
      <c r="D196" s="28" t="s">
        <v>2603</v>
      </c>
      <c r="E196" s="28" t="s">
        <v>861</v>
      </c>
      <c r="F196" s="28" t="s">
        <v>786</v>
      </c>
      <c r="G196" s="28" t="s">
        <v>786</v>
      </c>
      <c r="H196" s="28" t="s">
        <v>2340</v>
      </c>
      <c r="I196" s="28" t="str">
        <f>VLOOKUP(E196,표준용어사전!$C$2:$D$494, 2, FALSE)</f>
        <v>연월일시분초TS</v>
      </c>
      <c r="J196" s="28" t="s">
        <v>719</v>
      </c>
      <c r="K196" s="29" t="s">
        <v>571</v>
      </c>
      <c r="L196" s="55" t="s">
        <v>571</v>
      </c>
      <c r="M196" s="29" t="s">
        <v>726</v>
      </c>
      <c r="N196" s="29" t="s">
        <v>75</v>
      </c>
      <c r="O196" s="28"/>
      <c r="P196" s="28" t="s">
        <v>76</v>
      </c>
      <c r="Q196" s="28"/>
      <c r="R196" s="29"/>
      <c r="S196" s="28"/>
      <c r="T196" s="28"/>
      <c r="U196" s="9" t="s">
        <v>75</v>
      </c>
      <c r="V196" s="9" t="s">
        <v>75</v>
      </c>
      <c r="W196" s="28"/>
    </row>
    <row r="197" spans="1:23" s="12" customFormat="1">
      <c r="A197" s="46" t="s">
        <v>572</v>
      </c>
      <c r="B197" s="28" t="s">
        <v>1333</v>
      </c>
      <c r="C197" s="28" t="s">
        <v>2330</v>
      </c>
      <c r="D197" s="9" t="s">
        <v>2603</v>
      </c>
      <c r="E197" s="28" t="s">
        <v>90</v>
      </c>
      <c r="F197" s="28" t="s">
        <v>14</v>
      </c>
      <c r="G197" s="28" t="s">
        <v>14</v>
      </c>
      <c r="H197" s="28" t="s">
        <v>2340</v>
      </c>
      <c r="I197" s="28" t="str">
        <f>VLOOKUP(E197,표준용어사전!$C$2:$D$494, 2, FALSE)</f>
        <v>연월일시분초TS</v>
      </c>
      <c r="J197" s="28" t="s">
        <v>719</v>
      </c>
      <c r="K197" s="29" t="s">
        <v>571</v>
      </c>
      <c r="L197" s="55" t="s">
        <v>571</v>
      </c>
      <c r="M197" s="29" t="s">
        <v>726</v>
      </c>
      <c r="N197" s="29" t="s">
        <v>973</v>
      </c>
      <c r="O197" s="9"/>
      <c r="P197" s="9" t="s">
        <v>76</v>
      </c>
      <c r="Q197" s="28"/>
      <c r="R197" s="29"/>
      <c r="S197" s="9"/>
      <c r="T197" s="9"/>
      <c r="U197" s="9" t="s">
        <v>75</v>
      </c>
      <c r="V197" s="9" t="s">
        <v>75</v>
      </c>
      <c r="W197" s="9"/>
    </row>
    <row r="198" spans="1:23" s="12" customFormat="1">
      <c r="A198" s="46" t="s">
        <v>572</v>
      </c>
      <c r="B198" s="28" t="s">
        <v>1333</v>
      </c>
      <c r="C198" s="28" t="s">
        <v>2330</v>
      </c>
      <c r="D198" s="28" t="s">
        <v>2603</v>
      </c>
      <c r="E198" s="28" t="s">
        <v>91</v>
      </c>
      <c r="F198" s="28" t="s">
        <v>369</v>
      </c>
      <c r="G198" s="28" t="s">
        <v>369</v>
      </c>
      <c r="H198" s="28" t="s">
        <v>2340</v>
      </c>
      <c r="I198" s="28" t="str">
        <f>VLOOKUP(E198,표준용어사전!$C$2:$D$494, 2, FALSE)</f>
        <v>명V20</v>
      </c>
      <c r="J198" s="28" t="s">
        <v>718</v>
      </c>
      <c r="K198" s="29" t="s">
        <v>986</v>
      </c>
      <c r="L198" s="55" t="s">
        <v>571</v>
      </c>
      <c r="M198" s="29" t="s">
        <v>727</v>
      </c>
      <c r="N198" s="29" t="s">
        <v>75</v>
      </c>
      <c r="O198" s="28"/>
      <c r="P198" s="28" t="s">
        <v>76</v>
      </c>
      <c r="Q198" s="28"/>
      <c r="R198" s="29"/>
      <c r="S198" s="28"/>
      <c r="T198" s="28"/>
      <c r="U198" s="9" t="s">
        <v>75</v>
      </c>
      <c r="V198" s="9" t="s">
        <v>75</v>
      </c>
      <c r="W198" s="28"/>
    </row>
    <row r="199" spans="1:23" s="12" customFormat="1">
      <c r="A199" s="46" t="s">
        <v>711</v>
      </c>
      <c r="B199" s="28" t="s">
        <v>2580</v>
      </c>
      <c r="C199" s="28" t="s">
        <v>2330</v>
      </c>
      <c r="D199" s="9" t="s">
        <v>1583</v>
      </c>
      <c r="E199" s="28" t="s">
        <v>295</v>
      </c>
      <c r="F199" s="28" t="s">
        <v>518</v>
      </c>
      <c r="G199" s="28" t="s">
        <v>518</v>
      </c>
      <c r="H199" s="28" t="s">
        <v>2341</v>
      </c>
      <c r="I199" s="28" t="str">
        <f>VLOOKUP(E199,표준용어사전!$C$2:$D$494, 2, FALSE)</f>
        <v>명V50</v>
      </c>
      <c r="J199" s="28" t="s">
        <v>718</v>
      </c>
      <c r="K199" s="29">
        <v>50</v>
      </c>
      <c r="L199" s="55" t="s">
        <v>571</v>
      </c>
      <c r="M199" s="29" t="s">
        <v>720</v>
      </c>
      <c r="N199" s="10" t="s">
        <v>973</v>
      </c>
      <c r="O199" s="9" t="s">
        <v>73</v>
      </c>
      <c r="P199" s="9" t="s">
        <v>76</v>
      </c>
      <c r="Q199" s="28"/>
      <c r="R199" s="29"/>
      <c r="S199" s="9"/>
      <c r="T199" s="9"/>
      <c r="U199" s="9" t="s">
        <v>75</v>
      </c>
      <c r="V199" s="9" t="s">
        <v>75</v>
      </c>
      <c r="W199" s="9"/>
    </row>
    <row r="200" spans="1:23" s="12" customFormat="1">
      <c r="A200" s="46" t="s">
        <v>711</v>
      </c>
      <c r="B200" s="28" t="s">
        <v>2580</v>
      </c>
      <c r="C200" s="28" t="s">
        <v>2330</v>
      </c>
      <c r="D200" s="28" t="s">
        <v>1583</v>
      </c>
      <c r="E200" s="28" t="s">
        <v>1570</v>
      </c>
      <c r="F200" s="28" t="s">
        <v>2227</v>
      </c>
      <c r="G200" s="28" t="s">
        <v>2227</v>
      </c>
      <c r="H200" s="28" t="s">
        <v>2341</v>
      </c>
      <c r="I200" s="28" t="str">
        <f>VLOOKUP(E200,표준용어사전!$C$2:$D$494, 2, FALSE)</f>
        <v>코드C3</v>
      </c>
      <c r="J200" s="28" t="s">
        <v>709</v>
      </c>
      <c r="K200" s="29">
        <v>3</v>
      </c>
      <c r="L200" s="55" t="s">
        <v>571</v>
      </c>
      <c r="M200" s="29" t="s">
        <v>981</v>
      </c>
      <c r="N200" s="29" t="s">
        <v>75</v>
      </c>
      <c r="O200" s="28"/>
      <c r="P200" s="28" t="s">
        <v>76</v>
      </c>
      <c r="Q200" s="28"/>
      <c r="R200" s="29"/>
      <c r="S200" s="28"/>
      <c r="T200" s="28"/>
      <c r="U200" s="9" t="s">
        <v>75</v>
      </c>
      <c r="V200" s="9" t="s">
        <v>75</v>
      </c>
      <c r="W200" s="28"/>
    </row>
    <row r="201" spans="1:23" s="12" customFormat="1">
      <c r="A201" s="46" t="s">
        <v>711</v>
      </c>
      <c r="B201" s="28" t="s">
        <v>2580</v>
      </c>
      <c r="C201" s="28" t="s">
        <v>2330</v>
      </c>
      <c r="D201" s="28" t="s">
        <v>1583</v>
      </c>
      <c r="E201" s="28" t="s">
        <v>1571</v>
      </c>
      <c r="F201" s="28" t="s">
        <v>2209</v>
      </c>
      <c r="G201" s="28" t="s">
        <v>2209</v>
      </c>
      <c r="H201" s="28" t="s">
        <v>2341</v>
      </c>
      <c r="I201" s="28" t="str">
        <f>VLOOKUP(E201,표준용어사전!$C$2:$D$494, 2, FALSE)</f>
        <v>명V512</v>
      </c>
      <c r="J201" s="28" t="s">
        <v>718</v>
      </c>
      <c r="K201" s="29">
        <v>512</v>
      </c>
      <c r="L201" s="55" t="s">
        <v>571</v>
      </c>
      <c r="M201" s="29" t="s">
        <v>721</v>
      </c>
      <c r="N201" s="29" t="s">
        <v>75</v>
      </c>
      <c r="O201" s="28"/>
      <c r="P201" s="28" t="s">
        <v>76</v>
      </c>
      <c r="Q201" s="28"/>
      <c r="R201" s="29"/>
      <c r="S201" s="28"/>
      <c r="T201" s="28"/>
      <c r="U201" s="9" t="s">
        <v>75</v>
      </c>
      <c r="V201" s="9" t="s">
        <v>75</v>
      </c>
      <c r="W201" s="28"/>
    </row>
    <row r="202" spans="1:23" s="12" customFormat="1">
      <c r="A202" s="46" t="s">
        <v>711</v>
      </c>
      <c r="B202" s="28" t="s">
        <v>2580</v>
      </c>
      <c r="C202" s="28" t="s">
        <v>2330</v>
      </c>
      <c r="D202" s="28" t="s">
        <v>1583</v>
      </c>
      <c r="E202" s="28" t="s">
        <v>1572</v>
      </c>
      <c r="F202" s="28" t="s">
        <v>2216</v>
      </c>
      <c r="G202" s="28" t="s">
        <v>2216</v>
      </c>
      <c r="H202" s="28" t="s">
        <v>2341</v>
      </c>
      <c r="I202" s="28" t="str">
        <f>VLOOKUP(E202,표준용어사전!$C$2:$D$494, 2, FALSE)</f>
        <v>내용V2000</v>
      </c>
      <c r="J202" s="28" t="s">
        <v>718</v>
      </c>
      <c r="K202" s="29">
        <v>2000</v>
      </c>
      <c r="L202" s="55" t="s">
        <v>571</v>
      </c>
      <c r="M202" s="29" t="s">
        <v>728</v>
      </c>
      <c r="N202" s="29" t="s">
        <v>75</v>
      </c>
      <c r="O202" s="28"/>
      <c r="P202" s="28" t="s">
        <v>76</v>
      </c>
      <c r="Q202" s="28"/>
      <c r="R202" s="29"/>
      <c r="S202" s="28"/>
      <c r="T202" s="28"/>
      <c r="U202" s="9" t="s">
        <v>75</v>
      </c>
      <c r="V202" s="9" t="s">
        <v>75</v>
      </c>
      <c r="W202" s="28"/>
    </row>
    <row r="203" spans="1:23" s="12" customFormat="1">
      <c r="A203" s="46" t="s">
        <v>711</v>
      </c>
      <c r="B203" s="28" t="s">
        <v>2580</v>
      </c>
      <c r="C203" s="28" t="s">
        <v>2330</v>
      </c>
      <c r="D203" s="28" t="s">
        <v>1583</v>
      </c>
      <c r="E203" s="28" t="s">
        <v>2218</v>
      </c>
      <c r="F203" s="28" t="s">
        <v>2405</v>
      </c>
      <c r="G203" s="28" t="s">
        <v>2405</v>
      </c>
      <c r="H203" s="28" t="s">
        <v>2341</v>
      </c>
      <c r="I203" s="28" t="str">
        <f>VLOOKUP(E203,표준용어사전!$C$2:$D$494, 2, FALSE)</f>
        <v>내용V2000</v>
      </c>
      <c r="J203" s="28" t="s">
        <v>718</v>
      </c>
      <c r="K203" s="29">
        <v>2000</v>
      </c>
      <c r="L203" s="55" t="s">
        <v>571</v>
      </c>
      <c r="M203" s="29" t="s">
        <v>728</v>
      </c>
      <c r="N203" s="29" t="s">
        <v>75</v>
      </c>
      <c r="O203" s="28"/>
      <c r="P203" s="28" t="s">
        <v>76</v>
      </c>
      <c r="Q203" s="28"/>
      <c r="R203" s="29"/>
      <c r="S203" s="28"/>
      <c r="T203" s="28"/>
      <c r="U203" s="9" t="s">
        <v>75</v>
      </c>
      <c r="V203" s="9" t="s">
        <v>75</v>
      </c>
      <c r="W203" s="28"/>
    </row>
    <row r="204" spans="1:23" s="12" customFormat="1">
      <c r="A204" s="46" t="s">
        <v>711</v>
      </c>
      <c r="B204" s="28" t="s">
        <v>2580</v>
      </c>
      <c r="C204" s="28" t="s">
        <v>2330</v>
      </c>
      <c r="D204" s="28" t="s">
        <v>1583</v>
      </c>
      <c r="E204" s="28" t="s">
        <v>2220</v>
      </c>
      <c r="F204" s="28" t="s">
        <v>2406</v>
      </c>
      <c r="G204" s="28" t="s">
        <v>2406</v>
      </c>
      <c r="H204" s="28" t="s">
        <v>2341</v>
      </c>
      <c r="I204" s="28" t="str">
        <f>VLOOKUP(E204,표준용어사전!$C$2:$D$494, 2, FALSE)</f>
        <v>내용V2000</v>
      </c>
      <c r="J204" s="28" t="s">
        <v>718</v>
      </c>
      <c r="K204" s="29">
        <v>2000</v>
      </c>
      <c r="L204" s="55" t="s">
        <v>571</v>
      </c>
      <c r="M204" s="29" t="s">
        <v>728</v>
      </c>
      <c r="N204" s="29" t="s">
        <v>75</v>
      </c>
      <c r="O204" s="28"/>
      <c r="P204" s="28" t="s">
        <v>76</v>
      </c>
      <c r="Q204" s="28"/>
      <c r="R204" s="29"/>
      <c r="S204" s="28"/>
      <c r="T204" s="28"/>
      <c r="U204" s="9" t="s">
        <v>75</v>
      </c>
      <c r="V204" s="9" t="s">
        <v>75</v>
      </c>
      <c r="W204" s="28"/>
    </row>
    <row r="205" spans="1:23" s="12" customFormat="1">
      <c r="A205" s="46" t="s">
        <v>711</v>
      </c>
      <c r="B205" s="28" t="s">
        <v>2580</v>
      </c>
      <c r="C205" s="28" t="s">
        <v>2330</v>
      </c>
      <c r="D205" s="28" t="s">
        <v>1583</v>
      </c>
      <c r="E205" s="28" t="s">
        <v>1575</v>
      </c>
      <c r="F205" s="28" t="s">
        <v>2407</v>
      </c>
      <c r="G205" s="28" t="s">
        <v>2407</v>
      </c>
      <c r="H205" s="28" t="s">
        <v>2341</v>
      </c>
      <c r="I205" s="28" t="str">
        <f>VLOOKUP(E205,표준용어사전!$C$2:$D$494, 2, FALSE)</f>
        <v>내용V2000</v>
      </c>
      <c r="J205" s="28" t="s">
        <v>718</v>
      </c>
      <c r="K205" s="29">
        <v>2000</v>
      </c>
      <c r="L205" s="55" t="s">
        <v>571</v>
      </c>
      <c r="M205" s="29" t="s">
        <v>728</v>
      </c>
      <c r="N205" s="29" t="s">
        <v>75</v>
      </c>
      <c r="O205" s="28"/>
      <c r="P205" s="28" t="s">
        <v>76</v>
      </c>
      <c r="Q205" s="28"/>
      <c r="R205" s="29"/>
      <c r="S205" s="28"/>
      <c r="T205" s="28"/>
      <c r="U205" s="9" t="s">
        <v>75</v>
      </c>
      <c r="V205" s="9" t="s">
        <v>75</v>
      </c>
      <c r="W205" s="28"/>
    </row>
    <row r="206" spans="1:23" s="12" customFormat="1">
      <c r="A206" s="46" t="s">
        <v>711</v>
      </c>
      <c r="B206" s="28" t="s">
        <v>2580</v>
      </c>
      <c r="C206" s="28" t="s">
        <v>2330</v>
      </c>
      <c r="D206" s="28" t="s">
        <v>1583</v>
      </c>
      <c r="E206" s="28" t="s">
        <v>2223</v>
      </c>
      <c r="F206" s="28" t="s">
        <v>2408</v>
      </c>
      <c r="G206" s="28" t="s">
        <v>2408</v>
      </c>
      <c r="H206" s="28" t="s">
        <v>2341</v>
      </c>
      <c r="I206" s="28" t="str">
        <f>VLOOKUP(E206,표준용어사전!$C$2:$D$494, 2, FALSE)</f>
        <v>내용V2000</v>
      </c>
      <c r="J206" s="28" t="s">
        <v>718</v>
      </c>
      <c r="K206" s="29">
        <v>2000</v>
      </c>
      <c r="L206" s="55" t="s">
        <v>571</v>
      </c>
      <c r="M206" s="29" t="s">
        <v>728</v>
      </c>
      <c r="N206" s="29" t="s">
        <v>75</v>
      </c>
      <c r="O206" s="28"/>
      <c r="P206" s="28" t="s">
        <v>76</v>
      </c>
      <c r="Q206" s="28"/>
      <c r="R206" s="29"/>
      <c r="S206" s="28"/>
      <c r="T206" s="28"/>
      <c r="U206" s="9" t="s">
        <v>75</v>
      </c>
      <c r="V206" s="9" t="s">
        <v>75</v>
      </c>
      <c r="W206" s="28"/>
    </row>
    <row r="207" spans="1:23" s="12" customFormat="1">
      <c r="A207" s="46" t="s">
        <v>711</v>
      </c>
      <c r="B207" s="28" t="s">
        <v>2580</v>
      </c>
      <c r="C207" s="28" t="s">
        <v>2330</v>
      </c>
      <c r="D207" s="9" t="s">
        <v>1583</v>
      </c>
      <c r="E207" s="28" t="s">
        <v>1577</v>
      </c>
      <c r="F207" s="28" t="s">
        <v>2210</v>
      </c>
      <c r="G207" s="28" t="s">
        <v>2210</v>
      </c>
      <c r="H207" s="28" t="s">
        <v>2341</v>
      </c>
      <c r="I207" s="28" t="str">
        <f>VLOOKUP(E207,표준용어사전!$C$2:$D$494, 2, FALSE)</f>
        <v>명V20</v>
      </c>
      <c r="J207" s="28" t="s">
        <v>718</v>
      </c>
      <c r="K207" s="29" t="s">
        <v>986</v>
      </c>
      <c r="L207" s="55" t="s">
        <v>571</v>
      </c>
      <c r="M207" s="29" t="s">
        <v>727</v>
      </c>
      <c r="N207" s="10" t="s">
        <v>75</v>
      </c>
      <c r="O207" s="9"/>
      <c r="P207" s="9" t="s">
        <v>76</v>
      </c>
      <c r="Q207" s="28"/>
      <c r="R207" s="29"/>
      <c r="S207" s="9"/>
      <c r="T207" s="9"/>
      <c r="U207" s="9" t="s">
        <v>75</v>
      </c>
      <c r="V207" s="9" t="s">
        <v>75</v>
      </c>
      <c r="W207" s="9"/>
    </row>
    <row r="208" spans="1:23" s="12" customFormat="1">
      <c r="A208" s="46" t="s">
        <v>711</v>
      </c>
      <c r="B208" s="28" t="s">
        <v>2580</v>
      </c>
      <c r="C208" s="28" t="s">
        <v>2330</v>
      </c>
      <c r="D208" s="9" t="s">
        <v>1583</v>
      </c>
      <c r="E208" s="28" t="s">
        <v>2212</v>
      </c>
      <c r="F208" s="28" t="s">
        <v>2211</v>
      </c>
      <c r="G208" s="28" t="s">
        <v>2211</v>
      </c>
      <c r="H208" s="28" t="s">
        <v>2341</v>
      </c>
      <c r="I208" s="28" t="str">
        <f>VLOOKUP(E208,표준용어사전!$C$2:$D$494, 2, FALSE)</f>
        <v>명V20</v>
      </c>
      <c r="J208" s="28" t="s">
        <v>718</v>
      </c>
      <c r="K208" s="29" t="s">
        <v>986</v>
      </c>
      <c r="L208" s="55" t="s">
        <v>571</v>
      </c>
      <c r="M208" s="29" t="s">
        <v>727</v>
      </c>
      <c r="N208" s="10" t="s">
        <v>75</v>
      </c>
      <c r="O208" s="9"/>
      <c r="P208" s="9" t="s">
        <v>76</v>
      </c>
      <c r="Q208" s="28"/>
      <c r="R208" s="29"/>
      <c r="S208" s="9"/>
      <c r="T208" s="9"/>
      <c r="U208" s="9" t="s">
        <v>75</v>
      </c>
      <c r="V208" s="9" t="s">
        <v>75</v>
      </c>
      <c r="W208" s="9"/>
    </row>
    <row r="209" spans="1:23" s="12" customFormat="1">
      <c r="A209" s="46" t="s">
        <v>711</v>
      </c>
      <c r="B209" s="28" t="s">
        <v>2580</v>
      </c>
      <c r="C209" s="28" t="s">
        <v>2330</v>
      </c>
      <c r="D209" s="9" t="s">
        <v>1583</v>
      </c>
      <c r="E209" s="28" t="s">
        <v>89</v>
      </c>
      <c r="F209" s="28" t="s">
        <v>501</v>
      </c>
      <c r="G209" s="28" t="s">
        <v>501</v>
      </c>
      <c r="H209" s="28" t="s">
        <v>2341</v>
      </c>
      <c r="I209" s="28" t="str">
        <f>VLOOKUP(E209,표준용어사전!$C$2:$D$494, 2, FALSE)</f>
        <v>명V20</v>
      </c>
      <c r="J209" s="28" t="s">
        <v>718</v>
      </c>
      <c r="K209" s="29" t="s">
        <v>986</v>
      </c>
      <c r="L209" s="55" t="s">
        <v>571</v>
      </c>
      <c r="M209" s="29" t="s">
        <v>727</v>
      </c>
      <c r="N209" s="10" t="s">
        <v>973</v>
      </c>
      <c r="O209" s="9"/>
      <c r="P209" s="9" t="s">
        <v>76</v>
      </c>
      <c r="Q209" s="28"/>
      <c r="R209" s="29"/>
      <c r="S209" s="9"/>
      <c r="T209" s="9"/>
      <c r="U209" s="9" t="s">
        <v>75</v>
      </c>
      <c r="V209" s="9" t="s">
        <v>75</v>
      </c>
      <c r="W209" s="9"/>
    </row>
    <row r="210" spans="1:23" s="12" customFormat="1">
      <c r="A210" s="46" t="s">
        <v>711</v>
      </c>
      <c r="B210" s="28" t="s">
        <v>2580</v>
      </c>
      <c r="C210" s="28" t="s">
        <v>2330</v>
      </c>
      <c r="D210" s="28" t="s">
        <v>1583</v>
      </c>
      <c r="E210" s="28" t="s">
        <v>1579</v>
      </c>
      <c r="F210" s="28" t="s">
        <v>2224</v>
      </c>
      <c r="G210" s="28" t="s">
        <v>2224</v>
      </c>
      <c r="H210" s="28" t="s">
        <v>2341</v>
      </c>
      <c r="I210" s="28" t="str">
        <f>VLOOKUP(E210,표준용어사전!$C$2:$D$494, 2, FALSE)</f>
        <v>코드C3</v>
      </c>
      <c r="J210" s="28" t="s">
        <v>709</v>
      </c>
      <c r="K210" s="29" t="s">
        <v>2666</v>
      </c>
      <c r="L210" s="55" t="s">
        <v>571</v>
      </c>
      <c r="M210" s="29" t="s">
        <v>2667</v>
      </c>
      <c r="N210" s="29" t="s">
        <v>75</v>
      </c>
      <c r="O210" s="28"/>
      <c r="P210" s="28" t="s">
        <v>76</v>
      </c>
      <c r="Q210" s="28"/>
      <c r="R210" s="29"/>
      <c r="S210" s="28"/>
      <c r="T210" s="28"/>
      <c r="U210" s="9" t="s">
        <v>75</v>
      </c>
      <c r="V210" s="9" t="s">
        <v>75</v>
      </c>
      <c r="W210" s="28"/>
    </row>
    <row r="211" spans="1:23" s="12" customFormat="1">
      <c r="A211" s="46" t="s">
        <v>711</v>
      </c>
      <c r="B211" s="28" t="s">
        <v>2580</v>
      </c>
      <c r="C211" s="28" t="s">
        <v>2330</v>
      </c>
      <c r="D211" s="9" t="s">
        <v>1583</v>
      </c>
      <c r="E211" s="28" t="s">
        <v>91</v>
      </c>
      <c r="F211" s="28" t="s">
        <v>369</v>
      </c>
      <c r="G211" s="28" t="s">
        <v>369</v>
      </c>
      <c r="H211" s="28" t="s">
        <v>2341</v>
      </c>
      <c r="I211" s="28" t="str">
        <f>VLOOKUP(E211,표준용어사전!$C$2:$D$494, 2, FALSE)</f>
        <v>명V20</v>
      </c>
      <c r="J211" s="28" t="s">
        <v>718</v>
      </c>
      <c r="K211" s="29" t="s">
        <v>986</v>
      </c>
      <c r="L211" s="55" t="s">
        <v>571</v>
      </c>
      <c r="M211" s="29" t="s">
        <v>727</v>
      </c>
      <c r="N211" s="10" t="s">
        <v>75</v>
      </c>
      <c r="O211" s="9"/>
      <c r="P211" s="9" t="s">
        <v>76</v>
      </c>
      <c r="Q211" s="28"/>
      <c r="R211" s="29"/>
      <c r="S211" s="9"/>
      <c r="T211" s="9"/>
      <c r="U211" s="9" t="s">
        <v>75</v>
      </c>
      <c r="V211" s="9" t="s">
        <v>75</v>
      </c>
      <c r="W211" s="9"/>
    </row>
    <row r="212" spans="1:23" s="12" customFormat="1">
      <c r="A212" s="46" t="s">
        <v>711</v>
      </c>
      <c r="B212" s="28" t="s">
        <v>2580</v>
      </c>
      <c r="C212" s="28" t="s">
        <v>2330</v>
      </c>
      <c r="D212" s="28" t="s">
        <v>1583</v>
      </c>
      <c r="E212" s="28" t="s">
        <v>90</v>
      </c>
      <c r="F212" s="28" t="s">
        <v>14</v>
      </c>
      <c r="G212" s="28" t="s">
        <v>14</v>
      </c>
      <c r="H212" s="28" t="s">
        <v>2341</v>
      </c>
      <c r="I212" s="28" t="str">
        <f>VLOOKUP(E212,표준용어사전!$C$2:$D$494, 2, FALSE)</f>
        <v>연월일시분초TS</v>
      </c>
      <c r="J212" s="28" t="s">
        <v>719</v>
      </c>
      <c r="K212" s="29" t="s">
        <v>571</v>
      </c>
      <c r="L212" s="55" t="s">
        <v>571</v>
      </c>
      <c r="M212" s="29" t="s">
        <v>726</v>
      </c>
      <c r="N212" s="29" t="s">
        <v>973</v>
      </c>
      <c r="O212" s="28"/>
      <c r="P212" s="28" t="s">
        <v>76</v>
      </c>
      <c r="Q212" s="28"/>
      <c r="R212" s="29"/>
      <c r="S212" s="28"/>
      <c r="T212" s="28"/>
      <c r="U212" s="9" t="s">
        <v>75</v>
      </c>
      <c r="V212" s="9" t="s">
        <v>75</v>
      </c>
      <c r="W212" s="28"/>
    </row>
    <row r="213" spans="1:23" s="12" customFormat="1">
      <c r="A213" s="46" t="s">
        <v>711</v>
      </c>
      <c r="B213" s="28" t="s">
        <v>2580</v>
      </c>
      <c r="C213" s="28" t="s">
        <v>2330</v>
      </c>
      <c r="D213" s="9" t="s">
        <v>1583</v>
      </c>
      <c r="E213" s="28" t="s">
        <v>92</v>
      </c>
      <c r="F213" s="28" t="s">
        <v>15</v>
      </c>
      <c r="G213" s="28" t="s">
        <v>15</v>
      </c>
      <c r="H213" s="28" t="s">
        <v>2341</v>
      </c>
      <c r="I213" s="28" t="str">
        <f>VLOOKUP(E213,표준용어사전!$C$2:$D$494, 2, FALSE)</f>
        <v>연월일시분초TS</v>
      </c>
      <c r="J213" s="28" t="s">
        <v>719</v>
      </c>
      <c r="K213" s="29" t="s">
        <v>571</v>
      </c>
      <c r="L213" s="55" t="s">
        <v>571</v>
      </c>
      <c r="M213" s="29" t="s">
        <v>726</v>
      </c>
      <c r="N213" s="29" t="s">
        <v>75</v>
      </c>
      <c r="O213" s="9"/>
      <c r="P213" s="9" t="s">
        <v>76</v>
      </c>
      <c r="Q213" s="28"/>
      <c r="R213" s="29"/>
      <c r="S213" s="9"/>
      <c r="T213" s="9"/>
      <c r="U213" s="9" t="s">
        <v>75</v>
      </c>
      <c r="V213" s="9" t="s">
        <v>75</v>
      </c>
      <c r="W213" s="9"/>
    </row>
    <row r="214" spans="1:23" s="12" customFormat="1">
      <c r="A214" s="46" t="s">
        <v>711</v>
      </c>
      <c r="B214" s="28" t="s">
        <v>2580</v>
      </c>
      <c r="C214" s="28" t="s">
        <v>2330</v>
      </c>
      <c r="D214" s="28" t="s">
        <v>1583</v>
      </c>
      <c r="E214" s="28" t="s">
        <v>93</v>
      </c>
      <c r="F214" s="28" t="s">
        <v>370</v>
      </c>
      <c r="G214" s="28" t="s">
        <v>370</v>
      </c>
      <c r="H214" s="28" t="s">
        <v>2341</v>
      </c>
      <c r="I214" s="28" t="str">
        <f>VLOOKUP(E214,표준용어사전!$C$2:$D$494, 2, FALSE)</f>
        <v>명V20</v>
      </c>
      <c r="J214" s="28" t="s">
        <v>718</v>
      </c>
      <c r="K214" s="29" t="s">
        <v>986</v>
      </c>
      <c r="L214" s="55" t="s">
        <v>571</v>
      </c>
      <c r="M214" s="29" t="s">
        <v>727</v>
      </c>
      <c r="N214" s="29" t="s">
        <v>75</v>
      </c>
      <c r="O214" s="28"/>
      <c r="P214" s="28" t="s">
        <v>76</v>
      </c>
      <c r="Q214" s="28"/>
      <c r="R214" s="29"/>
      <c r="S214" s="28"/>
      <c r="T214" s="28"/>
      <c r="U214" s="9" t="s">
        <v>75</v>
      </c>
      <c r="V214" s="9" t="s">
        <v>75</v>
      </c>
      <c r="W214" s="28"/>
    </row>
    <row r="215" spans="1:23" s="12" customFormat="1">
      <c r="A215" s="46" t="s">
        <v>711</v>
      </c>
      <c r="B215" s="28" t="s">
        <v>2580</v>
      </c>
      <c r="C215" s="28" t="s">
        <v>2330</v>
      </c>
      <c r="D215" s="28" t="s">
        <v>1583</v>
      </c>
      <c r="E215" s="28" t="s">
        <v>2315</v>
      </c>
      <c r="F215" s="28" t="s">
        <v>2314</v>
      </c>
      <c r="G215" s="28" t="s">
        <v>2314</v>
      </c>
      <c r="H215" s="28" t="s">
        <v>2341</v>
      </c>
      <c r="I215" s="28" t="str">
        <f>VLOOKUP(E215,표준용어사전!$C$2:$D$494, 2, FALSE)</f>
        <v>코드V15</v>
      </c>
      <c r="J215" s="28" t="s">
        <v>718</v>
      </c>
      <c r="K215" s="29">
        <v>15</v>
      </c>
      <c r="L215" s="55" t="s">
        <v>571</v>
      </c>
      <c r="M215" s="29" t="s">
        <v>769</v>
      </c>
      <c r="N215" s="29" t="s">
        <v>973</v>
      </c>
      <c r="O215" s="28"/>
      <c r="P215" s="28" t="s">
        <v>76</v>
      </c>
      <c r="Q215" s="28"/>
      <c r="R215" s="29"/>
      <c r="S215" s="28"/>
      <c r="T215" s="28"/>
      <c r="U215" s="9" t="s">
        <v>75</v>
      </c>
      <c r="V215" s="9" t="s">
        <v>75</v>
      </c>
      <c r="W215" s="28"/>
    </row>
    <row r="216" spans="1:23" s="12" customFormat="1">
      <c r="A216" s="46" t="s">
        <v>711</v>
      </c>
      <c r="B216" s="28" t="s">
        <v>2580</v>
      </c>
      <c r="C216" s="28" t="s">
        <v>2330</v>
      </c>
      <c r="D216" s="9" t="s">
        <v>1583</v>
      </c>
      <c r="E216" s="28" t="s">
        <v>2317</v>
      </c>
      <c r="F216" s="28" t="s">
        <v>2316</v>
      </c>
      <c r="G216" s="28" t="s">
        <v>2316</v>
      </c>
      <c r="H216" s="28" t="s">
        <v>2341</v>
      </c>
      <c r="I216" s="28" t="str">
        <f>VLOOKUP(E216,표준용어사전!$C$2:$D$494, 2, FALSE)</f>
        <v>명V256</v>
      </c>
      <c r="J216" s="28" t="s">
        <v>718</v>
      </c>
      <c r="K216" s="29">
        <v>256</v>
      </c>
      <c r="L216" s="55" t="s">
        <v>571</v>
      </c>
      <c r="M216" s="29" t="s">
        <v>730</v>
      </c>
      <c r="N216" s="29" t="s">
        <v>75</v>
      </c>
      <c r="O216" s="9"/>
      <c r="P216" s="9" t="s">
        <v>76</v>
      </c>
      <c r="Q216" s="28"/>
      <c r="R216" s="29"/>
      <c r="S216" s="9"/>
      <c r="T216" s="9"/>
      <c r="U216" s="9" t="s">
        <v>75</v>
      </c>
      <c r="V216" s="9" t="s">
        <v>75</v>
      </c>
      <c r="W216" s="9"/>
    </row>
    <row r="217" spans="1:23" s="12" customFormat="1">
      <c r="A217" s="46" t="s">
        <v>572</v>
      </c>
      <c r="B217" s="28" t="s">
        <v>1332</v>
      </c>
      <c r="C217" s="28" t="s">
        <v>2330</v>
      </c>
      <c r="D217" s="28" t="s">
        <v>2439</v>
      </c>
      <c r="E217" s="28" t="s">
        <v>295</v>
      </c>
      <c r="F217" s="28" t="s">
        <v>518</v>
      </c>
      <c r="G217" s="28" t="s">
        <v>518</v>
      </c>
      <c r="H217" s="28" t="s">
        <v>707</v>
      </c>
      <c r="I217" s="28" t="str">
        <f>VLOOKUP(E217,표준용어사전!$C$2:$D$494, 2, FALSE)</f>
        <v>명V50</v>
      </c>
      <c r="J217" s="28" t="s">
        <v>718</v>
      </c>
      <c r="K217" s="29">
        <v>50</v>
      </c>
      <c r="L217" s="55" t="s">
        <v>571</v>
      </c>
      <c r="M217" s="29" t="s">
        <v>720</v>
      </c>
      <c r="N217" s="29" t="s">
        <v>973</v>
      </c>
      <c r="O217" s="28" t="s">
        <v>73</v>
      </c>
      <c r="P217" s="28" t="s">
        <v>76</v>
      </c>
      <c r="Q217" s="28"/>
      <c r="R217" s="29"/>
      <c r="S217" s="28"/>
      <c r="T217" s="28"/>
      <c r="U217" s="9" t="s">
        <v>75</v>
      </c>
      <c r="V217" s="9" t="s">
        <v>75</v>
      </c>
      <c r="W217" s="28"/>
    </row>
    <row r="218" spans="1:23" s="12" customFormat="1">
      <c r="A218" s="46" t="s">
        <v>572</v>
      </c>
      <c r="B218" s="28" t="s">
        <v>1332</v>
      </c>
      <c r="C218" s="28" t="s">
        <v>2330</v>
      </c>
      <c r="D218" s="9" t="s">
        <v>2439</v>
      </c>
      <c r="E218" s="28" t="s">
        <v>2512</v>
      </c>
      <c r="F218" s="28" t="s">
        <v>2207</v>
      </c>
      <c r="G218" s="28" t="s">
        <v>2207</v>
      </c>
      <c r="H218" s="28" t="s">
        <v>707</v>
      </c>
      <c r="I218" s="28" t="str">
        <f>VLOOKUP(E218,표준용어사전!$C$2:$D$494, 2, FALSE)</f>
        <v>코드C4</v>
      </c>
      <c r="J218" s="28" t="s">
        <v>709</v>
      </c>
      <c r="K218" s="29">
        <v>4</v>
      </c>
      <c r="L218" s="55" t="s">
        <v>571</v>
      </c>
      <c r="M218" s="29" t="s">
        <v>929</v>
      </c>
      <c r="N218" s="10" t="s">
        <v>973</v>
      </c>
      <c r="O218" s="9" t="s">
        <v>74</v>
      </c>
      <c r="P218" s="9" t="s">
        <v>76</v>
      </c>
      <c r="Q218" s="28"/>
      <c r="R218" s="29"/>
      <c r="S218" s="9"/>
      <c r="T218" s="9"/>
      <c r="U218" s="9" t="s">
        <v>75</v>
      </c>
      <c r="V218" s="9" t="s">
        <v>75</v>
      </c>
      <c r="W218" s="9"/>
    </row>
    <row r="219" spans="1:23" s="12" customFormat="1">
      <c r="A219" s="46" t="s">
        <v>572</v>
      </c>
      <c r="B219" s="28" t="s">
        <v>1332</v>
      </c>
      <c r="C219" s="28" t="s">
        <v>2330</v>
      </c>
      <c r="D219" s="9" t="s">
        <v>2439</v>
      </c>
      <c r="E219" s="28" t="s">
        <v>2511</v>
      </c>
      <c r="F219" s="28" t="s">
        <v>580</v>
      </c>
      <c r="G219" s="28" t="s">
        <v>580</v>
      </c>
      <c r="H219" s="28" t="s">
        <v>707</v>
      </c>
      <c r="I219" s="28" t="str">
        <f>VLOOKUP(E219,표준용어사전!$C$2:$D$494, 2, FALSE)</f>
        <v>명V20</v>
      </c>
      <c r="J219" s="28" t="s">
        <v>718</v>
      </c>
      <c r="K219" s="29" t="s">
        <v>986</v>
      </c>
      <c r="L219" s="55" t="s">
        <v>571</v>
      </c>
      <c r="M219" s="29" t="s">
        <v>727</v>
      </c>
      <c r="N219" s="10" t="s">
        <v>973</v>
      </c>
      <c r="O219" s="9" t="s">
        <v>624</v>
      </c>
      <c r="P219" s="9" t="s">
        <v>76</v>
      </c>
      <c r="Q219" s="28"/>
      <c r="R219" s="29"/>
      <c r="S219" s="9"/>
      <c r="T219" s="9"/>
      <c r="U219" s="9" t="s">
        <v>75</v>
      </c>
      <c r="V219" s="9" t="s">
        <v>75</v>
      </c>
      <c r="W219" s="9"/>
    </row>
    <row r="220" spans="1:23" s="12" customFormat="1">
      <c r="A220" s="46" t="s">
        <v>572</v>
      </c>
      <c r="B220" s="28" t="s">
        <v>1332</v>
      </c>
      <c r="C220" s="28" t="s">
        <v>2330</v>
      </c>
      <c r="D220" s="28" t="s">
        <v>2439</v>
      </c>
      <c r="E220" s="28" t="s">
        <v>90</v>
      </c>
      <c r="F220" s="28" t="s">
        <v>14</v>
      </c>
      <c r="G220" s="28" t="s">
        <v>14</v>
      </c>
      <c r="H220" s="28" t="s">
        <v>707</v>
      </c>
      <c r="I220" s="28" t="str">
        <f>VLOOKUP(E220,표준용어사전!$C$2:$D$494, 2, FALSE)</f>
        <v>연월일시분초TS</v>
      </c>
      <c r="J220" s="28" t="s">
        <v>719</v>
      </c>
      <c r="K220" s="29" t="s">
        <v>571</v>
      </c>
      <c r="L220" s="55" t="s">
        <v>571</v>
      </c>
      <c r="M220" s="29" t="s">
        <v>726</v>
      </c>
      <c r="N220" s="29" t="s">
        <v>973</v>
      </c>
      <c r="O220" s="28"/>
      <c r="P220" s="28" t="s">
        <v>76</v>
      </c>
      <c r="Q220" s="28"/>
      <c r="R220" s="29"/>
      <c r="S220" s="28"/>
      <c r="T220" s="28"/>
      <c r="U220" s="9" t="s">
        <v>75</v>
      </c>
      <c r="V220" s="9" t="s">
        <v>75</v>
      </c>
      <c r="W220" s="28"/>
    </row>
    <row r="221" spans="1:23" s="12" customFormat="1">
      <c r="A221" s="46" t="s">
        <v>572</v>
      </c>
      <c r="B221" s="28" t="s">
        <v>1332</v>
      </c>
      <c r="C221" s="28" t="s">
        <v>2330</v>
      </c>
      <c r="D221" s="9" t="s">
        <v>2439</v>
      </c>
      <c r="E221" s="28" t="s">
        <v>91</v>
      </c>
      <c r="F221" s="28" t="s">
        <v>369</v>
      </c>
      <c r="G221" s="28" t="s">
        <v>369</v>
      </c>
      <c r="H221" s="28" t="s">
        <v>707</v>
      </c>
      <c r="I221" s="28" t="str">
        <f>VLOOKUP(E221,표준용어사전!$C$2:$D$494, 2, FALSE)</f>
        <v>명V20</v>
      </c>
      <c r="J221" s="28" t="s">
        <v>718</v>
      </c>
      <c r="K221" s="29" t="s">
        <v>986</v>
      </c>
      <c r="L221" s="55" t="s">
        <v>571</v>
      </c>
      <c r="M221" s="29" t="s">
        <v>727</v>
      </c>
      <c r="N221" s="29" t="s">
        <v>75</v>
      </c>
      <c r="O221" s="9"/>
      <c r="P221" s="9" t="s">
        <v>76</v>
      </c>
      <c r="Q221" s="28"/>
      <c r="R221" s="29"/>
      <c r="S221" s="9"/>
      <c r="T221" s="9"/>
      <c r="U221" s="9" t="s">
        <v>75</v>
      </c>
      <c r="V221" s="9" t="s">
        <v>75</v>
      </c>
      <c r="W221" s="9"/>
    </row>
    <row r="222" spans="1:23" s="12" customFormat="1">
      <c r="A222" s="46" t="s">
        <v>572</v>
      </c>
      <c r="B222" s="28" t="s">
        <v>1332</v>
      </c>
      <c r="C222" s="28" t="s">
        <v>2330</v>
      </c>
      <c r="D222" s="28" t="s">
        <v>2439</v>
      </c>
      <c r="E222" s="28" t="s">
        <v>92</v>
      </c>
      <c r="F222" s="28" t="s">
        <v>15</v>
      </c>
      <c r="G222" s="28" t="s">
        <v>15</v>
      </c>
      <c r="H222" s="28" t="s">
        <v>707</v>
      </c>
      <c r="I222" s="28" t="str">
        <f>VLOOKUP(E222,표준용어사전!$C$2:$D$494, 2, FALSE)</f>
        <v>연월일시분초TS</v>
      </c>
      <c r="J222" s="28" t="s">
        <v>719</v>
      </c>
      <c r="K222" s="29" t="s">
        <v>571</v>
      </c>
      <c r="L222" s="55" t="s">
        <v>571</v>
      </c>
      <c r="M222" s="29" t="s">
        <v>726</v>
      </c>
      <c r="N222" s="29" t="s">
        <v>75</v>
      </c>
      <c r="O222" s="28"/>
      <c r="P222" s="28" t="s">
        <v>76</v>
      </c>
      <c r="Q222" s="28"/>
      <c r="R222" s="29"/>
      <c r="S222" s="28"/>
      <c r="T222" s="28"/>
      <c r="U222" s="9" t="s">
        <v>75</v>
      </c>
      <c r="V222" s="9" t="s">
        <v>75</v>
      </c>
      <c r="W222" s="28"/>
    </row>
    <row r="223" spans="1:23" s="12" customFormat="1">
      <c r="A223" s="46" t="s">
        <v>572</v>
      </c>
      <c r="B223" s="28" t="s">
        <v>1332</v>
      </c>
      <c r="C223" s="28" t="s">
        <v>2330</v>
      </c>
      <c r="D223" s="28" t="s">
        <v>2439</v>
      </c>
      <c r="E223" s="28" t="s">
        <v>93</v>
      </c>
      <c r="F223" s="28" t="s">
        <v>370</v>
      </c>
      <c r="G223" s="28" t="s">
        <v>370</v>
      </c>
      <c r="H223" s="28" t="s">
        <v>707</v>
      </c>
      <c r="I223" s="28" t="str">
        <f>VLOOKUP(E223,표준용어사전!$C$2:$D$494, 2, FALSE)</f>
        <v>명V20</v>
      </c>
      <c r="J223" s="28" t="s">
        <v>718</v>
      </c>
      <c r="K223" s="29" t="s">
        <v>986</v>
      </c>
      <c r="L223" s="55" t="s">
        <v>571</v>
      </c>
      <c r="M223" s="29" t="s">
        <v>727</v>
      </c>
      <c r="N223" s="29" t="s">
        <v>75</v>
      </c>
      <c r="O223" s="28"/>
      <c r="P223" s="28" t="s">
        <v>76</v>
      </c>
      <c r="Q223" s="28"/>
      <c r="R223" s="29"/>
      <c r="S223" s="28"/>
      <c r="T223" s="28"/>
      <c r="U223" s="9" t="s">
        <v>75</v>
      </c>
      <c r="V223" s="9" t="s">
        <v>75</v>
      </c>
      <c r="W223" s="28"/>
    </row>
    <row r="224" spans="1:23" s="12" customFormat="1">
      <c r="A224" s="46" t="s">
        <v>572</v>
      </c>
      <c r="B224" s="28" t="s">
        <v>1332</v>
      </c>
      <c r="C224" s="28" t="s">
        <v>2330</v>
      </c>
      <c r="D224" s="28" t="s">
        <v>2439</v>
      </c>
      <c r="E224" s="28" t="s">
        <v>1345</v>
      </c>
      <c r="F224" s="28" t="s">
        <v>1346</v>
      </c>
      <c r="G224" s="28" t="s">
        <v>1346</v>
      </c>
      <c r="H224" s="28" t="s">
        <v>707</v>
      </c>
      <c r="I224" s="28" t="str">
        <f>VLOOKUP(E224,표준용어사전!$C$2:$D$494, 2, FALSE)</f>
        <v>수N10,3</v>
      </c>
      <c r="J224" s="28" t="s">
        <v>748</v>
      </c>
      <c r="K224" s="29" t="s">
        <v>1061</v>
      </c>
      <c r="L224" s="55" t="s">
        <v>980</v>
      </c>
      <c r="M224" s="29" t="s">
        <v>2593</v>
      </c>
      <c r="N224" s="29" t="s">
        <v>75</v>
      </c>
      <c r="O224" s="28"/>
      <c r="P224" s="28" t="s">
        <v>76</v>
      </c>
      <c r="Q224" s="28"/>
      <c r="R224" s="29"/>
      <c r="S224" s="28"/>
      <c r="T224" s="28"/>
      <c r="U224" s="9" t="s">
        <v>75</v>
      </c>
      <c r="V224" s="9" t="s">
        <v>75</v>
      </c>
      <c r="W224" s="28"/>
    </row>
    <row r="225" spans="1:23" s="12" customFormat="1">
      <c r="A225" s="46" t="s">
        <v>572</v>
      </c>
      <c r="B225" s="28" t="s">
        <v>2580</v>
      </c>
      <c r="C225" s="28" t="s">
        <v>2330</v>
      </c>
      <c r="D225" s="28" t="s">
        <v>2604</v>
      </c>
      <c r="E225" s="28" t="s">
        <v>295</v>
      </c>
      <c r="F225" s="28" t="s">
        <v>518</v>
      </c>
      <c r="G225" s="28" t="s">
        <v>518</v>
      </c>
      <c r="H225" s="28" t="s">
        <v>2342</v>
      </c>
      <c r="I225" s="28" t="str">
        <f>VLOOKUP(E225,표준용어사전!$C$2:$D$494, 2, FALSE)</f>
        <v>명V50</v>
      </c>
      <c r="J225" s="28" t="s">
        <v>718</v>
      </c>
      <c r="K225" s="29">
        <v>50</v>
      </c>
      <c r="L225" s="55" t="s">
        <v>571</v>
      </c>
      <c r="M225" s="29" t="s">
        <v>720</v>
      </c>
      <c r="N225" s="29" t="s">
        <v>973</v>
      </c>
      <c r="O225" s="28" t="s">
        <v>73</v>
      </c>
      <c r="P225" s="28" t="s">
        <v>76</v>
      </c>
      <c r="Q225" s="28"/>
      <c r="R225" s="29"/>
      <c r="S225" s="28"/>
      <c r="T225" s="28"/>
      <c r="U225" s="9" t="s">
        <v>75</v>
      </c>
      <c r="V225" s="9" t="s">
        <v>75</v>
      </c>
      <c r="W225" s="28"/>
    </row>
    <row r="226" spans="1:23" s="12" customFormat="1">
      <c r="A226" s="46" t="s">
        <v>572</v>
      </c>
      <c r="B226" s="28" t="s">
        <v>2580</v>
      </c>
      <c r="C226" s="28" t="s">
        <v>2330</v>
      </c>
      <c r="D226" s="28" t="s">
        <v>2604</v>
      </c>
      <c r="E226" s="28" t="s">
        <v>2512</v>
      </c>
      <c r="F226" s="28" t="s">
        <v>2207</v>
      </c>
      <c r="G226" s="28" t="s">
        <v>2207</v>
      </c>
      <c r="H226" s="28" t="s">
        <v>2342</v>
      </c>
      <c r="I226" s="28" t="str">
        <f>VLOOKUP(E226,표준용어사전!$C$2:$D$494, 2, FALSE)</f>
        <v>코드C4</v>
      </c>
      <c r="J226" s="28" t="s">
        <v>709</v>
      </c>
      <c r="K226" s="29">
        <v>4</v>
      </c>
      <c r="L226" s="55" t="s">
        <v>571</v>
      </c>
      <c r="M226" s="29" t="s">
        <v>929</v>
      </c>
      <c r="N226" s="29" t="s">
        <v>973</v>
      </c>
      <c r="O226" s="28" t="s">
        <v>74</v>
      </c>
      <c r="P226" s="28" t="s">
        <v>76</v>
      </c>
      <c r="Q226" s="28"/>
      <c r="R226" s="29"/>
      <c r="S226" s="28"/>
      <c r="T226" s="28"/>
      <c r="U226" s="9" t="s">
        <v>75</v>
      </c>
      <c r="V226" s="9" t="s">
        <v>75</v>
      </c>
      <c r="W226" s="28"/>
    </row>
    <row r="227" spans="1:23" s="12" customFormat="1">
      <c r="A227" s="46" t="s">
        <v>572</v>
      </c>
      <c r="B227" s="28" t="s">
        <v>2580</v>
      </c>
      <c r="C227" s="28" t="s">
        <v>2330</v>
      </c>
      <c r="D227" s="28" t="s">
        <v>2604</v>
      </c>
      <c r="E227" s="28" t="s">
        <v>2511</v>
      </c>
      <c r="F227" s="28" t="s">
        <v>580</v>
      </c>
      <c r="G227" s="28" t="s">
        <v>580</v>
      </c>
      <c r="H227" s="28" t="s">
        <v>2342</v>
      </c>
      <c r="I227" s="28" t="str">
        <f>VLOOKUP(E227,표준용어사전!$C$2:$D$494, 2, FALSE)</f>
        <v>명V20</v>
      </c>
      <c r="J227" s="28" t="s">
        <v>718</v>
      </c>
      <c r="K227" s="29" t="s">
        <v>986</v>
      </c>
      <c r="L227" s="55" t="s">
        <v>571</v>
      </c>
      <c r="M227" s="29" t="s">
        <v>727</v>
      </c>
      <c r="N227" s="29" t="s">
        <v>973</v>
      </c>
      <c r="O227" s="28" t="s">
        <v>624</v>
      </c>
      <c r="P227" s="28" t="s">
        <v>76</v>
      </c>
      <c r="Q227" s="28"/>
      <c r="R227" s="29"/>
      <c r="S227" s="28"/>
      <c r="T227" s="28"/>
      <c r="U227" s="9" t="s">
        <v>75</v>
      </c>
      <c r="V227" s="9" t="s">
        <v>75</v>
      </c>
      <c r="W227" s="28"/>
    </row>
    <row r="228" spans="1:23" s="12" customFormat="1">
      <c r="A228" s="46" t="s">
        <v>572</v>
      </c>
      <c r="B228" s="28" t="s">
        <v>2580</v>
      </c>
      <c r="C228" s="28" t="s">
        <v>2330</v>
      </c>
      <c r="D228" s="28" t="s">
        <v>2604</v>
      </c>
      <c r="E228" s="28" t="s">
        <v>91</v>
      </c>
      <c r="F228" s="28" t="s">
        <v>369</v>
      </c>
      <c r="G228" s="28" t="s">
        <v>369</v>
      </c>
      <c r="H228" s="28" t="s">
        <v>2342</v>
      </c>
      <c r="I228" s="28" t="str">
        <f>VLOOKUP(E228,표준용어사전!$C$2:$D$494, 2, FALSE)</f>
        <v>명V20</v>
      </c>
      <c r="J228" s="28" t="s">
        <v>718</v>
      </c>
      <c r="K228" s="29" t="s">
        <v>986</v>
      </c>
      <c r="L228" s="55" t="s">
        <v>571</v>
      </c>
      <c r="M228" s="29" t="s">
        <v>727</v>
      </c>
      <c r="N228" s="29" t="s">
        <v>75</v>
      </c>
      <c r="O228" s="28"/>
      <c r="P228" s="28" t="s">
        <v>76</v>
      </c>
      <c r="Q228" s="28"/>
      <c r="R228" s="29"/>
      <c r="S228" s="28"/>
      <c r="T228" s="28"/>
      <c r="U228" s="9" t="s">
        <v>75</v>
      </c>
      <c r="V228" s="9" t="s">
        <v>75</v>
      </c>
      <c r="W228" s="28"/>
    </row>
    <row r="229" spans="1:23" s="12" customFormat="1">
      <c r="A229" s="46" t="s">
        <v>572</v>
      </c>
      <c r="B229" s="28" t="s">
        <v>2580</v>
      </c>
      <c r="C229" s="28" t="s">
        <v>2330</v>
      </c>
      <c r="D229" s="28" t="s">
        <v>2604</v>
      </c>
      <c r="E229" s="28" t="s">
        <v>90</v>
      </c>
      <c r="F229" s="28" t="s">
        <v>14</v>
      </c>
      <c r="G229" s="28" t="s">
        <v>14</v>
      </c>
      <c r="H229" s="28" t="s">
        <v>2342</v>
      </c>
      <c r="I229" s="28" t="str">
        <f>VLOOKUP(E229,표준용어사전!$C$2:$D$494, 2, FALSE)</f>
        <v>연월일시분초TS</v>
      </c>
      <c r="J229" s="28" t="s">
        <v>719</v>
      </c>
      <c r="K229" s="29" t="s">
        <v>571</v>
      </c>
      <c r="L229" s="55" t="s">
        <v>571</v>
      </c>
      <c r="M229" s="29" t="s">
        <v>726</v>
      </c>
      <c r="N229" s="29" t="s">
        <v>973</v>
      </c>
      <c r="O229" s="28"/>
      <c r="P229" s="28" t="s">
        <v>76</v>
      </c>
      <c r="Q229" s="28"/>
      <c r="R229" s="29"/>
      <c r="S229" s="28"/>
      <c r="T229" s="28"/>
      <c r="U229" s="9" t="s">
        <v>75</v>
      </c>
      <c r="V229" s="9" t="s">
        <v>75</v>
      </c>
      <c r="W229" s="28"/>
    </row>
    <row r="230" spans="1:23" s="12" customFormat="1">
      <c r="A230" s="46" t="s">
        <v>572</v>
      </c>
      <c r="B230" s="28" t="s">
        <v>2580</v>
      </c>
      <c r="C230" s="28" t="s">
        <v>2330</v>
      </c>
      <c r="D230" s="28" t="s">
        <v>2440</v>
      </c>
      <c r="E230" s="28" t="s">
        <v>2214</v>
      </c>
      <c r="F230" s="28" t="s">
        <v>2213</v>
      </c>
      <c r="G230" s="28" t="s">
        <v>2213</v>
      </c>
      <c r="H230" s="28" t="s">
        <v>2343</v>
      </c>
      <c r="I230" s="28" t="str">
        <f>VLOOKUP(E230,표준용어사전!$C$2:$D$494, 2, FALSE)</f>
        <v>명V20</v>
      </c>
      <c r="J230" s="28" t="s">
        <v>718</v>
      </c>
      <c r="K230" s="29" t="s">
        <v>986</v>
      </c>
      <c r="L230" s="55" t="s">
        <v>571</v>
      </c>
      <c r="M230" s="29" t="s">
        <v>727</v>
      </c>
      <c r="N230" s="29" t="s">
        <v>973</v>
      </c>
      <c r="O230" s="9" t="s">
        <v>73</v>
      </c>
      <c r="P230" s="28" t="s">
        <v>76</v>
      </c>
      <c r="Q230" s="28"/>
      <c r="R230" s="29"/>
      <c r="S230" s="28"/>
      <c r="T230" s="28"/>
      <c r="U230" s="9" t="s">
        <v>75</v>
      </c>
      <c r="V230" s="9" t="s">
        <v>75</v>
      </c>
      <c r="W230" s="28"/>
    </row>
    <row r="231" spans="1:23" s="12" customFormat="1">
      <c r="A231" s="46" t="s">
        <v>572</v>
      </c>
      <c r="B231" s="28" t="s">
        <v>2580</v>
      </c>
      <c r="C231" s="28" t="s">
        <v>2330</v>
      </c>
      <c r="D231" s="9" t="s">
        <v>2440</v>
      </c>
      <c r="E231" s="28" t="s">
        <v>2229</v>
      </c>
      <c r="F231" s="28" t="s">
        <v>2228</v>
      </c>
      <c r="G231" s="28" t="s">
        <v>2228</v>
      </c>
      <c r="H231" s="28" t="s">
        <v>2343</v>
      </c>
      <c r="I231" s="28" t="str">
        <f>VLOOKUP(E231,표준용어사전!$C$2:$D$494, 2, FALSE)</f>
        <v>명V256</v>
      </c>
      <c r="J231" s="28" t="s">
        <v>718</v>
      </c>
      <c r="K231" s="29">
        <v>256</v>
      </c>
      <c r="L231" s="55" t="s">
        <v>571</v>
      </c>
      <c r="M231" s="29" t="s">
        <v>730</v>
      </c>
      <c r="N231" s="10" t="s">
        <v>75</v>
      </c>
      <c r="O231" s="9"/>
      <c r="P231" s="9" t="s">
        <v>76</v>
      </c>
      <c r="Q231" s="28"/>
      <c r="R231" s="29"/>
      <c r="S231" s="9"/>
      <c r="T231" s="9"/>
      <c r="U231" s="9" t="s">
        <v>75</v>
      </c>
      <c r="V231" s="9" t="s">
        <v>75</v>
      </c>
      <c r="W231" s="9"/>
    </row>
    <row r="232" spans="1:23" s="12" customFormat="1">
      <c r="A232" s="46" t="s">
        <v>572</v>
      </c>
      <c r="B232" s="28" t="s">
        <v>2580</v>
      </c>
      <c r="C232" s="28" t="s">
        <v>2330</v>
      </c>
      <c r="D232" s="28" t="s">
        <v>2440</v>
      </c>
      <c r="E232" s="28" t="s">
        <v>91</v>
      </c>
      <c r="F232" s="28" t="s">
        <v>369</v>
      </c>
      <c r="G232" s="28" t="s">
        <v>369</v>
      </c>
      <c r="H232" s="28" t="s">
        <v>2343</v>
      </c>
      <c r="I232" s="28" t="str">
        <f>VLOOKUP(E232,표준용어사전!$C$2:$D$494, 2, FALSE)</f>
        <v>명V20</v>
      </c>
      <c r="J232" s="28" t="s">
        <v>718</v>
      </c>
      <c r="K232" s="29" t="s">
        <v>986</v>
      </c>
      <c r="L232" s="55" t="s">
        <v>571</v>
      </c>
      <c r="M232" s="29" t="s">
        <v>727</v>
      </c>
      <c r="N232" s="29" t="s">
        <v>75</v>
      </c>
      <c r="O232" s="28"/>
      <c r="P232" s="28" t="s">
        <v>76</v>
      </c>
      <c r="Q232" s="28"/>
      <c r="R232" s="29"/>
      <c r="S232" s="28"/>
      <c r="T232" s="28"/>
      <c r="U232" s="28" t="s">
        <v>75</v>
      </c>
      <c r="V232" s="28" t="s">
        <v>75</v>
      </c>
      <c r="W232" s="28"/>
    </row>
    <row r="233" spans="1:23" s="12" customFormat="1">
      <c r="A233" s="46" t="s">
        <v>572</v>
      </c>
      <c r="B233" s="28" t="s">
        <v>2580</v>
      </c>
      <c r="C233" s="28" t="s">
        <v>2330</v>
      </c>
      <c r="D233" s="9" t="s">
        <v>2440</v>
      </c>
      <c r="E233" s="28" t="s">
        <v>90</v>
      </c>
      <c r="F233" s="28" t="s">
        <v>14</v>
      </c>
      <c r="G233" s="28" t="s">
        <v>14</v>
      </c>
      <c r="H233" s="28" t="s">
        <v>2343</v>
      </c>
      <c r="I233" s="28" t="str">
        <f>VLOOKUP(E233,표준용어사전!$C$2:$D$494, 2, FALSE)</f>
        <v>연월일시분초TS</v>
      </c>
      <c r="J233" s="28" t="s">
        <v>719</v>
      </c>
      <c r="K233" s="29" t="s">
        <v>571</v>
      </c>
      <c r="L233" s="55" t="s">
        <v>571</v>
      </c>
      <c r="M233" s="29" t="s">
        <v>726</v>
      </c>
      <c r="N233" s="10" t="s">
        <v>973</v>
      </c>
      <c r="O233" s="9"/>
      <c r="P233" s="9" t="s">
        <v>76</v>
      </c>
      <c r="Q233" s="28"/>
      <c r="R233" s="29"/>
      <c r="S233" s="9"/>
      <c r="T233" s="9"/>
      <c r="U233" s="9" t="s">
        <v>75</v>
      </c>
      <c r="V233" s="9" t="s">
        <v>75</v>
      </c>
      <c r="W233" s="9"/>
    </row>
    <row r="234" spans="1:23" s="12" customFormat="1">
      <c r="A234" s="46" t="s">
        <v>572</v>
      </c>
      <c r="B234" s="28" t="s">
        <v>2580</v>
      </c>
      <c r="C234" s="28" t="s">
        <v>2330</v>
      </c>
      <c r="D234" s="9" t="s">
        <v>2600</v>
      </c>
      <c r="E234" s="28" t="s">
        <v>295</v>
      </c>
      <c r="F234" s="28" t="s">
        <v>518</v>
      </c>
      <c r="G234" s="28" t="s">
        <v>518</v>
      </c>
      <c r="H234" s="28" t="s">
        <v>2344</v>
      </c>
      <c r="I234" s="28" t="str">
        <f>VLOOKUP(E234,표준용어사전!$C$2:$D$494, 2, FALSE)</f>
        <v>명V50</v>
      </c>
      <c r="J234" s="28" t="s">
        <v>718</v>
      </c>
      <c r="K234" s="29">
        <v>50</v>
      </c>
      <c r="L234" s="55" t="s">
        <v>571</v>
      </c>
      <c r="M234" s="29" t="s">
        <v>720</v>
      </c>
      <c r="N234" s="10" t="s">
        <v>973</v>
      </c>
      <c r="O234" s="9" t="s">
        <v>73</v>
      </c>
      <c r="P234" s="9" t="s">
        <v>76</v>
      </c>
      <c r="Q234" s="28"/>
      <c r="R234" s="29"/>
      <c r="S234" s="9"/>
      <c r="T234" s="9"/>
      <c r="U234" s="9" t="s">
        <v>75</v>
      </c>
      <c r="V234" s="9" t="s">
        <v>75</v>
      </c>
      <c r="W234" s="9"/>
    </row>
    <row r="235" spans="1:23" s="12" customFormat="1">
      <c r="A235" s="46" t="s">
        <v>572</v>
      </c>
      <c r="B235" s="28" t="s">
        <v>2580</v>
      </c>
      <c r="C235" s="28" t="s">
        <v>2330</v>
      </c>
      <c r="D235" s="28" t="s">
        <v>2600</v>
      </c>
      <c r="E235" s="28" t="s">
        <v>2214</v>
      </c>
      <c r="F235" s="28" t="s">
        <v>2213</v>
      </c>
      <c r="G235" s="28" t="s">
        <v>2213</v>
      </c>
      <c r="H235" s="28" t="s">
        <v>2344</v>
      </c>
      <c r="I235" s="28" t="str">
        <f>VLOOKUP(E235,표준용어사전!$C$2:$D$494, 2, FALSE)</f>
        <v>명V20</v>
      </c>
      <c r="J235" s="28" t="s">
        <v>718</v>
      </c>
      <c r="K235" s="29" t="s">
        <v>986</v>
      </c>
      <c r="L235" s="55" t="s">
        <v>571</v>
      </c>
      <c r="M235" s="29" t="s">
        <v>727</v>
      </c>
      <c r="N235" s="10" t="s">
        <v>973</v>
      </c>
      <c r="O235" s="9" t="s">
        <v>74</v>
      </c>
      <c r="P235" s="9" t="s">
        <v>76</v>
      </c>
      <c r="Q235" s="28"/>
      <c r="R235" s="29"/>
      <c r="S235" s="9"/>
      <c r="T235" s="9"/>
      <c r="U235" s="9" t="s">
        <v>75</v>
      </c>
      <c r="V235" s="9" t="s">
        <v>75</v>
      </c>
      <c r="W235" s="9"/>
    </row>
    <row r="236" spans="1:23" s="12" customFormat="1">
      <c r="A236" s="46" t="s">
        <v>572</v>
      </c>
      <c r="B236" s="28" t="s">
        <v>2580</v>
      </c>
      <c r="C236" s="28" t="s">
        <v>2330</v>
      </c>
      <c r="D236" s="28" t="s">
        <v>2600</v>
      </c>
      <c r="E236" s="28" t="s">
        <v>91</v>
      </c>
      <c r="F236" s="28" t="s">
        <v>369</v>
      </c>
      <c r="G236" s="28" t="s">
        <v>369</v>
      </c>
      <c r="H236" s="28" t="s">
        <v>2344</v>
      </c>
      <c r="I236" s="28" t="str">
        <f>VLOOKUP(E236,표준용어사전!$C$2:$D$494, 2, FALSE)</f>
        <v>명V20</v>
      </c>
      <c r="J236" s="28" t="s">
        <v>718</v>
      </c>
      <c r="K236" s="29" t="s">
        <v>986</v>
      </c>
      <c r="L236" s="55" t="s">
        <v>571</v>
      </c>
      <c r="M236" s="29" t="s">
        <v>727</v>
      </c>
      <c r="N236" s="29" t="s">
        <v>75</v>
      </c>
      <c r="O236" s="9"/>
      <c r="P236" s="9" t="s">
        <v>76</v>
      </c>
      <c r="Q236" s="28"/>
      <c r="R236" s="29"/>
      <c r="S236" s="9"/>
      <c r="T236" s="9"/>
      <c r="U236" s="9" t="s">
        <v>75</v>
      </c>
      <c r="V236" s="9" t="s">
        <v>75</v>
      </c>
      <c r="W236" s="9"/>
    </row>
    <row r="237" spans="1:23" s="12" customFormat="1">
      <c r="A237" s="46" t="s">
        <v>572</v>
      </c>
      <c r="B237" s="28" t="s">
        <v>2580</v>
      </c>
      <c r="C237" s="28" t="s">
        <v>2330</v>
      </c>
      <c r="D237" s="28" t="s">
        <v>2600</v>
      </c>
      <c r="E237" s="28" t="s">
        <v>90</v>
      </c>
      <c r="F237" s="28" t="s">
        <v>14</v>
      </c>
      <c r="G237" s="28" t="s">
        <v>14</v>
      </c>
      <c r="H237" s="28" t="s">
        <v>2344</v>
      </c>
      <c r="I237" s="28" t="str">
        <f>VLOOKUP(E237,표준용어사전!$C$2:$D$494, 2, FALSE)</f>
        <v>연월일시분초TS</v>
      </c>
      <c r="J237" s="28" t="s">
        <v>719</v>
      </c>
      <c r="K237" s="29" t="s">
        <v>571</v>
      </c>
      <c r="L237" s="55" t="s">
        <v>571</v>
      </c>
      <c r="M237" s="29" t="s">
        <v>726</v>
      </c>
      <c r="N237" s="10" t="s">
        <v>973</v>
      </c>
      <c r="O237" s="9"/>
      <c r="P237" s="9" t="s">
        <v>76</v>
      </c>
      <c r="Q237" s="28"/>
      <c r="R237" s="29"/>
      <c r="S237" s="9"/>
      <c r="T237" s="9"/>
      <c r="U237" s="9" t="s">
        <v>75</v>
      </c>
      <c r="V237" s="9" t="s">
        <v>75</v>
      </c>
      <c r="W237" s="9"/>
    </row>
    <row r="238" spans="1:23" s="12" customFormat="1">
      <c r="A238" s="46" t="s">
        <v>711</v>
      </c>
      <c r="B238" s="28" t="s">
        <v>2580</v>
      </c>
      <c r="C238" s="28" t="s">
        <v>740</v>
      </c>
      <c r="D238" s="28" t="s">
        <v>2701</v>
      </c>
      <c r="E238" s="28" t="s">
        <v>2703</v>
      </c>
      <c r="F238" s="28" t="s">
        <v>2705</v>
      </c>
      <c r="G238" s="28" t="s">
        <v>2705</v>
      </c>
      <c r="H238" s="28" t="s">
        <v>2707</v>
      </c>
      <c r="I238" s="28" t="str">
        <f>VLOOKUP(E238,표준용어사전!$C$2:$D$494, 2, FALSE)</f>
        <v>명V20</v>
      </c>
      <c r="J238" s="28" t="s">
        <v>718</v>
      </c>
      <c r="K238" s="29" t="s">
        <v>986</v>
      </c>
      <c r="L238" s="55" t="s">
        <v>571</v>
      </c>
      <c r="M238" s="29" t="s">
        <v>727</v>
      </c>
      <c r="N238" s="29" t="s">
        <v>973</v>
      </c>
      <c r="O238" s="28" t="s">
        <v>73</v>
      </c>
      <c r="P238" s="28" t="s">
        <v>76</v>
      </c>
      <c r="Q238" s="28"/>
      <c r="R238" s="29"/>
      <c r="S238" s="28"/>
      <c r="T238" s="28"/>
      <c r="U238" s="28" t="s">
        <v>75</v>
      </c>
      <c r="V238" s="28" t="s">
        <v>75</v>
      </c>
      <c r="W238" s="28"/>
    </row>
    <row r="239" spans="1:23" s="12" customFormat="1">
      <c r="A239" s="46" t="s">
        <v>711</v>
      </c>
      <c r="B239" s="28" t="s">
        <v>2580</v>
      </c>
      <c r="C239" s="28" t="s">
        <v>740</v>
      </c>
      <c r="D239" s="28" t="s">
        <v>2701</v>
      </c>
      <c r="E239" s="28" t="s">
        <v>2704</v>
      </c>
      <c r="F239" s="28" t="s">
        <v>2706</v>
      </c>
      <c r="G239" s="28" t="s">
        <v>2706</v>
      </c>
      <c r="H239" s="28" t="s">
        <v>2707</v>
      </c>
      <c r="I239" s="28" t="str">
        <f>VLOOKUP(E239,표준용어사전!$C$2:$D$494, 2, FALSE)</f>
        <v>명V256</v>
      </c>
      <c r="J239" s="28" t="s">
        <v>718</v>
      </c>
      <c r="K239" s="29">
        <v>256</v>
      </c>
      <c r="L239" s="55" t="s">
        <v>571</v>
      </c>
      <c r="M239" s="29" t="s">
        <v>730</v>
      </c>
      <c r="N239" s="29" t="s">
        <v>75</v>
      </c>
      <c r="O239" s="28"/>
      <c r="P239" s="28" t="s">
        <v>76</v>
      </c>
      <c r="Q239" s="28"/>
      <c r="R239" s="29"/>
      <c r="S239" s="28"/>
      <c r="T239" s="28"/>
      <c r="U239" s="28" t="s">
        <v>75</v>
      </c>
      <c r="V239" s="28" t="s">
        <v>75</v>
      </c>
      <c r="W239" s="28"/>
    </row>
    <row r="240" spans="1:23" s="12" customFormat="1">
      <c r="A240" s="46" t="s">
        <v>711</v>
      </c>
      <c r="B240" s="28" t="s">
        <v>2580</v>
      </c>
      <c r="C240" s="28" t="s">
        <v>740</v>
      </c>
      <c r="D240" s="28" t="s">
        <v>2701</v>
      </c>
      <c r="E240" s="28" t="s">
        <v>91</v>
      </c>
      <c r="F240" s="28" t="s">
        <v>369</v>
      </c>
      <c r="G240" s="28" t="s">
        <v>369</v>
      </c>
      <c r="H240" s="28" t="s">
        <v>2707</v>
      </c>
      <c r="I240" s="28" t="str">
        <f>VLOOKUP(E240,표준용어사전!$C$2:$D$494, 2, FALSE)</f>
        <v>명V20</v>
      </c>
      <c r="J240" s="28" t="s">
        <v>718</v>
      </c>
      <c r="K240" s="29" t="s">
        <v>986</v>
      </c>
      <c r="L240" s="55" t="s">
        <v>571</v>
      </c>
      <c r="M240" s="29" t="s">
        <v>727</v>
      </c>
      <c r="N240" s="29" t="s">
        <v>75</v>
      </c>
      <c r="O240" s="28"/>
      <c r="P240" s="28" t="s">
        <v>76</v>
      </c>
      <c r="Q240" s="28"/>
      <c r="R240" s="29"/>
      <c r="S240" s="28"/>
      <c r="T240" s="28"/>
      <c r="U240" s="28" t="s">
        <v>75</v>
      </c>
      <c r="V240" s="28" t="s">
        <v>75</v>
      </c>
      <c r="W240" s="28"/>
    </row>
    <row r="241" spans="1:23" s="12" customFormat="1">
      <c r="A241" s="46" t="s">
        <v>711</v>
      </c>
      <c r="B241" s="28" t="s">
        <v>2580</v>
      </c>
      <c r="C241" s="28" t="s">
        <v>740</v>
      </c>
      <c r="D241" s="28" t="s">
        <v>2701</v>
      </c>
      <c r="E241" s="28" t="s">
        <v>90</v>
      </c>
      <c r="F241" s="28" t="s">
        <v>14</v>
      </c>
      <c r="G241" s="28" t="s">
        <v>14</v>
      </c>
      <c r="H241" s="28" t="s">
        <v>2707</v>
      </c>
      <c r="I241" s="28" t="str">
        <f>VLOOKUP(E241,표준용어사전!$C$2:$D$494, 2, FALSE)</f>
        <v>연월일시분초TS</v>
      </c>
      <c r="J241" s="28" t="s">
        <v>719</v>
      </c>
      <c r="K241" s="29" t="s">
        <v>571</v>
      </c>
      <c r="L241" s="55" t="s">
        <v>571</v>
      </c>
      <c r="M241" s="29" t="s">
        <v>726</v>
      </c>
      <c r="N241" s="29" t="s">
        <v>973</v>
      </c>
      <c r="O241" s="28"/>
      <c r="P241" s="28" t="s">
        <v>76</v>
      </c>
      <c r="Q241" s="28"/>
      <c r="R241" s="29"/>
      <c r="S241" s="28"/>
      <c r="T241" s="28"/>
      <c r="U241" s="28" t="s">
        <v>75</v>
      </c>
      <c r="V241" s="28" t="s">
        <v>75</v>
      </c>
      <c r="W241" s="28"/>
    </row>
    <row r="242" spans="1:23" s="12" customFormat="1">
      <c r="A242" s="46" t="s">
        <v>711</v>
      </c>
      <c r="B242" s="28" t="s">
        <v>2580</v>
      </c>
      <c r="C242" s="28" t="s">
        <v>740</v>
      </c>
      <c r="D242" s="28" t="s">
        <v>2702</v>
      </c>
      <c r="E242" s="28" t="s">
        <v>295</v>
      </c>
      <c r="F242" s="28" t="s">
        <v>518</v>
      </c>
      <c r="G242" s="28" t="s">
        <v>518</v>
      </c>
      <c r="H242" s="28" t="s">
        <v>2708</v>
      </c>
      <c r="I242" s="28" t="str">
        <f>VLOOKUP(E242,표준용어사전!$C$2:$D$494, 2, FALSE)</f>
        <v>명V50</v>
      </c>
      <c r="J242" s="28" t="s">
        <v>718</v>
      </c>
      <c r="K242" s="29">
        <v>50</v>
      </c>
      <c r="L242" s="55" t="s">
        <v>571</v>
      </c>
      <c r="M242" s="29" t="s">
        <v>720</v>
      </c>
      <c r="N242" s="29" t="s">
        <v>973</v>
      </c>
      <c r="O242" s="28" t="s">
        <v>73</v>
      </c>
      <c r="P242" s="28" t="s">
        <v>76</v>
      </c>
      <c r="Q242" s="28"/>
      <c r="R242" s="29"/>
      <c r="S242" s="28"/>
      <c r="T242" s="28"/>
      <c r="U242" s="28" t="s">
        <v>75</v>
      </c>
      <c r="V242" s="28" t="s">
        <v>75</v>
      </c>
      <c r="W242" s="28"/>
    </row>
    <row r="243" spans="1:23" s="12" customFormat="1">
      <c r="A243" s="46" t="s">
        <v>711</v>
      </c>
      <c r="B243" s="28" t="s">
        <v>2580</v>
      </c>
      <c r="C243" s="28" t="s">
        <v>740</v>
      </c>
      <c r="D243" s="28" t="s">
        <v>2702</v>
      </c>
      <c r="E243" s="28" t="s">
        <v>2703</v>
      </c>
      <c r="F243" s="28" t="s">
        <v>2705</v>
      </c>
      <c r="G243" s="28" t="s">
        <v>2705</v>
      </c>
      <c r="H243" s="28" t="s">
        <v>2708</v>
      </c>
      <c r="I243" s="28" t="str">
        <f>VLOOKUP(E243,표준용어사전!$C$2:$D$494, 2, FALSE)</f>
        <v>명V20</v>
      </c>
      <c r="J243" s="28" t="s">
        <v>718</v>
      </c>
      <c r="K243" s="29" t="s">
        <v>986</v>
      </c>
      <c r="L243" s="55" t="s">
        <v>571</v>
      </c>
      <c r="M243" s="29" t="s">
        <v>727</v>
      </c>
      <c r="N243" s="29" t="s">
        <v>973</v>
      </c>
      <c r="O243" s="28" t="s">
        <v>74</v>
      </c>
      <c r="P243" s="28" t="s">
        <v>76</v>
      </c>
      <c r="Q243" s="28"/>
      <c r="R243" s="29"/>
      <c r="S243" s="28"/>
      <c r="T243" s="28"/>
      <c r="U243" s="28" t="s">
        <v>75</v>
      </c>
      <c r="V243" s="28" t="s">
        <v>75</v>
      </c>
      <c r="W243" s="28"/>
    </row>
    <row r="244" spans="1:23" s="12" customFormat="1">
      <c r="A244" s="46" t="s">
        <v>711</v>
      </c>
      <c r="B244" s="28" t="s">
        <v>2580</v>
      </c>
      <c r="C244" s="28" t="s">
        <v>740</v>
      </c>
      <c r="D244" s="28" t="s">
        <v>2702</v>
      </c>
      <c r="E244" s="28" t="s">
        <v>91</v>
      </c>
      <c r="F244" s="28" t="s">
        <v>369</v>
      </c>
      <c r="G244" s="28" t="s">
        <v>369</v>
      </c>
      <c r="H244" s="28" t="s">
        <v>2708</v>
      </c>
      <c r="I244" s="28" t="str">
        <f>VLOOKUP(E244,표준용어사전!$C$2:$D$494, 2, FALSE)</f>
        <v>명V20</v>
      </c>
      <c r="J244" s="28" t="s">
        <v>718</v>
      </c>
      <c r="K244" s="29" t="s">
        <v>986</v>
      </c>
      <c r="L244" s="55" t="s">
        <v>571</v>
      </c>
      <c r="M244" s="29" t="s">
        <v>727</v>
      </c>
      <c r="N244" s="29" t="s">
        <v>75</v>
      </c>
      <c r="O244" s="28"/>
      <c r="P244" s="28" t="s">
        <v>76</v>
      </c>
      <c r="Q244" s="28"/>
      <c r="R244" s="29"/>
      <c r="S244" s="28"/>
      <c r="T244" s="28"/>
      <c r="U244" s="28" t="s">
        <v>75</v>
      </c>
      <c r="V244" s="28" t="s">
        <v>75</v>
      </c>
      <c r="W244" s="28"/>
    </row>
    <row r="245" spans="1:23" s="12" customFormat="1">
      <c r="A245" s="46" t="s">
        <v>711</v>
      </c>
      <c r="B245" s="28" t="s">
        <v>2580</v>
      </c>
      <c r="C245" s="28" t="s">
        <v>740</v>
      </c>
      <c r="D245" s="28" t="s">
        <v>2702</v>
      </c>
      <c r="E245" s="28" t="s">
        <v>90</v>
      </c>
      <c r="F245" s="28" t="s">
        <v>14</v>
      </c>
      <c r="G245" s="28" t="s">
        <v>14</v>
      </c>
      <c r="H245" s="28" t="s">
        <v>2708</v>
      </c>
      <c r="I245" s="28" t="str">
        <f>VLOOKUP(E245,표준용어사전!$C$2:$D$494, 2, FALSE)</f>
        <v>연월일시분초TS</v>
      </c>
      <c r="J245" s="28" t="s">
        <v>719</v>
      </c>
      <c r="K245" s="29" t="s">
        <v>571</v>
      </c>
      <c r="L245" s="55" t="s">
        <v>571</v>
      </c>
      <c r="M245" s="29" t="s">
        <v>726</v>
      </c>
      <c r="N245" s="29" t="s">
        <v>973</v>
      </c>
      <c r="O245" s="28"/>
      <c r="P245" s="28" t="s">
        <v>76</v>
      </c>
      <c r="Q245" s="28"/>
      <c r="R245" s="29"/>
      <c r="S245" s="28"/>
      <c r="T245" s="28"/>
      <c r="U245" s="28" t="s">
        <v>75</v>
      </c>
      <c r="V245" s="28" t="s">
        <v>75</v>
      </c>
      <c r="W245" s="28"/>
    </row>
    <row r="246" spans="1:23" s="12" customFormat="1">
      <c r="A246" s="46" t="s">
        <v>572</v>
      </c>
      <c r="B246" s="28" t="s">
        <v>1336</v>
      </c>
      <c r="C246" s="28" t="s">
        <v>2330</v>
      </c>
      <c r="D246" s="9" t="s">
        <v>2605</v>
      </c>
      <c r="E246" s="28" t="s">
        <v>2112</v>
      </c>
      <c r="F246" s="28" t="s">
        <v>535</v>
      </c>
      <c r="G246" s="28" t="s">
        <v>535</v>
      </c>
      <c r="H246" s="28" t="s">
        <v>320</v>
      </c>
      <c r="I246" s="28" t="str">
        <f>VLOOKUP(E246,표준용어사전!$C$2:$D$494, 2, FALSE)</f>
        <v>명V20</v>
      </c>
      <c r="J246" s="28" t="s">
        <v>718</v>
      </c>
      <c r="K246" s="29" t="s">
        <v>986</v>
      </c>
      <c r="L246" s="55" t="s">
        <v>571</v>
      </c>
      <c r="M246" s="29" t="s">
        <v>727</v>
      </c>
      <c r="N246" s="10" t="s">
        <v>973</v>
      </c>
      <c r="O246" s="9" t="s">
        <v>73</v>
      </c>
      <c r="P246" s="9" t="s">
        <v>76</v>
      </c>
      <c r="Q246" s="28"/>
      <c r="R246" s="29"/>
      <c r="S246" s="9"/>
      <c r="T246" s="9"/>
      <c r="U246" s="9" t="s">
        <v>75</v>
      </c>
      <c r="V246" s="9" t="s">
        <v>75</v>
      </c>
      <c r="W246" s="9"/>
    </row>
    <row r="247" spans="1:23" s="12" customFormat="1">
      <c r="A247" s="46" t="s">
        <v>572</v>
      </c>
      <c r="B247" s="28" t="s">
        <v>1336</v>
      </c>
      <c r="C247" s="28" t="s">
        <v>2330</v>
      </c>
      <c r="D247" s="9" t="s">
        <v>2605</v>
      </c>
      <c r="E247" s="28" t="s">
        <v>2114</v>
      </c>
      <c r="F247" s="28" t="s">
        <v>2409</v>
      </c>
      <c r="G247" s="28" t="s">
        <v>2409</v>
      </c>
      <c r="H247" s="28" t="s">
        <v>320</v>
      </c>
      <c r="I247" s="28" t="str">
        <f>VLOOKUP(E247,표준용어사전!$C$2:$D$494, 2, FALSE)</f>
        <v>코드C3</v>
      </c>
      <c r="J247" s="28" t="s">
        <v>709</v>
      </c>
      <c r="K247" s="29">
        <v>3</v>
      </c>
      <c r="L247" s="55" t="s">
        <v>571</v>
      </c>
      <c r="M247" s="29" t="s">
        <v>981</v>
      </c>
      <c r="N247" s="10" t="s">
        <v>75</v>
      </c>
      <c r="O247" s="9"/>
      <c r="P247" s="9" t="s">
        <v>76</v>
      </c>
      <c r="Q247" s="28"/>
      <c r="R247" s="29"/>
      <c r="S247" s="9"/>
      <c r="T247" s="9"/>
      <c r="U247" s="9" t="s">
        <v>75</v>
      </c>
      <c r="V247" s="9" t="s">
        <v>75</v>
      </c>
      <c r="W247" s="9"/>
    </row>
    <row r="248" spans="1:23" s="12" customFormat="1">
      <c r="A248" s="46" t="s">
        <v>572</v>
      </c>
      <c r="B248" s="28" t="s">
        <v>1336</v>
      </c>
      <c r="C248" s="28" t="s">
        <v>2330</v>
      </c>
      <c r="D248" s="9" t="s">
        <v>2605</v>
      </c>
      <c r="E248" s="28" t="s">
        <v>2116</v>
      </c>
      <c r="F248" s="28" t="s">
        <v>2410</v>
      </c>
      <c r="G248" s="28" t="s">
        <v>2410</v>
      </c>
      <c r="H248" s="28" t="s">
        <v>320</v>
      </c>
      <c r="I248" s="28" t="str">
        <f>VLOOKUP(E248,표준용어사전!$C$2:$D$494, 2, FALSE)</f>
        <v>코드C3</v>
      </c>
      <c r="J248" s="28" t="s">
        <v>709</v>
      </c>
      <c r="K248" s="29">
        <v>3</v>
      </c>
      <c r="L248" s="55" t="s">
        <v>571</v>
      </c>
      <c r="M248" s="29" t="s">
        <v>981</v>
      </c>
      <c r="N248" s="10" t="s">
        <v>75</v>
      </c>
      <c r="O248" s="9"/>
      <c r="P248" s="9" t="s">
        <v>76</v>
      </c>
      <c r="Q248" s="28"/>
      <c r="R248" s="29"/>
      <c r="S248" s="9"/>
      <c r="T248" s="9"/>
      <c r="U248" s="9" t="s">
        <v>75</v>
      </c>
      <c r="V248" s="9" t="s">
        <v>75</v>
      </c>
      <c r="W248" s="9"/>
    </row>
    <row r="249" spans="1:23" s="12" customFormat="1">
      <c r="A249" s="46" t="s">
        <v>572</v>
      </c>
      <c r="B249" s="28" t="s">
        <v>1336</v>
      </c>
      <c r="C249" s="28" t="s">
        <v>2330</v>
      </c>
      <c r="D249" s="28" t="s">
        <v>2605</v>
      </c>
      <c r="E249" s="28" t="s">
        <v>2118</v>
      </c>
      <c r="F249" s="28" t="s">
        <v>2411</v>
      </c>
      <c r="G249" s="28" t="s">
        <v>2411</v>
      </c>
      <c r="H249" s="28" t="s">
        <v>320</v>
      </c>
      <c r="I249" s="28" t="str">
        <f>VLOOKUP(E249,표준용어사전!$C$2:$D$494, 2, FALSE)</f>
        <v>코드C3</v>
      </c>
      <c r="J249" s="28" t="s">
        <v>709</v>
      </c>
      <c r="K249" s="29">
        <v>3</v>
      </c>
      <c r="L249" s="55" t="s">
        <v>571</v>
      </c>
      <c r="M249" s="29" t="s">
        <v>981</v>
      </c>
      <c r="N249" s="29" t="s">
        <v>75</v>
      </c>
      <c r="O249" s="28"/>
      <c r="P249" s="28" t="s">
        <v>76</v>
      </c>
      <c r="Q249" s="28"/>
      <c r="R249" s="29"/>
      <c r="S249" s="28"/>
      <c r="T249" s="28"/>
      <c r="U249" s="9" t="s">
        <v>75</v>
      </c>
      <c r="V249" s="9" t="s">
        <v>75</v>
      </c>
      <c r="W249" s="28"/>
    </row>
    <row r="250" spans="1:23" s="12" customFormat="1">
      <c r="A250" s="46" t="s">
        <v>572</v>
      </c>
      <c r="B250" s="28" t="s">
        <v>1336</v>
      </c>
      <c r="C250" s="28" t="s">
        <v>2330</v>
      </c>
      <c r="D250" s="28" t="s">
        <v>2605</v>
      </c>
      <c r="E250" s="28" t="s">
        <v>2119</v>
      </c>
      <c r="F250" s="28" t="s">
        <v>536</v>
      </c>
      <c r="G250" s="28" t="s">
        <v>536</v>
      </c>
      <c r="H250" s="28" t="s">
        <v>320</v>
      </c>
      <c r="I250" s="28" t="str">
        <f>VLOOKUP(E250,표준용어사전!$C$2:$D$494, 2, FALSE)</f>
        <v>수N10</v>
      </c>
      <c r="J250" s="28" t="s">
        <v>748</v>
      </c>
      <c r="K250" s="29" t="s">
        <v>1061</v>
      </c>
      <c r="L250" s="55" t="s">
        <v>571</v>
      </c>
      <c r="M250" s="29" t="s">
        <v>2592</v>
      </c>
      <c r="N250" s="29" t="s">
        <v>75</v>
      </c>
      <c r="O250" s="9"/>
      <c r="P250" s="9" t="s">
        <v>76</v>
      </c>
      <c r="Q250" s="28"/>
      <c r="R250" s="29"/>
      <c r="S250" s="9"/>
      <c r="T250" s="9"/>
      <c r="U250" s="9" t="s">
        <v>75</v>
      </c>
      <c r="V250" s="9" t="s">
        <v>75</v>
      </c>
      <c r="W250" s="9"/>
    </row>
    <row r="251" spans="1:23" s="12" customFormat="1">
      <c r="A251" s="46" t="s">
        <v>572</v>
      </c>
      <c r="B251" s="28" t="s">
        <v>1336</v>
      </c>
      <c r="C251" s="28" t="s">
        <v>2330</v>
      </c>
      <c r="D251" s="28" t="s">
        <v>2605</v>
      </c>
      <c r="E251" s="28" t="s">
        <v>2120</v>
      </c>
      <c r="F251" s="28" t="s">
        <v>537</v>
      </c>
      <c r="G251" s="28" t="s">
        <v>537</v>
      </c>
      <c r="H251" s="28" t="s">
        <v>320</v>
      </c>
      <c r="I251" s="28" t="str">
        <f>VLOOKUP(E251,표준용어사전!$C$2:$D$494, 2, FALSE)</f>
        <v>여부C1</v>
      </c>
      <c r="J251" s="28" t="s">
        <v>709</v>
      </c>
      <c r="K251" s="29">
        <v>1</v>
      </c>
      <c r="L251" s="55" t="s">
        <v>571</v>
      </c>
      <c r="M251" s="29" t="s">
        <v>722</v>
      </c>
      <c r="N251" s="29" t="s">
        <v>75</v>
      </c>
      <c r="O251" s="28"/>
      <c r="P251" s="28" t="s">
        <v>76</v>
      </c>
      <c r="Q251" s="28"/>
      <c r="R251" s="29"/>
      <c r="S251" s="28"/>
      <c r="T251" s="28"/>
      <c r="U251" s="9" t="s">
        <v>75</v>
      </c>
      <c r="V251" s="9" t="s">
        <v>75</v>
      </c>
      <c r="W251" s="28"/>
    </row>
    <row r="252" spans="1:23" s="12" customFormat="1">
      <c r="A252" s="46" t="s">
        <v>572</v>
      </c>
      <c r="B252" s="28" t="s">
        <v>1336</v>
      </c>
      <c r="C252" s="28" t="s">
        <v>2330</v>
      </c>
      <c r="D252" s="28" t="s">
        <v>2605</v>
      </c>
      <c r="E252" s="28" t="s">
        <v>2121</v>
      </c>
      <c r="F252" s="28" t="s">
        <v>538</v>
      </c>
      <c r="G252" s="28" t="s">
        <v>538</v>
      </c>
      <c r="H252" s="28" t="s">
        <v>320</v>
      </c>
      <c r="I252" s="28" t="str">
        <f>VLOOKUP(E252,표준용어사전!$C$2:$D$494, 2, FALSE)</f>
        <v>명V512</v>
      </c>
      <c r="J252" s="28" t="s">
        <v>718</v>
      </c>
      <c r="K252" s="29">
        <v>512</v>
      </c>
      <c r="L252" s="55" t="s">
        <v>571</v>
      </c>
      <c r="M252" s="29" t="s">
        <v>721</v>
      </c>
      <c r="N252" s="29" t="s">
        <v>75</v>
      </c>
      <c r="O252" s="28"/>
      <c r="P252" s="28" t="s">
        <v>76</v>
      </c>
      <c r="Q252" s="28"/>
      <c r="R252" s="29"/>
      <c r="S252" s="28"/>
      <c r="T252" s="28"/>
      <c r="U252" s="9" t="s">
        <v>75</v>
      </c>
      <c r="V252" s="9" t="s">
        <v>75</v>
      </c>
      <c r="W252" s="28"/>
    </row>
    <row r="253" spans="1:23" s="12" customFormat="1">
      <c r="A253" s="46" t="s">
        <v>572</v>
      </c>
      <c r="B253" s="28" t="s">
        <v>1336</v>
      </c>
      <c r="C253" s="28" t="s">
        <v>2330</v>
      </c>
      <c r="D253" s="28" t="s">
        <v>2605</v>
      </c>
      <c r="E253" s="28" t="s">
        <v>2122</v>
      </c>
      <c r="F253" s="28" t="s">
        <v>539</v>
      </c>
      <c r="G253" s="28" t="s">
        <v>539</v>
      </c>
      <c r="H253" s="28" t="s">
        <v>320</v>
      </c>
      <c r="I253" s="28" t="str">
        <f>VLOOKUP(E253,표준용어사전!$C$2:$D$494, 2, FALSE)</f>
        <v>내용V2000</v>
      </c>
      <c r="J253" s="28" t="s">
        <v>718</v>
      </c>
      <c r="K253" s="29">
        <v>2000</v>
      </c>
      <c r="L253" s="55" t="s">
        <v>571</v>
      </c>
      <c r="M253" s="29" t="s">
        <v>728</v>
      </c>
      <c r="N253" s="29" t="s">
        <v>75</v>
      </c>
      <c r="O253" s="28"/>
      <c r="P253" s="28" t="s">
        <v>76</v>
      </c>
      <c r="Q253" s="28"/>
      <c r="R253" s="29"/>
      <c r="S253" s="28"/>
      <c r="T253" s="28"/>
      <c r="U253" s="9" t="s">
        <v>75</v>
      </c>
      <c r="V253" s="9" t="s">
        <v>75</v>
      </c>
      <c r="W253" s="28"/>
    </row>
    <row r="254" spans="1:23" s="12" customFormat="1">
      <c r="A254" s="46" t="s">
        <v>572</v>
      </c>
      <c r="B254" s="28" t="s">
        <v>1336</v>
      </c>
      <c r="C254" s="28" t="s">
        <v>2330</v>
      </c>
      <c r="D254" s="28" t="s">
        <v>2605</v>
      </c>
      <c r="E254" s="28" t="s">
        <v>2123</v>
      </c>
      <c r="F254" s="28" t="s">
        <v>540</v>
      </c>
      <c r="G254" s="28" t="s">
        <v>540</v>
      </c>
      <c r="H254" s="28" t="s">
        <v>320</v>
      </c>
      <c r="I254" s="28" t="str">
        <f>VLOOKUP(E254,표준용어사전!$C$2:$D$494, 2, FALSE)</f>
        <v>명V20</v>
      </c>
      <c r="J254" s="28" t="s">
        <v>718</v>
      </c>
      <c r="K254" s="29" t="s">
        <v>986</v>
      </c>
      <c r="L254" s="55" t="s">
        <v>571</v>
      </c>
      <c r="M254" s="29" t="s">
        <v>727</v>
      </c>
      <c r="N254" s="29" t="s">
        <v>75</v>
      </c>
      <c r="O254" s="28"/>
      <c r="P254" s="28" t="s">
        <v>76</v>
      </c>
      <c r="Q254" s="28"/>
      <c r="R254" s="29"/>
      <c r="S254" s="28"/>
      <c r="T254" s="28"/>
      <c r="U254" s="9" t="s">
        <v>75</v>
      </c>
      <c r="V254" s="9" t="s">
        <v>75</v>
      </c>
      <c r="W254" s="28"/>
    </row>
    <row r="255" spans="1:23" s="12" customFormat="1">
      <c r="A255" s="46" t="s">
        <v>572</v>
      </c>
      <c r="B255" s="28" t="s">
        <v>1336</v>
      </c>
      <c r="C255" s="28" t="s">
        <v>2330</v>
      </c>
      <c r="D255" s="28" t="s">
        <v>2605</v>
      </c>
      <c r="E255" s="28" t="s">
        <v>2124</v>
      </c>
      <c r="F255" s="28" t="s">
        <v>541</v>
      </c>
      <c r="G255" s="28" t="s">
        <v>541</v>
      </c>
      <c r="H255" s="28" t="s">
        <v>320</v>
      </c>
      <c r="I255" s="28" t="str">
        <f>VLOOKUP(E255,표준용어사전!$C$2:$D$494, 2, FALSE)</f>
        <v>연월일시분초TS</v>
      </c>
      <c r="J255" s="28" t="s">
        <v>719</v>
      </c>
      <c r="K255" s="29" t="s">
        <v>571</v>
      </c>
      <c r="L255" s="55" t="s">
        <v>571</v>
      </c>
      <c r="M255" s="29" t="s">
        <v>726</v>
      </c>
      <c r="N255" s="29" t="s">
        <v>75</v>
      </c>
      <c r="O255" s="28"/>
      <c r="P255" s="28" t="s">
        <v>76</v>
      </c>
      <c r="Q255" s="28"/>
      <c r="R255" s="29"/>
      <c r="S255" s="28"/>
      <c r="T255" s="28"/>
      <c r="U255" s="9" t="s">
        <v>75</v>
      </c>
      <c r="V255" s="9" t="s">
        <v>75</v>
      </c>
      <c r="W255" s="28"/>
    </row>
    <row r="256" spans="1:23" s="12" customFormat="1">
      <c r="A256" s="46" t="s">
        <v>572</v>
      </c>
      <c r="B256" s="28" t="s">
        <v>1336</v>
      </c>
      <c r="C256" s="28" t="s">
        <v>2330</v>
      </c>
      <c r="D256" s="28" t="s">
        <v>2605</v>
      </c>
      <c r="E256" s="28" t="s">
        <v>2125</v>
      </c>
      <c r="F256" s="28" t="s">
        <v>542</v>
      </c>
      <c r="G256" s="28" t="s">
        <v>542</v>
      </c>
      <c r="H256" s="28" t="s">
        <v>320</v>
      </c>
      <c r="I256" s="28" t="str">
        <f>VLOOKUP(E256,표준용어사전!$C$2:$D$494, 2, FALSE)</f>
        <v>연월일시분초TS</v>
      </c>
      <c r="J256" s="28" t="s">
        <v>719</v>
      </c>
      <c r="K256" s="29" t="s">
        <v>571</v>
      </c>
      <c r="L256" s="55" t="s">
        <v>571</v>
      </c>
      <c r="M256" s="29" t="s">
        <v>726</v>
      </c>
      <c r="N256" s="29" t="s">
        <v>75</v>
      </c>
      <c r="O256" s="28"/>
      <c r="P256" s="28" t="s">
        <v>76</v>
      </c>
      <c r="Q256" s="28"/>
      <c r="R256" s="29"/>
      <c r="S256" s="28"/>
      <c r="T256" s="28"/>
      <c r="U256" s="9" t="s">
        <v>75</v>
      </c>
      <c r="V256" s="9" t="s">
        <v>75</v>
      </c>
      <c r="W256" s="28"/>
    </row>
    <row r="257" spans="1:23" s="12" customFormat="1">
      <c r="A257" s="46" t="s">
        <v>572</v>
      </c>
      <c r="B257" s="28" t="s">
        <v>1336</v>
      </c>
      <c r="C257" s="28" t="s">
        <v>2330</v>
      </c>
      <c r="D257" s="9" t="s">
        <v>2605</v>
      </c>
      <c r="E257" s="28" t="s">
        <v>2126</v>
      </c>
      <c r="F257" s="28" t="s">
        <v>543</v>
      </c>
      <c r="G257" s="28" t="s">
        <v>543</v>
      </c>
      <c r="H257" s="28" t="s">
        <v>320</v>
      </c>
      <c r="I257" s="28" t="str">
        <f>VLOOKUP(E257,표준용어사전!$C$2:$D$494, 2, FALSE)</f>
        <v>명V20</v>
      </c>
      <c r="J257" s="28" t="s">
        <v>718</v>
      </c>
      <c r="K257" s="29" t="s">
        <v>986</v>
      </c>
      <c r="L257" s="55" t="s">
        <v>571</v>
      </c>
      <c r="M257" s="29" t="s">
        <v>727</v>
      </c>
      <c r="N257" s="10" t="s">
        <v>75</v>
      </c>
      <c r="O257" s="9"/>
      <c r="P257" s="9" t="s">
        <v>76</v>
      </c>
      <c r="Q257" s="28"/>
      <c r="R257" s="29"/>
      <c r="S257" s="9"/>
      <c r="T257" s="9"/>
      <c r="U257" s="9" t="s">
        <v>75</v>
      </c>
      <c r="V257" s="9" t="s">
        <v>75</v>
      </c>
      <c r="W257" s="9"/>
    </row>
    <row r="258" spans="1:23" s="12" customFormat="1">
      <c r="A258" s="46" t="s">
        <v>572</v>
      </c>
      <c r="B258" s="28" t="s">
        <v>1336</v>
      </c>
      <c r="C258" s="28" t="s">
        <v>2330</v>
      </c>
      <c r="D258" s="9" t="s">
        <v>2605</v>
      </c>
      <c r="E258" s="28" t="s">
        <v>2127</v>
      </c>
      <c r="F258" s="28" t="s">
        <v>544</v>
      </c>
      <c r="G258" s="28" t="s">
        <v>544</v>
      </c>
      <c r="H258" s="28" t="s">
        <v>320</v>
      </c>
      <c r="I258" s="28" t="str">
        <f>VLOOKUP(E258,표준용어사전!$C$2:$D$494, 2, FALSE)</f>
        <v>내용V2000</v>
      </c>
      <c r="J258" s="28" t="s">
        <v>718</v>
      </c>
      <c r="K258" s="29">
        <v>2000</v>
      </c>
      <c r="L258" s="55" t="s">
        <v>571</v>
      </c>
      <c r="M258" s="29" t="s">
        <v>728</v>
      </c>
      <c r="N258" s="10" t="s">
        <v>75</v>
      </c>
      <c r="O258" s="9"/>
      <c r="P258" s="9" t="s">
        <v>76</v>
      </c>
      <c r="Q258" s="28"/>
      <c r="R258" s="29"/>
      <c r="S258" s="9"/>
      <c r="T258" s="9"/>
      <c r="U258" s="9" t="s">
        <v>75</v>
      </c>
      <c r="V258" s="9" t="s">
        <v>75</v>
      </c>
      <c r="W258" s="9"/>
    </row>
    <row r="259" spans="1:23" s="12" customFormat="1">
      <c r="A259" s="46" t="s">
        <v>572</v>
      </c>
      <c r="B259" s="28" t="s">
        <v>1336</v>
      </c>
      <c r="C259" s="28" t="s">
        <v>2330</v>
      </c>
      <c r="D259" s="28" t="s">
        <v>2605</v>
      </c>
      <c r="E259" s="28" t="s">
        <v>2128</v>
      </c>
      <c r="F259" s="28" t="s">
        <v>545</v>
      </c>
      <c r="G259" s="28" t="s">
        <v>545</v>
      </c>
      <c r="H259" s="28" t="s">
        <v>320</v>
      </c>
      <c r="I259" s="28" t="str">
        <f>VLOOKUP(E259,표준용어사전!$C$2:$D$494, 2, FALSE)</f>
        <v>명V20</v>
      </c>
      <c r="J259" s="28" t="s">
        <v>718</v>
      </c>
      <c r="K259" s="29" t="s">
        <v>986</v>
      </c>
      <c r="L259" s="55" t="s">
        <v>571</v>
      </c>
      <c r="M259" s="29" t="s">
        <v>727</v>
      </c>
      <c r="N259" s="29" t="s">
        <v>75</v>
      </c>
      <c r="O259" s="28"/>
      <c r="P259" s="28" t="s">
        <v>76</v>
      </c>
      <c r="Q259" s="28"/>
      <c r="R259" s="29"/>
      <c r="S259" s="28"/>
      <c r="T259" s="28"/>
      <c r="U259" s="9" t="s">
        <v>75</v>
      </c>
      <c r="V259" s="9" t="s">
        <v>75</v>
      </c>
      <c r="W259" s="28"/>
    </row>
    <row r="260" spans="1:23" s="12" customFormat="1">
      <c r="A260" s="46" t="s">
        <v>572</v>
      </c>
      <c r="B260" s="28" t="s">
        <v>1336</v>
      </c>
      <c r="C260" s="28" t="s">
        <v>2330</v>
      </c>
      <c r="D260" s="9" t="s">
        <v>2605</v>
      </c>
      <c r="E260" s="28" t="s">
        <v>2129</v>
      </c>
      <c r="F260" s="28" t="s">
        <v>546</v>
      </c>
      <c r="G260" s="28" t="s">
        <v>546</v>
      </c>
      <c r="H260" s="28" t="s">
        <v>320</v>
      </c>
      <c r="I260" s="28" t="str">
        <f>VLOOKUP(E260,표준용어사전!$C$2:$D$494, 2, FALSE)</f>
        <v>연월일시분초TS</v>
      </c>
      <c r="J260" s="28" t="s">
        <v>719</v>
      </c>
      <c r="K260" s="29" t="s">
        <v>571</v>
      </c>
      <c r="L260" s="55" t="s">
        <v>571</v>
      </c>
      <c r="M260" s="29" t="s">
        <v>726</v>
      </c>
      <c r="N260" s="10" t="s">
        <v>75</v>
      </c>
      <c r="O260" s="9"/>
      <c r="P260" s="9" t="s">
        <v>76</v>
      </c>
      <c r="Q260" s="28"/>
      <c r="R260" s="29"/>
      <c r="S260" s="9"/>
      <c r="T260" s="9"/>
      <c r="U260" s="9" t="s">
        <v>75</v>
      </c>
      <c r="V260" s="9" t="s">
        <v>75</v>
      </c>
      <c r="W260" s="9"/>
    </row>
    <row r="261" spans="1:23" s="12" customFormat="1">
      <c r="A261" s="46" t="s">
        <v>572</v>
      </c>
      <c r="B261" s="28" t="s">
        <v>1336</v>
      </c>
      <c r="C261" s="28" t="s">
        <v>2330</v>
      </c>
      <c r="D261" s="9" t="s">
        <v>2605</v>
      </c>
      <c r="E261" s="28" t="s">
        <v>2130</v>
      </c>
      <c r="F261" s="28" t="s">
        <v>547</v>
      </c>
      <c r="G261" s="28" t="s">
        <v>547</v>
      </c>
      <c r="H261" s="28" t="s">
        <v>320</v>
      </c>
      <c r="I261" s="28" t="str">
        <f>VLOOKUP(E261,표준용어사전!$C$2:$D$494, 2, FALSE)</f>
        <v>연월일시분초TS</v>
      </c>
      <c r="J261" s="28" t="s">
        <v>719</v>
      </c>
      <c r="K261" s="29" t="s">
        <v>571</v>
      </c>
      <c r="L261" s="55" t="s">
        <v>571</v>
      </c>
      <c r="M261" s="29" t="s">
        <v>726</v>
      </c>
      <c r="N261" s="10" t="s">
        <v>75</v>
      </c>
      <c r="O261" s="9"/>
      <c r="P261" s="9" t="s">
        <v>76</v>
      </c>
      <c r="Q261" s="28"/>
      <c r="R261" s="29"/>
      <c r="S261" s="9"/>
      <c r="T261" s="9"/>
      <c r="U261" s="9" t="s">
        <v>75</v>
      </c>
      <c r="V261" s="9" t="s">
        <v>75</v>
      </c>
      <c r="W261" s="9"/>
    </row>
    <row r="262" spans="1:23" s="12" customFormat="1">
      <c r="A262" s="46" t="s">
        <v>572</v>
      </c>
      <c r="B262" s="28" t="s">
        <v>1336</v>
      </c>
      <c r="C262" s="28" t="s">
        <v>2330</v>
      </c>
      <c r="D262" s="9" t="s">
        <v>2605</v>
      </c>
      <c r="E262" s="28" t="s">
        <v>2131</v>
      </c>
      <c r="F262" s="28" t="s">
        <v>548</v>
      </c>
      <c r="G262" s="28" t="s">
        <v>548</v>
      </c>
      <c r="H262" s="28" t="s">
        <v>320</v>
      </c>
      <c r="I262" s="28" t="str">
        <f>VLOOKUP(E262,표준용어사전!$C$2:$D$494, 2, FALSE)</f>
        <v>명V20</v>
      </c>
      <c r="J262" s="28" t="s">
        <v>718</v>
      </c>
      <c r="K262" s="29" t="s">
        <v>986</v>
      </c>
      <c r="L262" s="55" t="s">
        <v>571</v>
      </c>
      <c r="M262" s="29" t="s">
        <v>727</v>
      </c>
      <c r="N262" s="10" t="s">
        <v>75</v>
      </c>
      <c r="O262" s="9"/>
      <c r="P262" s="9" t="s">
        <v>76</v>
      </c>
      <c r="Q262" s="28"/>
      <c r="R262" s="29"/>
      <c r="S262" s="9"/>
      <c r="T262" s="9"/>
      <c r="U262" s="9" t="s">
        <v>75</v>
      </c>
      <c r="V262" s="9" t="s">
        <v>75</v>
      </c>
      <c r="W262" s="9"/>
    </row>
    <row r="263" spans="1:23" s="12" customFormat="1">
      <c r="A263" s="46" t="s">
        <v>572</v>
      </c>
      <c r="B263" s="28" t="s">
        <v>1336</v>
      </c>
      <c r="C263" s="28" t="s">
        <v>2330</v>
      </c>
      <c r="D263" s="9" t="s">
        <v>2605</v>
      </c>
      <c r="E263" s="28" t="s">
        <v>2132</v>
      </c>
      <c r="F263" s="28" t="s">
        <v>780</v>
      </c>
      <c r="G263" s="28" t="s">
        <v>780</v>
      </c>
      <c r="H263" s="28" t="s">
        <v>320</v>
      </c>
      <c r="I263" s="28" t="str">
        <f>VLOOKUP(E263,표준용어사전!$C$2:$D$494, 2, FALSE)</f>
        <v>여부C1</v>
      </c>
      <c r="J263" s="28" t="s">
        <v>709</v>
      </c>
      <c r="K263" s="29">
        <v>1</v>
      </c>
      <c r="L263" s="55" t="s">
        <v>571</v>
      </c>
      <c r="M263" s="29" t="s">
        <v>722</v>
      </c>
      <c r="N263" s="10" t="s">
        <v>75</v>
      </c>
      <c r="O263" s="9"/>
      <c r="P263" s="9" t="s">
        <v>76</v>
      </c>
      <c r="Q263" s="28"/>
      <c r="R263" s="29"/>
      <c r="S263" s="9"/>
      <c r="T263" s="9"/>
      <c r="U263" s="9" t="s">
        <v>75</v>
      </c>
      <c r="V263" s="9" t="s">
        <v>75</v>
      </c>
      <c r="W263" s="9"/>
    </row>
    <row r="264" spans="1:23" s="12" customFormat="1">
      <c r="A264" s="46" t="s">
        <v>572</v>
      </c>
      <c r="B264" s="28" t="s">
        <v>1336</v>
      </c>
      <c r="C264" s="28" t="s">
        <v>2330</v>
      </c>
      <c r="D264" s="9" t="s">
        <v>2441</v>
      </c>
      <c r="E264" s="28" t="s">
        <v>2195</v>
      </c>
      <c r="F264" s="28" t="s">
        <v>2412</v>
      </c>
      <c r="G264" s="28" t="s">
        <v>2412</v>
      </c>
      <c r="H264" s="28" t="s">
        <v>2345</v>
      </c>
      <c r="I264" s="28" t="str">
        <f>VLOOKUP(E264,표준용어사전!$C$2:$D$494, 2, FALSE)</f>
        <v>율N12,6</v>
      </c>
      <c r="J264" s="28" t="s">
        <v>748</v>
      </c>
      <c r="K264" s="29">
        <v>12</v>
      </c>
      <c r="L264" s="55">
        <v>6</v>
      </c>
      <c r="M264" s="29">
        <v>999999.99999899999</v>
      </c>
      <c r="N264" s="10" t="s">
        <v>973</v>
      </c>
      <c r="O264" s="9" t="s">
        <v>73</v>
      </c>
      <c r="P264" s="9" t="s">
        <v>76</v>
      </c>
      <c r="Q264" s="28"/>
      <c r="R264" s="29"/>
      <c r="S264" s="9"/>
      <c r="T264" s="9"/>
      <c r="U264" s="9" t="s">
        <v>75</v>
      </c>
      <c r="V264" s="9" t="s">
        <v>75</v>
      </c>
      <c r="W264" s="9"/>
    </row>
    <row r="265" spans="1:23" s="12" customFormat="1">
      <c r="A265" s="46" t="s">
        <v>572</v>
      </c>
      <c r="B265" s="28" t="s">
        <v>1336</v>
      </c>
      <c r="C265" s="28" t="s">
        <v>2330</v>
      </c>
      <c r="D265" s="9" t="s">
        <v>2441</v>
      </c>
      <c r="E265" s="28" t="s">
        <v>90</v>
      </c>
      <c r="F265" s="28" t="s">
        <v>14</v>
      </c>
      <c r="G265" s="28" t="s">
        <v>14</v>
      </c>
      <c r="H265" s="28" t="s">
        <v>2345</v>
      </c>
      <c r="I265" s="28" t="str">
        <f>VLOOKUP(E265,표준용어사전!$C$2:$D$494, 2, FALSE)</f>
        <v>연월일시분초TS</v>
      </c>
      <c r="J265" s="28" t="s">
        <v>719</v>
      </c>
      <c r="K265" s="29" t="s">
        <v>571</v>
      </c>
      <c r="L265" s="55" t="s">
        <v>571</v>
      </c>
      <c r="M265" s="29" t="s">
        <v>726</v>
      </c>
      <c r="N265" s="29" t="s">
        <v>973</v>
      </c>
      <c r="O265" s="9"/>
      <c r="P265" s="9" t="s">
        <v>76</v>
      </c>
      <c r="Q265" s="28"/>
      <c r="R265" s="29"/>
      <c r="S265" s="9"/>
      <c r="T265" s="9"/>
      <c r="U265" s="9" t="s">
        <v>75</v>
      </c>
      <c r="V265" s="9" t="s">
        <v>75</v>
      </c>
      <c r="W265" s="9"/>
    </row>
    <row r="266" spans="1:23" s="12" customFormat="1">
      <c r="A266" s="46" t="s">
        <v>572</v>
      </c>
      <c r="B266" s="28" t="s">
        <v>1336</v>
      </c>
      <c r="C266" s="28" t="s">
        <v>2330</v>
      </c>
      <c r="D266" s="28" t="s">
        <v>2441</v>
      </c>
      <c r="E266" s="28" t="s">
        <v>91</v>
      </c>
      <c r="F266" s="28" t="s">
        <v>369</v>
      </c>
      <c r="G266" s="28" t="s">
        <v>369</v>
      </c>
      <c r="H266" s="28" t="s">
        <v>2345</v>
      </c>
      <c r="I266" s="28" t="str">
        <f>VLOOKUP(E266,표준용어사전!$C$2:$D$494, 2, FALSE)</f>
        <v>명V20</v>
      </c>
      <c r="J266" s="28" t="s">
        <v>718</v>
      </c>
      <c r="K266" s="29" t="s">
        <v>986</v>
      </c>
      <c r="L266" s="55" t="s">
        <v>571</v>
      </c>
      <c r="M266" s="29" t="s">
        <v>727</v>
      </c>
      <c r="N266" s="29" t="s">
        <v>75</v>
      </c>
      <c r="O266" s="28"/>
      <c r="P266" s="28" t="s">
        <v>76</v>
      </c>
      <c r="Q266" s="28"/>
      <c r="R266" s="29"/>
      <c r="S266" s="28"/>
      <c r="T266" s="28"/>
      <c r="U266" s="9" t="s">
        <v>75</v>
      </c>
      <c r="V266" s="9" t="s">
        <v>75</v>
      </c>
      <c r="W266" s="28"/>
    </row>
    <row r="267" spans="1:23" s="12" customFormat="1">
      <c r="A267" s="46" t="s">
        <v>572</v>
      </c>
      <c r="B267" s="28" t="s">
        <v>1336</v>
      </c>
      <c r="C267" s="28" t="s">
        <v>2330</v>
      </c>
      <c r="D267" s="28" t="s">
        <v>2441</v>
      </c>
      <c r="E267" s="28" t="s">
        <v>92</v>
      </c>
      <c r="F267" s="28" t="s">
        <v>15</v>
      </c>
      <c r="G267" s="28" t="s">
        <v>15</v>
      </c>
      <c r="H267" s="28" t="s">
        <v>2345</v>
      </c>
      <c r="I267" s="28" t="str">
        <f>VLOOKUP(E267,표준용어사전!$C$2:$D$494, 2, FALSE)</f>
        <v>연월일시분초TS</v>
      </c>
      <c r="J267" s="28" t="s">
        <v>719</v>
      </c>
      <c r="K267" s="29" t="s">
        <v>571</v>
      </c>
      <c r="L267" s="55" t="s">
        <v>571</v>
      </c>
      <c r="M267" s="29" t="s">
        <v>726</v>
      </c>
      <c r="N267" s="29" t="s">
        <v>75</v>
      </c>
      <c r="O267" s="28"/>
      <c r="P267" s="28" t="s">
        <v>76</v>
      </c>
      <c r="Q267" s="28"/>
      <c r="R267" s="29"/>
      <c r="S267" s="28"/>
      <c r="T267" s="9"/>
      <c r="U267" s="9" t="s">
        <v>75</v>
      </c>
      <c r="V267" s="9" t="s">
        <v>75</v>
      </c>
      <c r="W267" s="28"/>
    </row>
    <row r="268" spans="1:23" s="12" customFormat="1">
      <c r="A268" s="46" t="s">
        <v>572</v>
      </c>
      <c r="B268" s="28" t="s">
        <v>1336</v>
      </c>
      <c r="C268" s="28" t="s">
        <v>2330</v>
      </c>
      <c r="D268" s="28" t="s">
        <v>2441</v>
      </c>
      <c r="E268" s="28" t="s">
        <v>93</v>
      </c>
      <c r="F268" s="28" t="s">
        <v>370</v>
      </c>
      <c r="G268" s="28" t="s">
        <v>370</v>
      </c>
      <c r="H268" s="28" t="s">
        <v>2345</v>
      </c>
      <c r="I268" s="28" t="str">
        <f>VLOOKUP(E268,표준용어사전!$C$2:$D$494, 2, FALSE)</f>
        <v>명V20</v>
      </c>
      <c r="J268" s="28" t="s">
        <v>718</v>
      </c>
      <c r="K268" s="29" t="s">
        <v>986</v>
      </c>
      <c r="L268" s="55" t="s">
        <v>571</v>
      </c>
      <c r="M268" s="29" t="s">
        <v>727</v>
      </c>
      <c r="N268" s="29" t="s">
        <v>75</v>
      </c>
      <c r="O268" s="28"/>
      <c r="P268" s="28" t="s">
        <v>76</v>
      </c>
      <c r="Q268" s="28"/>
      <c r="R268" s="29"/>
      <c r="S268" s="28"/>
      <c r="T268" s="28"/>
      <c r="U268" s="9" t="s">
        <v>75</v>
      </c>
      <c r="V268" s="9" t="s">
        <v>75</v>
      </c>
      <c r="W268" s="28"/>
    </row>
    <row r="269" spans="1:23" s="12" customFormat="1">
      <c r="A269" s="46" t="s">
        <v>572</v>
      </c>
      <c r="B269" s="28" t="s">
        <v>1336</v>
      </c>
      <c r="C269" s="28" t="s">
        <v>2330</v>
      </c>
      <c r="D269" s="31" t="s">
        <v>2606</v>
      </c>
      <c r="E269" s="28" t="s">
        <v>2103</v>
      </c>
      <c r="F269" s="28" t="s">
        <v>2102</v>
      </c>
      <c r="G269" s="28" t="s">
        <v>2102</v>
      </c>
      <c r="H269" s="28" t="s">
        <v>2346</v>
      </c>
      <c r="I269" s="28" t="str">
        <f>VLOOKUP(E269,표준용어사전!$C$2:$D$494, 2, FALSE)</f>
        <v>명V50</v>
      </c>
      <c r="J269" s="28" t="s">
        <v>718</v>
      </c>
      <c r="K269" s="29">
        <v>50</v>
      </c>
      <c r="L269" s="55" t="s">
        <v>571</v>
      </c>
      <c r="M269" s="29" t="s">
        <v>720</v>
      </c>
      <c r="N269" s="29" t="s">
        <v>973</v>
      </c>
      <c r="O269" s="28" t="s">
        <v>73</v>
      </c>
      <c r="P269" s="28" t="s">
        <v>2737</v>
      </c>
      <c r="Q269" s="28"/>
      <c r="R269" s="29"/>
      <c r="S269" s="28"/>
      <c r="T269" s="28"/>
      <c r="U269" s="28" t="s">
        <v>75</v>
      </c>
      <c r="V269" s="28" t="s">
        <v>75</v>
      </c>
      <c r="W269" s="28"/>
    </row>
    <row r="270" spans="1:23" s="12" customFormat="1">
      <c r="A270" s="46" t="s">
        <v>572</v>
      </c>
      <c r="B270" s="28" t="s">
        <v>1336</v>
      </c>
      <c r="C270" s="28" t="s">
        <v>2330</v>
      </c>
      <c r="D270" s="28" t="s">
        <v>2606</v>
      </c>
      <c r="E270" s="28" t="s">
        <v>295</v>
      </c>
      <c r="F270" s="28" t="s">
        <v>518</v>
      </c>
      <c r="G270" s="28" t="s">
        <v>518</v>
      </c>
      <c r="H270" s="28" t="s">
        <v>2346</v>
      </c>
      <c r="I270" s="28" t="str">
        <f>VLOOKUP(E270,표준용어사전!$C$2:$D$494, 2, FALSE)</f>
        <v>명V50</v>
      </c>
      <c r="J270" s="28" t="s">
        <v>718</v>
      </c>
      <c r="K270" s="29">
        <v>50</v>
      </c>
      <c r="L270" s="55" t="s">
        <v>571</v>
      </c>
      <c r="M270" s="29" t="s">
        <v>720</v>
      </c>
      <c r="N270" s="29" t="s">
        <v>973</v>
      </c>
      <c r="O270" s="28" t="s">
        <v>74</v>
      </c>
      <c r="P270" s="28" t="s">
        <v>76</v>
      </c>
      <c r="Q270" s="28"/>
      <c r="R270" s="29"/>
      <c r="S270" s="28"/>
      <c r="T270" s="28"/>
      <c r="U270" s="9" t="s">
        <v>75</v>
      </c>
      <c r="V270" s="9" t="s">
        <v>75</v>
      </c>
      <c r="W270" s="28"/>
    </row>
    <row r="271" spans="1:23" s="12" customFormat="1">
      <c r="A271" s="46" t="s">
        <v>572</v>
      </c>
      <c r="B271" s="28" t="s">
        <v>1336</v>
      </c>
      <c r="C271" s="28" t="s">
        <v>2330</v>
      </c>
      <c r="D271" s="9" t="s">
        <v>2606</v>
      </c>
      <c r="E271" s="28" t="s">
        <v>2107</v>
      </c>
      <c r="F271" s="28" t="s">
        <v>2106</v>
      </c>
      <c r="G271" s="28" t="s">
        <v>2106</v>
      </c>
      <c r="H271" s="28" t="s">
        <v>2346</v>
      </c>
      <c r="I271" s="28" t="str">
        <f>VLOOKUP(E271,표준용어사전!$C$2:$D$494, 2, FALSE)</f>
        <v>수N10,3</v>
      </c>
      <c r="J271" s="28" t="s">
        <v>748</v>
      </c>
      <c r="K271" s="29" t="s">
        <v>1061</v>
      </c>
      <c r="L271" s="55" t="s">
        <v>980</v>
      </c>
      <c r="M271" s="29" t="s">
        <v>2593</v>
      </c>
      <c r="N271" s="10" t="s">
        <v>75</v>
      </c>
      <c r="O271" s="9"/>
      <c r="P271" s="9" t="s">
        <v>76</v>
      </c>
      <c r="Q271" s="28"/>
      <c r="R271" s="29"/>
      <c r="S271" s="9"/>
      <c r="T271" s="9"/>
      <c r="U271" s="9" t="s">
        <v>75</v>
      </c>
      <c r="V271" s="9" t="s">
        <v>75</v>
      </c>
      <c r="W271" s="9"/>
    </row>
    <row r="272" spans="1:23" s="12" customFormat="1">
      <c r="A272" s="46" t="s">
        <v>572</v>
      </c>
      <c r="B272" s="28" t="s">
        <v>1336</v>
      </c>
      <c r="C272" s="28" t="s">
        <v>2330</v>
      </c>
      <c r="D272" s="9" t="s">
        <v>2606</v>
      </c>
      <c r="E272" s="28" t="s">
        <v>2109</v>
      </c>
      <c r="F272" s="28" t="s">
        <v>2108</v>
      </c>
      <c r="G272" s="28" t="s">
        <v>2108</v>
      </c>
      <c r="H272" s="28" t="s">
        <v>2346</v>
      </c>
      <c r="I272" s="28" t="str">
        <f>VLOOKUP(E272,표준용어사전!$C$2:$D$494, 2, FALSE)</f>
        <v>수N10,3</v>
      </c>
      <c r="J272" s="28" t="s">
        <v>748</v>
      </c>
      <c r="K272" s="29" t="s">
        <v>1061</v>
      </c>
      <c r="L272" s="55" t="s">
        <v>980</v>
      </c>
      <c r="M272" s="29" t="s">
        <v>2593</v>
      </c>
      <c r="N272" s="10" t="s">
        <v>75</v>
      </c>
      <c r="O272" s="9"/>
      <c r="P272" s="9" t="s">
        <v>76</v>
      </c>
      <c r="Q272" s="28"/>
      <c r="R272" s="29"/>
      <c r="S272" s="9"/>
      <c r="T272" s="9"/>
      <c r="U272" s="9" t="s">
        <v>75</v>
      </c>
      <c r="V272" s="9" t="s">
        <v>75</v>
      </c>
      <c r="W272" s="9"/>
    </row>
    <row r="273" spans="1:23" s="12" customFormat="1">
      <c r="A273" s="46" t="s">
        <v>572</v>
      </c>
      <c r="B273" s="28" t="s">
        <v>1336</v>
      </c>
      <c r="C273" s="28" t="s">
        <v>2330</v>
      </c>
      <c r="D273" s="9" t="s">
        <v>2606</v>
      </c>
      <c r="E273" s="28" t="s">
        <v>2111</v>
      </c>
      <c r="F273" s="28" t="s">
        <v>2110</v>
      </c>
      <c r="G273" s="28" t="s">
        <v>2110</v>
      </c>
      <c r="H273" s="28" t="s">
        <v>2346</v>
      </c>
      <c r="I273" s="28" t="str">
        <f>VLOOKUP(E273,표준용어사전!$C$2:$D$494, 2, FALSE)</f>
        <v>연월일시분초TS</v>
      </c>
      <c r="J273" s="28" t="s">
        <v>719</v>
      </c>
      <c r="K273" s="29" t="s">
        <v>571</v>
      </c>
      <c r="L273" s="55" t="s">
        <v>571</v>
      </c>
      <c r="M273" s="29" t="s">
        <v>726</v>
      </c>
      <c r="N273" s="29" t="s">
        <v>75</v>
      </c>
      <c r="O273" s="9"/>
      <c r="P273" s="9" t="s">
        <v>76</v>
      </c>
      <c r="Q273" s="28"/>
      <c r="R273" s="29"/>
      <c r="S273" s="9"/>
      <c r="T273" s="9"/>
      <c r="U273" s="9" t="s">
        <v>75</v>
      </c>
      <c r="V273" s="9" t="s">
        <v>75</v>
      </c>
      <c r="W273" s="9"/>
    </row>
    <row r="274" spans="1:23" s="12" customFormat="1">
      <c r="A274" s="46" t="s">
        <v>572</v>
      </c>
      <c r="B274" s="28" t="s">
        <v>1336</v>
      </c>
      <c r="C274" s="28" t="s">
        <v>2330</v>
      </c>
      <c r="D274" s="9" t="s">
        <v>2607</v>
      </c>
      <c r="E274" s="28" t="s">
        <v>2103</v>
      </c>
      <c r="F274" s="28" t="s">
        <v>2102</v>
      </c>
      <c r="G274" s="28" t="s">
        <v>2102</v>
      </c>
      <c r="H274" s="28" t="s">
        <v>2347</v>
      </c>
      <c r="I274" s="28" t="str">
        <f>VLOOKUP(E274,표준용어사전!$C$2:$D$494, 2, FALSE)</f>
        <v>명V50</v>
      </c>
      <c r="J274" s="28" t="s">
        <v>718</v>
      </c>
      <c r="K274" s="29">
        <v>50</v>
      </c>
      <c r="L274" s="55" t="s">
        <v>571</v>
      </c>
      <c r="M274" s="29" t="s">
        <v>720</v>
      </c>
      <c r="N274" s="10" t="s">
        <v>973</v>
      </c>
      <c r="O274" s="9" t="s">
        <v>73</v>
      </c>
      <c r="P274" s="9"/>
      <c r="Q274" s="28"/>
      <c r="R274" s="29"/>
      <c r="S274" s="9"/>
      <c r="T274" s="9"/>
      <c r="U274" s="9" t="s">
        <v>75</v>
      </c>
      <c r="V274" s="9" t="s">
        <v>75</v>
      </c>
      <c r="W274" s="9"/>
    </row>
    <row r="275" spans="1:23" s="12" customFormat="1">
      <c r="A275" s="46" t="s">
        <v>572</v>
      </c>
      <c r="B275" s="28" t="s">
        <v>1336</v>
      </c>
      <c r="C275" s="28" t="s">
        <v>2330</v>
      </c>
      <c r="D275" s="9" t="s">
        <v>2607</v>
      </c>
      <c r="E275" s="28" t="s">
        <v>2105</v>
      </c>
      <c r="F275" s="28" t="s">
        <v>2413</v>
      </c>
      <c r="G275" s="28" t="s">
        <v>2413</v>
      </c>
      <c r="H275" s="28" t="s">
        <v>2347</v>
      </c>
      <c r="I275" s="28" t="str">
        <f>VLOOKUP(E275,표준용어사전!$C$2:$D$494, 2, FALSE)</f>
        <v>명V256</v>
      </c>
      <c r="J275" s="28" t="s">
        <v>718</v>
      </c>
      <c r="K275" s="29">
        <v>256</v>
      </c>
      <c r="L275" s="55" t="s">
        <v>571</v>
      </c>
      <c r="M275" s="29" t="s">
        <v>730</v>
      </c>
      <c r="N275" s="10" t="s">
        <v>75</v>
      </c>
      <c r="O275" s="9"/>
      <c r="P275" s="9" t="s">
        <v>76</v>
      </c>
      <c r="Q275" s="28"/>
      <c r="R275" s="29"/>
      <c r="S275" s="9"/>
      <c r="T275" s="9"/>
      <c r="U275" s="9" t="s">
        <v>75</v>
      </c>
      <c r="V275" s="9" t="s">
        <v>75</v>
      </c>
      <c r="W275" s="9"/>
    </row>
    <row r="276" spans="1:23" s="12" customFormat="1">
      <c r="A276" s="46" t="s">
        <v>572</v>
      </c>
      <c r="B276" s="28" t="s">
        <v>1336</v>
      </c>
      <c r="C276" s="28" t="s">
        <v>2330</v>
      </c>
      <c r="D276" s="9" t="s">
        <v>2607</v>
      </c>
      <c r="E276" s="28" t="s">
        <v>90</v>
      </c>
      <c r="F276" s="28" t="s">
        <v>14</v>
      </c>
      <c r="G276" s="28" t="s">
        <v>14</v>
      </c>
      <c r="H276" s="28" t="s">
        <v>2347</v>
      </c>
      <c r="I276" s="28" t="str">
        <f>VLOOKUP(E276,표준용어사전!$C$2:$D$494, 2, FALSE)</f>
        <v>연월일시분초TS</v>
      </c>
      <c r="J276" s="28" t="s">
        <v>719</v>
      </c>
      <c r="K276" s="29" t="s">
        <v>571</v>
      </c>
      <c r="L276" s="55" t="s">
        <v>571</v>
      </c>
      <c r="M276" s="29" t="s">
        <v>726</v>
      </c>
      <c r="N276" s="10" t="s">
        <v>75</v>
      </c>
      <c r="O276" s="9"/>
      <c r="P276" s="9" t="s">
        <v>76</v>
      </c>
      <c r="Q276" s="28"/>
      <c r="R276" s="29"/>
      <c r="S276" s="9"/>
      <c r="T276" s="9"/>
      <c r="U276" s="9" t="s">
        <v>75</v>
      </c>
      <c r="V276" s="9" t="s">
        <v>75</v>
      </c>
      <c r="W276" s="9"/>
    </row>
    <row r="277" spans="1:23" s="12" customFormat="1">
      <c r="A277" s="46" t="s">
        <v>711</v>
      </c>
      <c r="B277" s="28" t="s">
        <v>1336</v>
      </c>
      <c r="C277" s="28" t="s">
        <v>2330</v>
      </c>
      <c r="D277" s="9" t="s">
        <v>2608</v>
      </c>
      <c r="E277" s="28" t="s">
        <v>2092</v>
      </c>
      <c r="F277" s="28" t="s">
        <v>527</v>
      </c>
      <c r="G277" s="28" t="s">
        <v>527</v>
      </c>
      <c r="H277" s="28" t="s">
        <v>310</v>
      </c>
      <c r="I277" s="28" t="str">
        <f>VLOOKUP(E277,표준용어사전!$C$2:$D$494, 2, FALSE)</f>
        <v>명V20</v>
      </c>
      <c r="J277" s="28" t="s">
        <v>718</v>
      </c>
      <c r="K277" s="29" t="s">
        <v>986</v>
      </c>
      <c r="L277" s="55" t="s">
        <v>571</v>
      </c>
      <c r="M277" s="29" t="s">
        <v>727</v>
      </c>
      <c r="N277" s="10" t="s">
        <v>973</v>
      </c>
      <c r="O277" s="9" t="s">
        <v>73</v>
      </c>
      <c r="P277" s="9" t="s">
        <v>76</v>
      </c>
      <c r="Q277" s="28"/>
      <c r="R277" s="29"/>
      <c r="S277" s="9"/>
      <c r="T277" s="9"/>
      <c r="U277" s="9" t="s">
        <v>75</v>
      </c>
      <c r="V277" s="9" t="s">
        <v>75</v>
      </c>
      <c r="W277" s="9"/>
    </row>
    <row r="278" spans="1:23" s="12" customFormat="1">
      <c r="A278" s="46" t="s">
        <v>711</v>
      </c>
      <c r="B278" s="28" t="s">
        <v>1336</v>
      </c>
      <c r="C278" s="28" t="s">
        <v>2330</v>
      </c>
      <c r="D278" s="9" t="s">
        <v>2608</v>
      </c>
      <c r="E278" s="28" t="s">
        <v>2094</v>
      </c>
      <c r="F278" s="28" t="s">
        <v>525</v>
      </c>
      <c r="G278" s="28" t="s">
        <v>525</v>
      </c>
      <c r="H278" s="28" t="s">
        <v>310</v>
      </c>
      <c r="I278" s="28" t="str">
        <f>VLOOKUP(E278,표준용어사전!$C$2:$D$494, 2, FALSE)</f>
        <v>명V20</v>
      </c>
      <c r="J278" s="28" t="s">
        <v>718</v>
      </c>
      <c r="K278" s="29" t="s">
        <v>986</v>
      </c>
      <c r="L278" s="55" t="s">
        <v>571</v>
      </c>
      <c r="M278" s="29" t="s">
        <v>727</v>
      </c>
      <c r="N278" s="10" t="s">
        <v>75</v>
      </c>
      <c r="O278" s="9"/>
      <c r="P278" s="9" t="s">
        <v>76</v>
      </c>
      <c r="Q278" s="28"/>
      <c r="R278" s="29"/>
      <c r="S278" s="9"/>
      <c r="T278" s="9"/>
      <c r="U278" s="9" t="s">
        <v>75</v>
      </c>
      <c r="V278" s="9" t="s">
        <v>75</v>
      </c>
      <c r="W278" s="9"/>
    </row>
    <row r="279" spans="1:23" s="12" customFormat="1">
      <c r="A279" s="46" t="s">
        <v>711</v>
      </c>
      <c r="B279" s="28" t="s">
        <v>1336</v>
      </c>
      <c r="C279" s="28" t="s">
        <v>2330</v>
      </c>
      <c r="D279" s="9" t="s">
        <v>2608</v>
      </c>
      <c r="E279" s="28" t="s">
        <v>2096</v>
      </c>
      <c r="F279" s="28" t="s">
        <v>528</v>
      </c>
      <c r="G279" s="28" t="s">
        <v>528</v>
      </c>
      <c r="H279" s="28" t="s">
        <v>310</v>
      </c>
      <c r="I279" s="28" t="str">
        <f>VLOOKUP(E279,표준용어사전!$C$2:$D$494, 2, FALSE)</f>
        <v>연월일시분초TS</v>
      </c>
      <c r="J279" s="28" t="s">
        <v>719</v>
      </c>
      <c r="K279" s="29" t="s">
        <v>571</v>
      </c>
      <c r="L279" s="55" t="s">
        <v>571</v>
      </c>
      <c r="M279" s="29" t="s">
        <v>726</v>
      </c>
      <c r="N279" s="10" t="s">
        <v>75</v>
      </c>
      <c r="O279" s="9"/>
      <c r="P279" s="9" t="s">
        <v>76</v>
      </c>
      <c r="Q279" s="28"/>
      <c r="R279" s="29"/>
      <c r="S279" s="9"/>
      <c r="T279" s="9"/>
      <c r="U279" s="9" t="s">
        <v>75</v>
      </c>
      <c r="V279" s="9" t="s">
        <v>75</v>
      </c>
      <c r="W279" s="9"/>
    </row>
    <row r="280" spans="1:23" s="12" customFormat="1">
      <c r="A280" s="46" t="s">
        <v>711</v>
      </c>
      <c r="B280" s="28" t="s">
        <v>1336</v>
      </c>
      <c r="C280" s="28" t="s">
        <v>2330</v>
      </c>
      <c r="D280" s="28" t="s">
        <v>2608</v>
      </c>
      <c r="E280" s="28" t="s">
        <v>2098</v>
      </c>
      <c r="F280" s="28" t="s">
        <v>2414</v>
      </c>
      <c r="G280" s="28" t="s">
        <v>2414</v>
      </c>
      <c r="H280" s="28" t="s">
        <v>310</v>
      </c>
      <c r="I280" s="28" t="str">
        <f>VLOOKUP(E280,표준용어사전!$C$2:$D$494, 2, FALSE)</f>
        <v>코드C3</v>
      </c>
      <c r="J280" s="28" t="s">
        <v>709</v>
      </c>
      <c r="K280" s="29">
        <v>3</v>
      </c>
      <c r="L280" s="55" t="s">
        <v>571</v>
      </c>
      <c r="M280" s="29" t="s">
        <v>981</v>
      </c>
      <c r="N280" s="29" t="s">
        <v>75</v>
      </c>
      <c r="O280" s="28"/>
      <c r="P280" s="28" t="s">
        <v>76</v>
      </c>
      <c r="Q280" s="28"/>
      <c r="R280" s="29"/>
      <c r="S280" s="28"/>
      <c r="T280" s="28"/>
      <c r="U280" s="9" t="s">
        <v>75</v>
      </c>
      <c r="V280" s="9" t="s">
        <v>75</v>
      </c>
      <c r="W280" s="9"/>
    </row>
    <row r="281" spans="1:23" s="12" customFormat="1">
      <c r="A281" s="46" t="s">
        <v>711</v>
      </c>
      <c r="B281" s="28" t="s">
        <v>1336</v>
      </c>
      <c r="C281" s="28" t="s">
        <v>2330</v>
      </c>
      <c r="D281" s="9" t="s">
        <v>2608</v>
      </c>
      <c r="E281" s="28" t="s">
        <v>2099</v>
      </c>
      <c r="F281" s="28" t="s">
        <v>529</v>
      </c>
      <c r="G281" s="28" t="s">
        <v>529</v>
      </c>
      <c r="H281" s="28" t="s">
        <v>310</v>
      </c>
      <c r="I281" s="28" t="str">
        <f>VLOOKUP(E281,표준용어사전!$C$2:$D$494, 2, FALSE)</f>
        <v>수N14</v>
      </c>
      <c r="J281" s="28" t="s">
        <v>748</v>
      </c>
      <c r="K281" s="29" t="s">
        <v>1137</v>
      </c>
      <c r="L281" s="55" t="s">
        <v>571</v>
      </c>
      <c r="M281" s="29" t="s">
        <v>776</v>
      </c>
      <c r="N281" s="10" t="s">
        <v>75</v>
      </c>
      <c r="O281" s="9"/>
      <c r="P281" s="9" t="s">
        <v>76</v>
      </c>
      <c r="Q281" s="28"/>
      <c r="R281" s="29"/>
      <c r="S281" s="9"/>
      <c r="T281" s="9"/>
      <c r="U281" s="9" t="s">
        <v>75</v>
      </c>
      <c r="V281" s="9" t="s">
        <v>75</v>
      </c>
      <c r="W281" s="9"/>
    </row>
    <row r="282" spans="1:23" s="12" customFormat="1">
      <c r="A282" s="46" t="s">
        <v>711</v>
      </c>
      <c r="B282" s="28" t="s">
        <v>1336</v>
      </c>
      <c r="C282" s="28" t="s">
        <v>2330</v>
      </c>
      <c r="D282" s="9" t="s">
        <v>2608</v>
      </c>
      <c r="E282" s="28" t="s">
        <v>2100</v>
      </c>
      <c r="F282" s="28" t="s">
        <v>530</v>
      </c>
      <c r="G282" s="28" t="s">
        <v>530</v>
      </c>
      <c r="H282" s="28" t="s">
        <v>310</v>
      </c>
      <c r="I282" s="28" t="str">
        <f>VLOOKUP(E282,표준용어사전!$C$2:$D$494, 2, FALSE)</f>
        <v>내용V2000</v>
      </c>
      <c r="J282" s="28" t="s">
        <v>718</v>
      </c>
      <c r="K282" s="29">
        <v>2000</v>
      </c>
      <c r="L282" s="55" t="s">
        <v>571</v>
      </c>
      <c r="M282" s="29" t="s">
        <v>728</v>
      </c>
      <c r="N282" s="10" t="s">
        <v>75</v>
      </c>
      <c r="O282" s="9"/>
      <c r="P282" s="9" t="s">
        <v>76</v>
      </c>
      <c r="Q282" s="28"/>
      <c r="R282" s="29"/>
      <c r="S282" s="9"/>
      <c r="T282" s="9"/>
      <c r="U282" s="9" t="s">
        <v>75</v>
      </c>
      <c r="V282" s="9" t="s">
        <v>75</v>
      </c>
      <c r="W282" s="9"/>
    </row>
    <row r="283" spans="1:23" s="12" customFormat="1">
      <c r="A283" s="46" t="s">
        <v>711</v>
      </c>
      <c r="B283" s="28" t="s">
        <v>1336</v>
      </c>
      <c r="C283" s="28" t="s">
        <v>2330</v>
      </c>
      <c r="D283" s="9" t="s">
        <v>2608</v>
      </c>
      <c r="E283" s="28" t="s">
        <v>2101</v>
      </c>
      <c r="F283" s="28" t="s">
        <v>773</v>
      </c>
      <c r="G283" s="28" t="s">
        <v>773</v>
      </c>
      <c r="H283" s="28" t="s">
        <v>310</v>
      </c>
      <c r="I283" s="28" t="str">
        <f>VLOOKUP(E283,표준용어사전!$C$2:$D$494, 2, FALSE)</f>
        <v>수N14</v>
      </c>
      <c r="J283" s="28" t="s">
        <v>748</v>
      </c>
      <c r="K283" s="29" t="s">
        <v>1137</v>
      </c>
      <c r="L283" s="55" t="s">
        <v>571</v>
      </c>
      <c r="M283" s="29" t="s">
        <v>776</v>
      </c>
      <c r="N283" s="10" t="s">
        <v>75</v>
      </c>
      <c r="O283" s="9"/>
      <c r="P283" s="9" t="s">
        <v>76</v>
      </c>
      <c r="Q283" s="28"/>
      <c r="R283" s="29"/>
      <c r="S283" s="9"/>
      <c r="T283" s="9"/>
      <c r="U283" s="9" t="s">
        <v>75</v>
      </c>
      <c r="V283" s="9" t="s">
        <v>75</v>
      </c>
      <c r="W283" s="9"/>
    </row>
    <row r="284" spans="1:23" s="12" customFormat="1">
      <c r="A284" s="46" t="s">
        <v>711</v>
      </c>
      <c r="B284" s="28" t="s">
        <v>1336</v>
      </c>
      <c r="C284" s="28" t="s">
        <v>2330</v>
      </c>
      <c r="D284" s="9" t="s">
        <v>2609</v>
      </c>
      <c r="E284" s="28" t="s">
        <v>2093</v>
      </c>
      <c r="F284" s="28" t="s">
        <v>524</v>
      </c>
      <c r="G284" s="28" t="s">
        <v>524</v>
      </c>
      <c r="H284" s="28" t="s">
        <v>305</v>
      </c>
      <c r="I284" s="28" t="str">
        <f>VLOOKUP(E284,표준용어사전!$C$2:$D$494, 2, FALSE)</f>
        <v>명V100</v>
      </c>
      <c r="J284" s="28" t="s">
        <v>718</v>
      </c>
      <c r="K284" s="29">
        <v>100</v>
      </c>
      <c r="L284" s="55" t="s">
        <v>571</v>
      </c>
      <c r="M284" s="29" t="s">
        <v>729</v>
      </c>
      <c r="N284" s="10" t="s">
        <v>973</v>
      </c>
      <c r="O284" s="9"/>
      <c r="P284" s="9" t="s">
        <v>76</v>
      </c>
      <c r="Q284" s="28"/>
      <c r="R284" s="29"/>
      <c r="S284" s="9"/>
      <c r="T284" s="9"/>
      <c r="U284" s="9" t="s">
        <v>75</v>
      </c>
      <c r="V284" s="9" t="s">
        <v>75</v>
      </c>
      <c r="W284" s="9"/>
    </row>
    <row r="285" spans="1:23" s="12" customFormat="1">
      <c r="A285" s="46" t="s">
        <v>711</v>
      </c>
      <c r="B285" s="28" t="s">
        <v>1336</v>
      </c>
      <c r="C285" s="28" t="s">
        <v>2330</v>
      </c>
      <c r="D285" s="9" t="s">
        <v>2609</v>
      </c>
      <c r="E285" s="28" t="s">
        <v>2094</v>
      </c>
      <c r="F285" s="28" t="s">
        <v>525</v>
      </c>
      <c r="G285" s="28" t="s">
        <v>525</v>
      </c>
      <c r="H285" s="28" t="s">
        <v>305</v>
      </c>
      <c r="I285" s="28" t="str">
        <f>VLOOKUP(E285,표준용어사전!$C$2:$D$494, 2, FALSE)</f>
        <v>명V20</v>
      </c>
      <c r="J285" s="28" t="s">
        <v>718</v>
      </c>
      <c r="K285" s="29" t="s">
        <v>986</v>
      </c>
      <c r="L285" s="55" t="s">
        <v>571</v>
      </c>
      <c r="M285" s="29" t="s">
        <v>727</v>
      </c>
      <c r="N285" s="29" t="s">
        <v>973</v>
      </c>
      <c r="O285" s="9" t="s">
        <v>73</v>
      </c>
      <c r="P285" s="9" t="s">
        <v>76</v>
      </c>
      <c r="Q285" s="28"/>
      <c r="R285" s="29"/>
      <c r="S285" s="9"/>
      <c r="T285" s="9"/>
      <c r="U285" s="9" t="s">
        <v>75</v>
      </c>
      <c r="V285" s="9" t="s">
        <v>75</v>
      </c>
      <c r="W285" s="9"/>
    </row>
    <row r="286" spans="1:23" s="12" customFormat="1">
      <c r="A286" s="46" t="s">
        <v>711</v>
      </c>
      <c r="B286" s="28" t="s">
        <v>1336</v>
      </c>
      <c r="C286" s="28" t="s">
        <v>2330</v>
      </c>
      <c r="D286" s="28" t="s">
        <v>2609</v>
      </c>
      <c r="E286" s="28" t="s">
        <v>2095</v>
      </c>
      <c r="F286" s="28" t="s">
        <v>526</v>
      </c>
      <c r="G286" s="28" t="s">
        <v>526</v>
      </c>
      <c r="H286" s="28" t="s">
        <v>305</v>
      </c>
      <c r="I286" s="28" t="str">
        <f>VLOOKUP(E286,표준용어사전!$C$2:$D$494, 2, FALSE)</f>
        <v>연월일시분초TS</v>
      </c>
      <c r="J286" s="28" t="s">
        <v>719</v>
      </c>
      <c r="K286" s="29" t="s">
        <v>571</v>
      </c>
      <c r="L286" s="55" t="s">
        <v>571</v>
      </c>
      <c r="M286" s="29" t="s">
        <v>726</v>
      </c>
      <c r="N286" s="29" t="s">
        <v>75</v>
      </c>
      <c r="O286" s="28"/>
      <c r="P286" s="28" t="s">
        <v>76</v>
      </c>
      <c r="Q286" s="28"/>
      <c r="R286" s="29"/>
      <c r="S286" s="28"/>
      <c r="T286" s="28"/>
      <c r="U286" s="9" t="s">
        <v>75</v>
      </c>
      <c r="V286" s="9" t="s">
        <v>75</v>
      </c>
      <c r="W286" s="28"/>
    </row>
    <row r="287" spans="1:23" s="12" customFormat="1">
      <c r="A287" s="46" t="s">
        <v>711</v>
      </c>
      <c r="B287" s="28" t="s">
        <v>1336</v>
      </c>
      <c r="C287" s="28" t="s">
        <v>2330</v>
      </c>
      <c r="D287" s="28" t="s">
        <v>2442</v>
      </c>
      <c r="E287" s="28" t="s">
        <v>2085</v>
      </c>
      <c r="F287" s="28" t="s">
        <v>519</v>
      </c>
      <c r="G287" s="28" t="s">
        <v>519</v>
      </c>
      <c r="H287" s="28" t="s">
        <v>298</v>
      </c>
      <c r="I287" s="28" t="str">
        <f>VLOOKUP(E287,표준용어사전!$C$2:$D$494, 2, FALSE)</f>
        <v>명V20</v>
      </c>
      <c r="J287" s="28" t="s">
        <v>718</v>
      </c>
      <c r="K287" s="29" t="s">
        <v>986</v>
      </c>
      <c r="L287" s="55" t="s">
        <v>571</v>
      </c>
      <c r="M287" s="29" t="s">
        <v>727</v>
      </c>
      <c r="N287" s="29" t="s">
        <v>973</v>
      </c>
      <c r="O287" s="28" t="s">
        <v>73</v>
      </c>
      <c r="P287" s="28" t="s">
        <v>76</v>
      </c>
      <c r="Q287" s="28"/>
      <c r="R287" s="29"/>
      <c r="S287" s="28"/>
      <c r="T287" s="28"/>
      <c r="U287" s="9" t="s">
        <v>75</v>
      </c>
      <c r="V287" s="9" t="s">
        <v>75</v>
      </c>
      <c r="W287" s="28"/>
    </row>
    <row r="288" spans="1:23" s="12" customFormat="1">
      <c r="A288" s="46" t="s">
        <v>711</v>
      </c>
      <c r="B288" s="28" t="s">
        <v>1336</v>
      </c>
      <c r="C288" s="28" t="s">
        <v>2330</v>
      </c>
      <c r="D288" s="9" t="s">
        <v>2442</v>
      </c>
      <c r="E288" s="28" t="s">
        <v>2087</v>
      </c>
      <c r="F288" s="28" t="s">
        <v>2415</v>
      </c>
      <c r="G288" s="28" t="s">
        <v>2415</v>
      </c>
      <c r="H288" s="28" t="s">
        <v>298</v>
      </c>
      <c r="I288" s="28" t="str">
        <f>VLOOKUP(E288,표준용어사전!$C$2:$D$494, 2, FALSE)</f>
        <v>주소V2000</v>
      </c>
      <c r="J288" s="28" t="s">
        <v>718</v>
      </c>
      <c r="K288" s="29">
        <v>2000</v>
      </c>
      <c r="L288" s="55" t="s">
        <v>571</v>
      </c>
      <c r="M288" s="29" t="s">
        <v>728</v>
      </c>
      <c r="N288" s="10" t="s">
        <v>75</v>
      </c>
      <c r="O288" s="9"/>
      <c r="P288" s="9" t="s">
        <v>76</v>
      </c>
      <c r="Q288" s="28"/>
      <c r="R288" s="29"/>
      <c r="S288" s="9"/>
      <c r="T288" s="9"/>
      <c r="U288" s="9" t="s">
        <v>75</v>
      </c>
      <c r="V288" s="9" t="s">
        <v>75</v>
      </c>
      <c r="W288" s="9"/>
    </row>
    <row r="289" spans="1:23" s="12" customFormat="1">
      <c r="A289" s="46" t="s">
        <v>711</v>
      </c>
      <c r="B289" s="28" t="s">
        <v>1336</v>
      </c>
      <c r="C289" s="28" t="s">
        <v>2330</v>
      </c>
      <c r="D289" s="28" t="s">
        <v>2442</v>
      </c>
      <c r="E289" s="28" t="s">
        <v>2088</v>
      </c>
      <c r="F289" s="28" t="s">
        <v>521</v>
      </c>
      <c r="G289" s="28" t="s">
        <v>521</v>
      </c>
      <c r="H289" s="28" t="s">
        <v>298</v>
      </c>
      <c r="I289" s="28" t="str">
        <f>VLOOKUP(E289,표준용어사전!$C$2:$D$494, 2, FALSE)</f>
        <v>명V512</v>
      </c>
      <c r="J289" s="28" t="s">
        <v>718</v>
      </c>
      <c r="K289" s="29">
        <v>512</v>
      </c>
      <c r="L289" s="55" t="s">
        <v>571</v>
      </c>
      <c r="M289" s="29" t="s">
        <v>721</v>
      </c>
      <c r="N289" s="29" t="s">
        <v>75</v>
      </c>
      <c r="O289" s="28"/>
      <c r="P289" s="28" t="s">
        <v>76</v>
      </c>
      <c r="Q289" s="28"/>
      <c r="R289" s="29"/>
      <c r="S289" s="28"/>
      <c r="T289" s="28"/>
      <c r="U289" s="9" t="s">
        <v>75</v>
      </c>
      <c r="V289" s="9" t="s">
        <v>75</v>
      </c>
      <c r="W289" s="28"/>
    </row>
    <row r="290" spans="1:23" s="12" customFormat="1">
      <c r="A290" s="46" t="s">
        <v>711</v>
      </c>
      <c r="B290" s="28" t="s">
        <v>1336</v>
      </c>
      <c r="C290" s="28" t="s">
        <v>2330</v>
      </c>
      <c r="D290" s="9" t="s">
        <v>2442</v>
      </c>
      <c r="E290" s="28" t="s">
        <v>2090</v>
      </c>
      <c r="F290" s="28" t="s">
        <v>2416</v>
      </c>
      <c r="G290" s="28" t="s">
        <v>2416</v>
      </c>
      <c r="H290" s="28" t="s">
        <v>298</v>
      </c>
      <c r="I290" s="28" t="str">
        <f>VLOOKUP(E290,표준용어사전!$C$2:$D$494, 2, FALSE)</f>
        <v>내용V2000</v>
      </c>
      <c r="J290" s="28" t="s">
        <v>718</v>
      </c>
      <c r="K290" s="29">
        <v>2000</v>
      </c>
      <c r="L290" s="55" t="s">
        <v>571</v>
      </c>
      <c r="M290" s="29" t="s">
        <v>728</v>
      </c>
      <c r="N290" s="10" t="s">
        <v>75</v>
      </c>
      <c r="O290" s="9"/>
      <c r="P290" s="9" t="s">
        <v>76</v>
      </c>
      <c r="Q290" s="28"/>
      <c r="R290" s="29"/>
      <c r="S290" s="9"/>
      <c r="T290" s="9"/>
      <c r="U290" s="9" t="s">
        <v>75</v>
      </c>
      <c r="V290" s="9" t="s">
        <v>75</v>
      </c>
      <c r="W290" s="9"/>
    </row>
    <row r="291" spans="1:23" s="12" customFormat="1">
      <c r="A291" s="46" t="s">
        <v>711</v>
      </c>
      <c r="B291" s="28" t="s">
        <v>1336</v>
      </c>
      <c r="C291" s="28" t="s">
        <v>2330</v>
      </c>
      <c r="D291" s="9" t="s">
        <v>2442</v>
      </c>
      <c r="E291" s="28" t="s">
        <v>2091</v>
      </c>
      <c r="F291" s="28" t="s">
        <v>523</v>
      </c>
      <c r="G291" s="28" t="s">
        <v>523</v>
      </c>
      <c r="H291" s="28" t="s">
        <v>298</v>
      </c>
      <c r="I291" s="28" t="str">
        <f>VLOOKUP(E291,표준용어사전!$C$2:$D$494, 2, FALSE)</f>
        <v>연월일시분초TS</v>
      </c>
      <c r="J291" s="28" t="s">
        <v>719</v>
      </c>
      <c r="K291" s="29" t="s">
        <v>571</v>
      </c>
      <c r="L291" s="55" t="s">
        <v>571</v>
      </c>
      <c r="M291" s="29" t="s">
        <v>726</v>
      </c>
      <c r="N291" s="10" t="s">
        <v>75</v>
      </c>
      <c r="O291" s="9"/>
      <c r="P291" s="9" t="s">
        <v>76</v>
      </c>
      <c r="Q291" s="28"/>
      <c r="R291" s="29"/>
      <c r="S291" s="9"/>
      <c r="T291" s="9"/>
      <c r="U291" s="9" t="s">
        <v>75</v>
      </c>
      <c r="V291" s="9" t="s">
        <v>75</v>
      </c>
      <c r="W291" s="9"/>
    </row>
    <row r="292" spans="1:23" s="12" customFormat="1">
      <c r="A292" s="46" t="s">
        <v>711</v>
      </c>
      <c r="B292" s="28" t="s">
        <v>1336</v>
      </c>
      <c r="C292" s="28" t="s">
        <v>2330</v>
      </c>
      <c r="D292" s="9" t="s">
        <v>2442</v>
      </c>
      <c r="E292" s="28" t="s">
        <v>2092</v>
      </c>
      <c r="F292" s="28" t="s">
        <v>527</v>
      </c>
      <c r="G292" s="28" t="s">
        <v>527</v>
      </c>
      <c r="H292" s="28" t="s">
        <v>298</v>
      </c>
      <c r="I292" s="28" t="str">
        <f>VLOOKUP(E292,표준용어사전!$C$2:$D$494, 2, FALSE)</f>
        <v>명V20</v>
      </c>
      <c r="J292" s="28" t="s">
        <v>718</v>
      </c>
      <c r="K292" s="29" t="s">
        <v>986</v>
      </c>
      <c r="L292" s="55" t="s">
        <v>571</v>
      </c>
      <c r="M292" s="29" t="s">
        <v>727</v>
      </c>
      <c r="N292" s="10" t="s">
        <v>973</v>
      </c>
      <c r="O292" s="9"/>
      <c r="P292" s="9" t="s">
        <v>76</v>
      </c>
      <c r="Q292" s="28"/>
      <c r="R292" s="29"/>
      <c r="S292" s="9"/>
      <c r="T292" s="9"/>
      <c r="U292" s="9" t="s">
        <v>75</v>
      </c>
      <c r="V292" s="9" t="s">
        <v>75</v>
      </c>
      <c r="W292" s="9"/>
    </row>
    <row r="293" spans="1:23" s="12" customFormat="1">
      <c r="A293" s="46" t="s">
        <v>711</v>
      </c>
      <c r="B293" s="28" t="s">
        <v>1336</v>
      </c>
      <c r="C293" s="28" t="s">
        <v>2330</v>
      </c>
      <c r="D293" s="9" t="s">
        <v>2442</v>
      </c>
      <c r="E293" s="28" t="s">
        <v>2319</v>
      </c>
      <c r="F293" s="28" t="s">
        <v>2318</v>
      </c>
      <c r="G293" s="28" t="s">
        <v>2318</v>
      </c>
      <c r="H293" s="28" t="s">
        <v>298</v>
      </c>
      <c r="I293" s="28" t="str">
        <f>VLOOKUP(E293,표준용어사전!$C$2:$D$494, 2, FALSE)</f>
        <v>수N10,3</v>
      </c>
      <c r="J293" s="28" t="s">
        <v>748</v>
      </c>
      <c r="K293" s="29" t="s">
        <v>1061</v>
      </c>
      <c r="L293" s="55" t="s">
        <v>980</v>
      </c>
      <c r="M293" s="29" t="s">
        <v>2593</v>
      </c>
      <c r="N293" s="10" t="s">
        <v>75</v>
      </c>
      <c r="O293" s="9"/>
      <c r="P293" s="9" t="s">
        <v>76</v>
      </c>
      <c r="Q293" s="28"/>
      <c r="R293" s="29"/>
      <c r="S293" s="9"/>
      <c r="T293" s="9"/>
      <c r="U293" s="9" t="s">
        <v>75</v>
      </c>
      <c r="V293" s="9" t="s">
        <v>75</v>
      </c>
      <c r="W293" s="9"/>
    </row>
    <row r="294" spans="1:23" s="12" customFormat="1">
      <c r="A294" s="46" t="s">
        <v>711</v>
      </c>
      <c r="B294" s="28" t="s">
        <v>1336</v>
      </c>
      <c r="C294" s="28" t="s">
        <v>740</v>
      </c>
      <c r="D294" s="28" t="s">
        <v>2442</v>
      </c>
      <c r="E294" s="56" t="s">
        <v>2690</v>
      </c>
      <c r="F294" s="28" t="s">
        <v>2691</v>
      </c>
      <c r="G294" s="58" t="s">
        <v>2691</v>
      </c>
      <c r="H294" s="28" t="s">
        <v>298</v>
      </c>
      <c r="I294" s="28" t="str">
        <f>VLOOKUP(E294,표준용어사전!$C$2:$D$494, 2, FALSE)</f>
        <v>여부C1</v>
      </c>
      <c r="J294" s="56" t="s">
        <v>2692</v>
      </c>
      <c r="K294" s="29">
        <v>1</v>
      </c>
      <c r="L294" s="55" t="s">
        <v>2693</v>
      </c>
      <c r="M294" s="29" t="s">
        <v>722</v>
      </c>
      <c r="N294" s="29" t="s">
        <v>973</v>
      </c>
      <c r="O294" s="28"/>
      <c r="P294" s="28" t="s">
        <v>76</v>
      </c>
      <c r="Q294" s="28"/>
      <c r="R294" s="29"/>
      <c r="S294" s="28"/>
      <c r="T294" s="28" t="s">
        <v>2694</v>
      </c>
      <c r="U294" s="28" t="s">
        <v>75</v>
      </c>
      <c r="V294" s="28" t="s">
        <v>75</v>
      </c>
      <c r="W294" s="28"/>
    </row>
    <row r="295" spans="1:23" s="12" customFormat="1">
      <c r="A295" s="46" t="s">
        <v>711</v>
      </c>
      <c r="B295" s="28" t="s">
        <v>1336</v>
      </c>
      <c r="C295" s="28" t="s">
        <v>740</v>
      </c>
      <c r="D295" s="28" t="s">
        <v>2659</v>
      </c>
      <c r="E295" s="28" t="s">
        <v>2660</v>
      </c>
      <c r="F295" s="28" t="s">
        <v>2661</v>
      </c>
      <c r="G295" s="28" t="s">
        <v>2661</v>
      </c>
      <c r="H295" s="28" t="s">
        <v>2662</v>
      </c>
      <c r="I295" s="28" t="str">
        <f>VLOOKUP(E295,표준용어사전!$C$2:$D$494, 2, FALSE)</f>
        <v>명V20</v>
      </c>
      <c r="J295" s="28" t="s">
        <v>718</v>
      </c>
      <c r="K295" s="29">
        <v>20</v>
      </c>
      <c r="L295" s="55" t="s">
        <v>2716</v>
      </c>
      <c r="M295" s="29" t="s">
        <v>727</v>
      </c>
      <c r="N295" s="29" t="s">
        <v>572</v>
      </c>
      <c r="O295" s="28" t="s">
        <v>2719</v>
      </c>
      <c r="P295" s="28"/>
      <c r="Q295" s="28"/>
      <c r="R295" s="29"/>
      <c r="S295" s="28"/>
      <c r="T295" s="28"/>
      <c r="U295" s="28" t="s">
        <v>75</v>
      </c>
      <c r="V295" s="28" t="s">
        <v>75</v>
      </c>
      <c r="W295" s="28"/>
    </row>
    <row r="296" spans="1:23" s="12" customFormat="1">
      <c r="A296" s="46" t="s">
        <v>711</v>
      </c>
      <c r="B296" s="28" t="s">
        <v>1336</v>
      </c>
      <c r="C296" s="28" t="s">
        <v>740</v>
      </c>
      <c r="D296" s="28" t="s">
        <v>2659</v>
      </c>
      <c r="E296" s="28" t="s">
        <v>2323</v>
      </c>
      <c r="F296" s="28" t="s">
        <v>2663</v>
      </c>
      <c r="G296" s="28" t="s">
        <v>2663</v>
      </c>
      <c r="H296" s="28" t="s">
        <v>2662</v>
      </c>
      <c r="I296" s="28" t="str">
        <f>VLOOKUP(E296,표준용어사전!$C$2:$D$494, 2, FALSE)</f>
        <v>명V256</v>
      </c>
      <c r="J296" s="28" t="s">
        <v>718</v>
      </c>
      <c r="K296" s="29">
        <v>256</v>
      </c>
      <c r="L296" s="55" t="s">
        <v>2716</v>
      </c>
      <c r="M296" s="29" t="s">
        <v>730</v>
      </c>
      <c r="N296" s="29" t="s">
        <v>572</v>
      </c>
      <c r="O296" s="28"/>
      <c r="P296" s="28"/>
      <c r="Q296" s="28"/>
      <c r="R296" s="29"/>
      <c r="S296" s="28"/>
      <c r="T296" s="28"/>
      <c r="U296" s="28" t="s">
        <v>75</v>
      </c>
      <c r="V296" s="28" t="s">
        <v>75</v>
      </c>
      <c r="W296" s="28"/>
    </row>
    <row r="297" spans="1:23" s="12" customFormat="1">
      <c r="A297" s="46" t="s">
        <v>711</v>
      </c>
      <c r="B297" s="28" t="s">
        <v>1336</v>
      </c>
      <c r="C297" s="28" t="s">
        <v>740</v>
      </c>
      <c r="D297" s="28" t="s">
        <v>2659</v>
      </c>
      <c r="E297" s="28" t="s">
        <v>2664</v>
      </c>
      <c r="F297" s="28" t="s">
        <v>2665</v>
      </c>
      <c r="G297" s="28" t="s">
        <v>2665</v>
      </c>
      <c r="H297" s="28" t="s">
        <v>2662</v>
      </c>
      <c r="I297" s="28" t="str">
        <f>VLOOKUP(E297,표준용어사전!$C$2:$D$494, 2, FALSE)</f>
        <v>연월일시분초TS</v>
      </c>
      <c r="J297" s="28" t="s">
        <v>719</v>
      </c>
      <c r="K297" s="29" t="s">
        <v>2716</v>
      </c>
      <c r="L297" s="55" t="s">
        <v>2716</v>
      </c>
      <c r="M297" s="29" t="s">
        <v>726</v>
      </c>
      <c r="N297" s="29" t="s">
        <v>572</v>
      </c>
      <c r="O297" s="28"/>
      <c r="P297" s="28"/>
      <c r="Q297" s="28"/>
      <c r="R297" s="29"/>
      <c r="S297" s="28"/>
      <c r="T297" s="28"/>
      <c r="U297" s="28" t="s">
        <v>75</v>
      </c>
      <c r="V297" s="28" t="s">
        <v>75</v>
      </c>
      <c r="W297" s="28"/>
    </row>
    <row r="298" spans="1:23" s="12" customFormat="1">
      <c r="A298" s="46" t="s">
        <v>572</v>
      </c>
      <c r="B298" s="28" t="s">
        <v>1333</v>
      </c>
      <c r="C298" s="28" t="s">
        <v>2330</v>
      </c>
      <c r="D298" s="9" t="s">
        <v>2443</v>
      </c>
      <c r="E298" s="28" t="s">
        <v>2513</v>
      </c>
      <c r="F298" s="28" t="s">
        <v>1417</v>
      </c>
      <c r="G298" s="28" t="s">
        <v>1417</v>
      </c>
      <c r="H298" s="28" t="s">
        <v>1408</v>
      </c>
      <c r="I298" s="28" t="str">
        <f>VLOOKUP(E298,표준용어사전!$C$2:$D$494, 2, FALSE)</f>
        <v>명V256</v>
      </c>
      <c r="J298" s="28" t="s">
        <v>718</v>
      </c>
      <c r="K298" s="29">
        <v>256</v>
      </c>
      <c r="L298" s="55" t="s">
        <v>571</v>
      </c>
      <c r="M298" s="29" t="s">
        <v>730</v>
      </c>
      <c r="N298" s="10" t="s">
        <v>973</v>
      </c>
      <c r="O298" s="9" t="s">
        <v>73</v>
      </c>
      <c r="P298" s="9" t="s">
        <v>76</v>
      </c>
      <c r="Q298" s="28"/>
      <c r="R298" s="29"/>
      <c r="S298" s="9"/>
      <c r="T298" s="9"/>
      <c r="U298" s="9" t="s">
        <v>75</v>
      </c>
      <c r="V298" s="9" t="s">
        <v>75</v>
      </c>
      <c r="W298" s="9"/>
    </row>
    <row r="299" spans="1:23" s="12" customFormat="1">
      <c r="A299" s="46" t="s">
        <v>572</v>
      </c>
      <c r="B299" s="28" t="s">
        <v>1333</v>
      </c>
      <c r="C299" s="28" t="s">
        <v>2330</v>
      </c>
      <c r="D299" s="9" t="s">
        <v>2443</v>
      </c>
      <c r="E299" s="28" t="s">
        <v>2514</v>
      </c>
      <c r="F299" s="28" t="s">
        <v>2417</v>
      </c>
      <c r="G299" s="28" t="s">
        <v>2417</v>
      </c>
      <c r="H299" s="28" t="s">
        <v>1408</v>
      </c>
      <c r="I299" s="28" t="str">
        <f>VLOOKUP(E299,표준용어사전!$C$2:$D$494, 2, FALSE)</f>
        <v>코드C4</v>
      </c>
      <c r="J299" s="28" t="s">
        <v>709</v>
      </c>
      <c r="K299" s="29">
        <v>4</v>
      </c>
      <c r="L299" s="55" t="s">
        <v>571</v>
      </c>
      <c r="M299" s="29" t="s">
        <v>929</v>
      </c>
      <c r="N299" s="29" t="s">
        <v>973</v>
      </c>
      <c r="O299" s="9" t="s">
        <v>74</v>
      </c>
      <c r="P299" s="9" t="s">
        <v>76</v>
      </c>
      <c r="Q299" s="28"/>
      <c r="R299" s="29"/>
      <c r="S299" s="9"/>
      <c r="T299" s="9"/>
      <c r="U299" s="9" t="s">
        <v>75</v>
      </c>
      <c r="V299" s="9" t="s">
        <v>75</v>
      </c>
      <c r="W299" s="9"/>
    </row>
    <row r="300" spans="1:23" s="12" customFormat="1">
      <c r="A300" s="46" t="s">
        <v>572</v>
      </c>
      <c r="B300" s="28" t="s">
        <v>1333</v>
      </c>
      <c r="C300" s="28" t="s">
        <v>2330</v>
      </c>
      <c r="D300" s="28" t="s">
        <v>2443</v>
      </c>
      <c r="E300" s="28" t="s">
        <v>2515</v>
      </c>
      <c r="F300" s="28" t="s">
        <v>926</v>
      </c>
      <c r="G300" s="28" t="s">
        <v>926</v>
      </c>
      <c r="H300" s="28" t="s">
        <v>1408</v>
      </c>
      <c r="I300" s="28" t="str">
        <f>VLOOKUP(E300,표준용어사전!$C$2:$D$494, 2, FALSE)</f>
        <v>여부C1</v>
      </c>
      <c r="J300" s="28" t="s">
        <v>709</v>
      </c>
      <c r="K300" s="29">
        <v>1</v>
      </c>
      <c r="L300" s="55" t="s">
        <v>571</v>
      </c>
      <c r="M300" s="29" t="s">
        <v>722</v>
      </c>
      <c r="N300" s="29" t="s">
        <v>973</v>
      </c>
      <c r="O300" s="28"/>
      <c r="P300" s="28" t="s">
        <v>76</v>
      </c>
      <c r="Q300" s="28"/>
      <c r="R300" s="29"/>
      <c r="S300" s="28"/>
      <c r="T300" s="28"/>
      <c r="U300" s="9" t="s">
        <v>75</v>
      </c>
      <c r="V300" s="9" t="s">
        <v>75</v>
      </c>
      <c r="W300" s="28"/>
    </row>
    <row r="301" spans="1:23" s="12" customFormat="1">
      <c r="A301" s="46" t="s">
        <v>572</v>
      </c>
      <c r="B301" s="28" t="s">
        <v>1333</v>
      </c>
      <c r="C301" s="28" t="s">
        <v>2330</v>
      </c>
      <c r="D301" s="28" t="s">
        <v>2443</v>
      </c>
      <c r="E301" s="28" t="s">
        <v>90</v>
      </c>
      <c r="F301" s="28" t="s">
        <v>14</v>
      </c>
      <c r="G301" s="28" t="s">
        <v>14</v>
      </c>
      <c r="H301" s="28" t="s">
        <v>1408</v>
      </c>
      <c r="I301" s="28" t="str">
        <f>VLOOKUP(E301,표준용어사전!$C$2:$D$494, 2, FALSE)</f>
        <v>연월일시분초TS</v>
      </c>
      <c r="J301" s="28" t="s">
        <v>719</v>
      </c>
      <c r="K301" s="29" t="s">
        <v>571</v>
      </c>
      <c r="L301" s="55" t="s">
        <v>571</v>
      </c>
      <c r="M301" s="29" t="s">
        <v>726</v>
      </c>
      <c r="N301" s="29" t="s">
        <v>973</v>
      </c>
      <c r="O301" s="28"/>
      <c r="P301" s="28" t="s">
        <v>76</v>
      </c>
      <c r="Q301" s="28"/>
      <c r="R301" s="29"/>
      <c r="S301" s="28"/>
      <c r="T301" s="28"/>
      <c r="U301" s="9" t="s">
        <v>75</v>
      </c>
      <c r="V301" s="9" t="s">
        <v>75</v>
      </c>
      <c r="W301" s="28"/>
    </row>
    <row r="302" spans="1:23" s="12" customFormat="1">
      <c r="A302" s="46" t="s">
        <v>572</v>
      </c>
      <c r="B302" s="28" t="s">
        <v>1333</v>
      </c>
      <c r="C302" s="28" t="s">
        <v>2330</v>
      </c>
      <c r="D302" s="28" t="s">
        <v>2443</v>
      </c>
      <c r="E302" s="28" t="s">
        <v>91</v>
      </c>
      <c r="F302" s="28" t="s">
        <v>369</v>
      </c>
      <c r="G302" s="28" t="s">
        <v>369</v>
      </c>
      <c r="H302" s="28" t="s">
        <v>1408</v>
      </c>
      <c r="I302" s="28" t="str">
        <f>VLOOKUP(E302,표준용어사전!$C$2:$D$494, 2, FALSE)</f>
        <v>명V20</v>
      </c>
      <c r="J302" s="28" t="s">
        <v>718</v>
      </c>
      <c r="K302" s="29" t="s">
        <v>986</v>
      </c>
      <c r="L302" s="55" t="s">
        <v>571</v>
      </c>
      <c r="M302" s="29" t="s">
        <v>727</v>
      </c>
      <c r="N302" s="29" t="s">
        <v>75</v>
      </c>
      <c r="O302" s="28"/>
      <c r="P302" s="28" t="s">
        <v>76</v>
      </c>
      <c r="Q302" s="28"/>
      <c r="R302" s="29"/>
      <c r="S302" s="28"/>
      <c r="T302" s="28"/>
      <c r="U302" s="9" t="s">
        <v>75</v>
      </c>
      <c r="V302" s="9" t="s">
        <v>75</v>
      </c>
      <c r="W302" s="28"/>
    </row>
    <row r="303" spans="1:23" s="12" customFormat="1">
      <c r="A303" s="46" t="s">
        <v>572</v>
      </c>
      <c r="B303" s="28" t="s">
        <v>1335</v>
      </c>
      <c r="C303" s="28" t="s">
        <v>2330</v>
      </c>
      <c r="D303" s="9" t="s">
        <v>683</v>
      </c>
      <c r="E303" s="28" t="s">
        <v>136</v>
      </c>
      <c r="F303" s="28" t="s">
        <v>402</v>
      </c>
      <c r="G303" s="28" t="s">
        <v>402</v>
      </c>
      <c r="H303" s="28" t="s">
        <v>706</v>
      </c>
      <c r="I303" s="28" t="str">
        <f>VLOOKUP(E303,표준용어사전!$C$2:$D$494, 2, FALSE)</f>
        <v>번호I</v>
      </c>
      <c r="J303" s="28" t="s">
        <v>717</v>
      </c>
      <c r="K303" s="29" t="s">
        <v>571</v>
      </c>
      <c r="L303" s="55" t="s">
        <v>571</v>
      </c>
      <c r="M303" s="29" t="s">
        <v>2591</v>
      </c>
      <c r="N303" s="10" t="s">
        <v>973</v>
      </c>
      <c r="O303" s="9" t="s">
        <v>73</v>
      </c>
      <c r="P303" s="9" t="s">
        <v>76</v>
      </c>
      <c r="Q303" s="28"/>
      <c r="R303" s="29"/>
      <c r="S303" s="9"/>
      <c r="T303" s="9"/>
      <c r="U303" s="9" t="s">
        <v>75</v>
      </c>
      <c r="V303" s="9" t="s">
        <v>75</v>
      </c>
      <c r="W303" s="9"/>
    </row>
    <row r="304" spans="1:23" s="12" customFormat="1">
      <c r="A304" s="46" t="s">
        <v>572</v>
      </c>
      <c r="B304" s="28" t="s">
        <v>1335</v>
      </c>
      <c r="C304" s="28" t="s">
        <v>2330</v>
      </c>
      <c r="D304" s="9" t="s">
        <v>683</v>
      </c>
      <c r="E304" s="28" t="s">
        <v>89</v>
      </c>
      <c r="F304" s="28" t="s">
        <v>501</v>
      </c>
      <c r="G304" s="28" t="s">
        <v>501</v>
      </c>
      <c r="H304" s="28" t="s">
        <v>706</v>
      </c>
      <c r="I304" s="28" t="str">
        <f>VLOOKUP(E304,표준용어사전!$C$2:$D$494, 2, FALSE)</f>
        <v>명V20</v>
      </c>
      <c r="J304" s="28" t="s">
        <v>718</v>
      </c>
      <c r="K304" s="29" t="s">
        <v>986</v>
      </c>
      <c r="L304" s="55" t="s">
        <v>571</v>
      </c>
      <c r="M304" s="29" t="s">
        <v>727</v>
      </c>
      <c r="N304" s="10" t="s">
        <v>973</v>
      </c>
      <c r="O304" s="9"/>
      <c r="P304" s="9" t="s">
        <v>76</v>
      </c>
      <c r="Q304" s="28"/>
      <c r="R304" s="29"/>
      <c r="S304" s="9"/>
      <c r="T304" s="9"/>
      <c r="U304" s="9" t="s">
        <v>75</v>
      </c>
      <c r="V304" s="9" t="s">
        <v>75</v>
      </c>
      <c r="W304" s="9"/>
    </row>
    <row r="305" spans="1:23" s="12" customFormat="1">
      <c r="A305" s="46" t="s">
        <v>572</v>
      </c>
      <c r="B305" s="28" t="s">
        <v>1335</v>
      </c>
      <c r="C305" s="28" t="s">
        <v>2330</v>
      </c>
      <c r="D305" s="28" t="s">
        <v>683</v>
      </c>
      <c r="E305" s="28" t="s">
        <v>137</v>
      </c>
      <c r="F305" s="28" t="s">
        <v>1613</v>
      </c>
      <c r="G305" s="28" t="s">
        <v>1613</v>
      </c>
      <c r="H305" s="28" t="s">
        <v>706</v>
      </c>
      <c r="I305" s="28" t="str">
        <f>VLOOKUP(E305,표준용어사전!$C$2:$D$494, 2, FALSE)</f>
        <v>명V50</v>
      </c>
      <c r="J305" s="28" t="s">
        <v>718</v>
      </c>
      <c r="K305" s="29">
        <v>50</v>
      </c>
      <c r="L305" s="55" t="s">
        <v>571</v>
      </c>
      <c r="M305" s="29" t="s">
        <v>720</v>
      </c>
      <c r="N305" s="29" t="s">
        <v>75</v>
      </c>
      <c r="O305" s="28"/>
      <c r="P305" s="28" t="s">
        <v>76</v>
      </c>
      <c r="Q305" s="28"/>
      <c r="R305" s="29"/>
      <c r="S305" s="28"/>
      <c r="T305" s="28"/>
      <c r="U305" s="9" t="s">
        <v>75</v>
      </c>
      <c r="V305" s="9" t="s">
        <v>75</v>
      </c>
      <c r="W305" s="28"/>
    </row>
    <row r="306" spans="1:23" s="12" customFormat="1">
      <c r="A306" s="46" t="s">
        <v>572</v>
      </c>
      <c r="B306" s="28" t="s">
        <v>1335</v>
      </c>
      <c r="C306" s="28" t="s">
        <v>2330</v>
      </c>
      <c r="D306" s="28" t="s">
        <v>683</v>
      </c>
      <c r="E306" s="28" t="s">
        <v>138</v>
      </c>
      <c r="F306" s="28" t="s">
        <v>2075</v>
      </c>
      <c r="G306" s="28" t="s">
        <v>2075</v>
      </c>
      <c r="H306" s="28" t="s">
        <v>706</v>
      </c>
      <c r="I306" s="28" t="str">
        <f>VLOOKUP(E306,표준용어사전!$C$2:$D$494, 2, FALSE)</f>
        <v>코드V50</v>
      </c>
      <c r="J306" s="28" t="s">
        <v>718</v>
      </c>
      <c r="K306" s="29">
        <v>50</v>
      </c>
      <c r="L306" s="55" t="s">
        <v>571</v>
      </c>
      <c r="M306" s="29" t="s">
        <v>720</v>
      </c>
      <c r="N306" s="29" t="s">
        <v>75</v>
      </c>
      <c r="O306" s="28"/>
      <c r="P306" s="28" t="s">
        <v>76</v>
      </c>
      <c r="Q306" s="28"/>
      <c r="R306" s="29"/>
      <c r="S306" s="28"/>
      <c r="T306" s="28"/>
      <c r="U306" s="9" t="s">
        <v>75</v>
      </c>
      <c r="V306" s="9" t="s">
        <v>75</v>
      </c>
      <c r="W306" s="28"/>
    </row>
    <row r="307" spans="1:23" s="12" customFormat="1">
      <c r="A307" s="46" t="s">
        <v>572</v>
      </c>
      <c r="B307" s="28" t="s">
        <v>1335</v>
      </c>
      <c r="C307" s="28" t="s">
        <v>2330</v>
      </c>
      <c r="D307" s="28" t="s">
        <v>683</v>
      </c>
      <c r="E307" s="28" t="s">
        <v>139</v>
      </c>
      <c r="F307" s="28" t="s">
        <v>404</v>
      </c>
      <c r="G307" s="28" t="s">
        <v>404</v>
      </c>
      <c r="H307" s="28" t="s">
        <v>706</v>
      </c>
      <c r="I307" s="28" t="str">
        <f>VLOOKUP(E307,표준용어사전!$C$2:$D$494, 2, FALSE)</f>
        <v>명V512</v>
      </c>
      <c r="J307" s="28" t="s">
        <v>718</v>
      </c>
      <c r="K307" s="29">
        <v>512</v>
      </c>
      <c r="L307" s="55" t="s">
        <v>571</v>
      </c>
      <c r="M307" s="29" t="s">
        <v>721</v>
      </c>
      <c r="N307" s="29" t="s">
        <v>75</v>
      </c>
      <c r="O307" s="28"/>
      <c r="P307" s="28" t="s">
        <v>76</v>
      </c>
      <c r="Q307" s="28"/>
      <c r="R307" s="29"/>
      <c r="S307" s="28"/>
      <c r="T307" s="28"/>
      <c r="U307" s="9" t="s">
        <v>75</v>
      </c>
      <c r="V307" s="9" t="s">
        <v>75</v>
      </c>
      <c r="W307" s="28"/>
    </row>
    <row r="308" spans="1:23" s="12" customFormat="1">
      <c r="A308" s="46" t="s">
        <v>572</v>
      </c>
      <c r="B308" s="28" t="s">
        <v>1335</v>
      </c>
      <c r="C308" s="28" t="s">
        <v>2330</v>
      </c>
      <c r="D308" s="28" t="s">
        <v>683</v>
      </c>
      <c r="E308" s="28" t="s">
        <v>2078</v>
      </c>
      <c r="F308" s="28" t="s">
        <v>2418</v>
      </c>
      <c r="G308" s="28" t="s">
        <v>2418</v>
      </c>
      <c r="H308" s="28" t="s">
        <v>706</v>
      </c>
      <c r="I308" s="28" t="str">
        <f>VLOOKUP(E308,표준용어사전!$C$2:$D$494, 2, FALSE)</f>
        <v>명V2000</v>
      </c>
      <c r="J308" s="28" t="s">
        <v>718</v>
      </c>
      <c r="K308" s="29" t="s">
        <v>1062</v>
      </c>
      <c r="L308" s="55" t="s">
        <v>571</v>
      </c>
      <c r="M308" s="29" t="s">
        <v>728</v>
      </c>
      <c r="N308" s="29" t="s">
        <v>75</v>
      </c>
      <c r="O308" s="28"/>
      <c r="P308" s="28" t="s">
        <v>76</v>
      </c>
      <c r="Q308" s="28"/>
      <c r="R308" s="29"/>
      <c r="S308" s="28"/>
      <c r="T308" s="28"/>
      <c r="U308" s="9" t="s">
        <v>75</v>
      </c>
      <c r="V308" s="9" t="s">
        <v>75</v>
      </c>
      <c r="W308" s="28"/>
    </row>
    <row r="309" spans="1:23" s="12" customFormat="1">
      <c r="A309" s="46" t="s">
        <v>572</v>
      </c>
      <c r="B309" s="28" t="s">
        <v>1335</v>
      </c>
      <c r="C309" s="28" t="s">
        <v>2330</v>
      </c>
      <c r="D309" s="28" t="s">
        <v>683</v>
      </c>
      <c r="E309" s="28" t="s">
        <v>853</v>
      </c>
      <c r="F309" s="28" t="s">
        <v>767</v>
      </c>
      <c r="G309" s="28" t="s">
        <v>767</v>
      </c>
      <c r="H309" s="28" t="s">
        <v>706</v>
      </c>
      <c r="I309" s="28" t="str">
        <f>VLOOKUP(E309,표준용어사전!$C$2:$D$494, 2, FALSE)</f>
        <v>명V256</v>
      </c>
      <c r="J309" s="28" t="s">
        <v>718</v>
      </c>
      <c r="K309" s="29">
        <v>256</v>
      </c>
      <c r="L309" s="55" t="s">
        <v>571</v>
      </c>
      <c r="M309" s="29" t="s">
        <v>730</v>
      </c>
      <c r="N309" s="29" t="s">
        <v>75</v>
      </c>
      <c r="O309" s="28"/>
      <c r="P309" s="28" t="s">
        <v>76</v>
      </c>
      <c r="Q309" s="28"/>
      <c r="R309" s="29"/>
      <c r="S309" s="28"/>
      <c r="T309" s="28"/>
      <c r="U309" s="9" t="s">
        <v>75</v>
      </c>
      <c r="V309" s="9" t="s">
        <v>75</v>
      </c>
      <c r="W309" s="28"/>
    </row>
    <row r="310" spans="1:23" s="12" customFormat="1">
      <c r="A310" s="46" t="s">
        <v>572</v>
      </c>
      <c r="B310" s="28" t="s">
        <v>1335</v>
      </c>
      <c r="C310" s="28" t="s">
        <v>2330</v>
      </c>
      <c r="D310" s="9" t="s">
        <v>683</v>
      </c>
      <c r="E310" s="28" t="s">
        <v>854</v>
      </c>
      <c r="F310" s="28" t="s">
        <v>768</v>
      </c>
      <c r="G310" s="28" t="s">
        <v>768</v>
      </c>
      <c r="H310" s="28" t="s">
        <v>706</v>
      </c>
      <c r="I310" s="28" t="str">
        <f>VLOOKUP(E310,표준용어사전!$C$2:$D$494, 2, FALSE)</f>
        <v>명V256</v>
      </c>
      <c r="J310" s="28" t="s">
        <v>718</v>
      </c>
      <c r="K310" s="29">
        <v>256</v>
      </c>
      <c r="L310" s="55" t="s">
        <v>571</v>
      </c>
      <c r="M310" s="29" t="s">
        <v>730</v>
      </c>
      <c r="N310" s="10" t="s">
        <v>75</v>
      </c>
      <c r="O310" s="9"/>
      <c r="P310" s="9" t="s">
        <v>76</v>
      </c>
      <c r="Q310" s="28"/>
      <c r="R310" s="29"/>
      <c r="S310" s="9"/>
      <c r="T310" s="9"/>
      <c r="U310" s="9" t="s">
        <v>75</v>
      </c>
      <c r="V310" s="9" t="s">
        <v>75</v>
      </c>
      <c r="W310" s="9"/>
    </row>
    <row r="311" spans="1:23" s="12" customFormat="1">
      <c r="A311" s="46" t="s">
        <v>572</v>
      </c>
      <c r="B311" s="28" t="s">
        <v>1335</v>
      </c>
      <c r="C311" s="28" t="s">
        <v>2330</v>
      </c>
      <c r="D311" s="28" t="s">
        <v>683</v>
      </c>
      <c r="E311" s="28" t="s">
        <v>2080</v>
      </c>
      <c r="F311" s="28" t="s">
        <v>2079</v>
      </c>
      <c r="G311" s="28" t="s">
        <v>2079</v>
      </c>
      <c r="H311" s="28" t="s">
        <v>706</v>
      </c>
      <c r="I311" s="28" t="str">
        <f>VLOOKUP(E311,표준용어사전!$C$2:$D$494, 2, FALSE)</f>
        <v>명TXT</v>
      </c>
      <c r="J311" s="28" t="s">
        <v>713</v>
      </c>
      <c r="K311" s="29" t="s">
        <v>571</v>
      </c>
      <c r="L311" s="55" t="s">
        <v>571</v>
      </c>
      <c r="M311" s="29" t="s">
        <v>2590</v>
      </c>
      <c r="N311" s="29" t="s">
        <v>75</v>
      </c>
      <c r="O311" s="28"/>
      <c r="P311" s="28" t="s">
        <v>76</v>
      </c>
      <c r="Q311" s="28"/>
      <c r="R311" s="29"/>
      <c r="S311" s="28"/>
      <c r="T311" s="28"/>
      <c r="U311" s="9" t="s">
        <v>75</v>
      </c>
      <c r="V311" s="9" t="s">
        <v>75</v>
      </c>
      <c r="W311" s="28"/>
    </row>
    <row r="312" spans="1:23" s="12" customFormat="1">
      <c r="A312" s="46" t="s">
        <v>572</v>
      </c>
      <c r="B312" s="28" t="s">
        <v>1335</v>
      </c>
      <c r="C312" s="28" t="s">
        <v>2330</v>
      </c>
      <c r="D312" s="28" t="s">
        <v>683</v>
      </c>
      <c r="E312" s="28" t="s">
        <v>2020</v>
      </c>
      <c r="F312" s="28" t="s">
        <v>2419</v>
      </c>
      <c r="G312" s="28" t="s">
        <v>2419</v>
      </c>
      <c r="H312" s="28" t="s">
        <v>706</v>
      </c>
      <c r="I312" s="28" t="str">
        <f>VLOOKUP(E312,표준용어사전!$C$2:$D$494, 2, FALSE)</f>
        <v>주소V2000</v>
      </c>
      <c r="J312" s="28" t="s">
        <v>718</v>
      </c>
      <c r="K312" s="29">
        <v>2000</v>
      </c>
      <c r="L312" s="55" t="s">
        <v>571</v>
      </c>
      <c r="M312" s="29" t="s">
        <v>728</v>
      </c>
      <c r="N312" s="29" t="s">
        <v>75</v>
      </c>
      <c r="O312" s="28"/>
      <c r="P312" s="28" t="s">
        <v>76</v>
      </c>
      <c r="Q312" s="28"/>
      <c r="R312" s="29"/>
      <c r="S312" s="28"/>
      <c r="T312" s="28"/>
      <c r="U312" s="9" t="s">
        <v>75</v>
      </c>
      <c r="V312" s="9" t="s">
        <v>75</v>
      </c>
      <c r="W312" s="28"/>
    </row>
    <row r="313" spans="1:23" s="12" customFormat="1">
      <c r="A313" s="46" t="s">
        <v>572</v>
      </c>
      <c r="B313" s="28" t="s">
        <v>1335</v>
      </c>
      <c r="C313" s="28" t="s">
        <v>2330</v>
      </c>
      <c r="D313" s="28" t="s">
        <v>683</v>
      </c>
      <c r="E313" s="28" t="s">
        <v>2066</v>
      </c>
      <c r="F313" s="28" t="s">
        <v>2420</v>
      </c>
      <c r="G313" s="28" t="s">
        <v>2420</v>
      </c>
      <c r="H313" s="28" t="s">
        <v>706</v>
      </c>
      <c r="I313" s="28" t="str">
        <f>VLOOKUP(E313,표준용어사전!$C$2:$D$494, 2, FALSE)</f>
        <v>주소V2000</v>
      </c>
      <c r="J313" s="28" t="s">
        <v>718</v>
      </c>
      <c r="K313" s="29">
        <v>2000</v>
      </c>
      <c r="L313" s="55" t="s">
        <v>571</v>
      </c>
      <c r="M313" s="29" t="s">
        <v>728</v>
      </c>
      <c r="N313" s="29" t="s">
        <v>75</v>
      </c>
      <c r="O313" s="28"/>
      <c r="P313" s="28" t="s">
        <v>76</v>
      </c>
      <c r="Q313" s="28"/>
      <c r="R313" s="29"/>
      <c r="S313" s="28"/>
      <c r="T313" s="28"/>
      <c r="U313" s="9" t="s">
        <v>75</v>
      </c>
      <c r="V313" s="9" t="s">
        <v>75</v>
      </c>
      <c r="W313" s="28"/>
    </row>
    <row r="314" spans="1:23" s="12" customFormat="1">
      <c r="A314" s="46" t="s">
        <v>572</v>
      </c>
      <c r="B314" s="28" t="s">
        <v>1335</v>
      </c>
      <c r="C314" s="28" t="s">
        <v>2330</v>
      </c>
      <c r="D314" s="9" t="s">
        <v>683</v>
      </c>
      <c r="E314" s="28" t="s">
        <v>2068</v>
      </c>
      <c r="F314" s="28" t="s">
        <v>406</v>
      </c>
      <c r="G314" s="28" t="s">
        <v>406</v>
      </c>
      <c r="H314" s="28" t="s">
        <v>706</v>
      </c>
      <c r="I314" s="28" t="str">
        <f>VLOOKUP(E314,표준용어사전!$C$2:$D$494, 2, FALSE)</f>
        <v>명V256</v>
      </c>
      <c r="J314" s="28" t="s">
        <v>718</v>
      </c>
      <c r="K314" s="29">
        <v>256</v>
      </c>
      <c r="L314" s="55" t="s">
        <v>571</v>
      </c>
      <c r="M314" s="29" t="s">
        <v>730</v>
      </c>
      <c r="N314" s="29" t="s">
        <v>75</v>
      </c>
      <c r="O314" s="9"/>
      <c r="P314" s="9" t="s">
        <v>76</v>
      </c>
      <c r="Q314" s="28"/>
      <c r="R314" s="29"/>
      <c r="S314" s="9"/>
      <c r="T314" s="9"/>
      <c r="U314" s="9" t="s">
        <v>75</v>
      </c>
      <c r="V314" s="9" t="s">
        <v>75</v>
      </c>
      <c r="W314" s="9"/>
    </row>
    <row r="315" spans="1:23" s="12" customFormat="1">
      <c r="A315" s="46" t="s">
        <v>572</v>
      </c>
      <c r="B315" s="28" t="s">
        <v>1335</v>
      </c>
      <c r="C315" s="28" t="s">
        <v>2330</v>
      </c>
      <c r="D315" s="9" t="s">
        <v>683</v>
      </c>
      <c r="E315" s="28" t="s">
        <v>2070</v>
      </c>
      <c r="F315" s="28" t="s">
        <v>2421</v>
      </c>
      <c r="G315" s="28" t="s">
        <v>2421</v>
      </c>
      <c r="H315" s="28" t="s">
        <v>706</v>
      </c>
      <c r="I315" s="28" t="str">
        <f>VLOOKUP(E315,표준용어사전!$C$2:$D$494, 2, FALSE)</f>
        <v>주소V2000</v>
      </c>
      <c r="J315" s="28" t="s">
        <v>718</v>
      </c>
      <c r="K315" s="29">
        <v>2000</v>
      </c>
      <c r="L315" s="55" t="s">
        <v>571</v>
      </c>
      <c r="M315" s="29" t="s">
        <v>728</v>
      </c>
      <c r="N315" s="29" t="s">
        <v>75</v>
      </c>
      <c r="O315" s="9"/>
      <c r="P315" s="9" t="s">
        <v>76</v>
      </c>
      <c r="Q315" s="28"/>
      <c r="R315" s="29"/>
      <c r="S315" s="9"/>
      <c r="T315" s="9"/>
      <c r="U315" s="9" t="s">
        <v>75</v>
      </c>
      <c r="V315" s="9" t="s">
        <v>75</v>
      </c>
      <c r="W315" s="9"/>
    </row>
    <row r="316" spans="1:23" s="12" customFormat="1">
      <c r="A316" s="46" t="s">
        <v>572</v>
      </c>
      <c r="B316" s="28" t="s">
        <v>1335</v>
      </c>
      <c r="C316" s="28" t="s">
        <v>2330</v>
      </c>
      <c r="D316" s="28" t="s">
        <v>683</v>
      </c>
      <c r="E316" s="28" t="s">
        <v>1991</v>
      </c>
      <c r="F316" s="28" t="s">
        <v>437</v>
      </c>
      <c r="G316" s="28" t="s">
        <v>437</v>
      </c>
      <c r="H316" s="28" t="s">
        <v>706</v>
      </c>
      <c r="I316" s="28" t="str">
        <f>VLOOKUP(E316,표준용어사전!$C$2:$D$494, 2, FALSE)</f>
        <v>여부C1</v>
      </c>
      <c r="J316" s="28" t="s">
        <v>709</v>
      </c>
      <c r="K316" s="29">
        <v>1</v>
      </c>
      <c r="L316" s="55" t="s">
        <v>571</v>
      </c>
      <c r="M316" s="29" t="s">
        <v>722</v>
      </c>
      <c r="N316" s="29" t="s">
        <v>75</v>
      </c>
      <c r="O316" s="28"/>
      <c r="P316" s="28" t="s">
        <v>76</v>
      </c>
      <c r="Q316" s="28"/>
      <c r="R316" s="29"/>
      <c r="S316" s="28"/>
      <c r="T316" s="28"/>
      <c r="U316" s="9" t="s">
        <v>75</v>
      </c>
      <c r="V316" s="9" t="s">
        <v>75</v>
      </c>
      <c r="W316" s="28"/>
    </row>
    <row r="317" spans="1:23" s="12" customFormat="1">
      <c r="A317" s="46" t="s">
        <v>572</v>
      </c>
      <c r="B317" s="28" t="s">
        <v>1335</v>
      </c>
      <c r="C317" s="28" t="s">
        <v>2330</v>
      </c>
      <c r="D317" s="28" t="s">
        <v>683</v>
      </c>
      <c r="E317" s="28" t="s">
        <v>90</v>
      </c>
      <c r="F317" s="28" t="s">
        <v>14</v>
      </c>
      <c r="G317" s="28" t="s">
        <v>14</v>
      </c>
      <c r="H317" s="28" t="s">
        <v>706</v>
      </c>
      <c r="I317" s="28" t="str">
        <f>VLOOKUP(E317,표준용어사전!$C$2:$D$494, 2, FALSE)</f>
        <v>연월일시분초TS</v>
      </c>
      <c r="J317" s="28" t="s">
        <v>719</v>
      </c>
      <c r="K317" s="29" t="s">
        <v>571</v>
      </c>
      <c r="L317" s="55" t="s">
        <v>571</v>
      </c>
      <c r="M317" s="29" t="s">
        <v>726</v>
      </c>
      <c r="N317" s="29" t="s">
        <v>973</v>
      </c>
      <c r="O317" s="28"/>
      <c r="P317" s="28" t="s">
        <v>76</v>
      </c>
      <c r="Q317" s="28"/>
      <c r="R317" s="29"/>
      <c r="S317" s="28"/>
      <c r="T317" s="28"/>
      <c r="U317" s="9" t="s">
        <v>75</v>
      </c>
      <c r="V317" s="9" t="s">
        <v>75</v>
      </c>
      <c r="W317" s="28"/>
    </row>
    <row r="318" spans="1:23" s="12" customFormat="1">
      <c r="A318" s="46" t="s">
        <v>572</v>
      </c>
      <c r="B318" s="28" t="s">
        <v>1335</v>
      </c>
      <c r="C318" s="28" t="s">
        <v>2330</v>
      </c>
      <c r="D318" s="28" t="s">
        <v>683</v>
      </c>
      <c r="E318" s="28" t="s">
        <v>91</v>
      </c>
      <c r="F318" s="28" t="s">
        <v>369</v>
      </c>
      <c r="G318" s="28" t="s">
        <v>369</v>
      </c>
      <c r="H318" s="28" t="s">
        <v>706</v>
      </c>
      <c r="I318" s="28" t="str">
        <f>VLOOKUP(E318,표준용어사전!$C$2:$D$494, 2, FALSE)</f>
        <v>명V20</v>
      </c>
      <c r="J318" s="28" t="s">
        <v>718</v>
      </c>
      <c r="K318" s="29" t="s">
        <v>986</v>
      </c>
      <c r="L318" s="55" t="s">
        <v>571</v>
      </c>
      <c r="M318" s="29" t="s">
        <v>727</v>
      </c>
      <c r="N318" s="29" t="s">
        <v>75</v>
      </c>
      <c r="O318" s="28"/>
      <c r="P318" s="28" t="s">
        <v>76</v>
      </c>
      <c r="Q318" s="28"/>
      <c r="R318" s="29"/>
      <c r="S318" s="28"/>
      <c r="T318" s="28"/>
      <c r="U318" s="9" t="s">
        <v>75</v>
      </c>
      <c r="V318" s="9" t="s">
        <v>75</v>
      </c>
      <c r="W318" s="28"/>
    </row>
    <row r="319" spans="1:23" s="12" customFormat="1">
      <c r="A319" s="46" t="s">
        <v>572</v>
      </c>
      <c r="B319" s="28" t="s">
        <v>1335</v>
      </c>
      <c r="C319" s="28" t="s">
        <v>2330</v>
      </c>
      <c r="D319" s="28" t="s">
        <v>683</v>
      </c>
      <c r="E319" s="28" t="s">
        <v>92</v>
      </c>
      <c r="F319" s="28" t="s">
        <v>15</v>
      </c>
      <c r="G319" s="28" t="s">
        <v>15</v>
      </c>
      <c r="H319" s="28" t="s">
        <v>706</v>
      </c>
      <c r="I319" s="28" t="str">
        <f>VLOOKUP(E319,표준용어사전!$C$2:$D$494, 2, FALSE)</f>
        <v>연월일시분초TS</v>
      </c>
      <c r="J319" s="28" t="s">
        <v>719</v>
      </c>
      <c r="K319" s="29" t="s">
        <v>571</v>
      </c>
      <c r="L319" s="55" t="s">
        <v>571</v>
      </c>
      <c r="M319" s="29" t="s">
        <v>726</v>
      </c>
      <c r="N319" s="29" t="s">
        <v>75</v>
      </c>
      <c r="O319" s="28"/>
      <c r="P319" s="28" t="s">
        <v>76</v>
      </c>
      <c r="Q319" s="28"/>
      <c r="R319" s="29"/>
      <c r="S319" s="28"/>
      <c r="T319" s="28"/>
      <c r="U319" s="28" t="s">
        <v>75</v>
      </c>
      <c r="V319" s="28" t="s">
        <v>75</v>
      </c>
      <c r="W319" s="28"/>
    </row>
    <row r="320" spans="1:23" s="12" customFormat="1">
      <c r="A320" s="46" t="s">
        <v>572</v>
      </c>
      <c r="B320" s="28" t="s">
        <v>1335</v>
      </c>
      <c r="C320" s="28" t="s">
        <v>2330</v>
      </c>
      <c r="D320" s="28" t="s">
        <v>683</v>
      </c>
      <c r="E320" s="28" t="s">
        <v>93</v>
      </c>
      <c r="F320" s="28" t="s">
        <v>370</v>
      </c>
      <c r="G320" s="28" t="s">
        <v>370</v>
      </c>
      <c r="H320" s="28" t="s">
        <v>706</v>
      </c>
      <c r="I320" s="28" t="str">
        <f>VLOOKUP(E320,표준용어사전!$C$2:$D$494, 2, FALSE)</f>
        <v>명V20</v>
      </c>
      <c r="J320" s="28" t="s">
        <v>718</v>
      </c>
      <c r="K320" s="29" t="s">
        <v>986</v>
      </c>
      <c r="L320" s="55" t="s">
        <v>571</v>
      </c>
      <c r="M320" s="29" t="s">
        <v>727</v>
      </c>
      <c r="N320" s="29" t="s">
        <v>75</v>
      </c>
      <c r="O320" s="28"/>
      <c r="P320" s="28" t="s">
        <v>76</v>
      </c>
      <c r="Q320" s="28"/>
      <c r="R320" s="29"/>
      <c r="S320" s="28"/>
      <c r="T320" s="28"/>
      <c r="U320" s="28" t="s">
        <v>75</v>
      </c>
      <c r="V320" s="28" t="s">
        <v>75</v>
      </c>
      <c r="W320" s="28"/>
    </row>
    <row r="321" spans="1:23" s="12" customFormat="1">
      <c r="A321" s="46" t="s">
        <v>572</v>
      </c>
      <c r="B321" s="28" t="s">
        <v>1333</v>
      </c>
      <c r="C321" s="28" t="s">
        <v>2330</v>
      </c>
      <c r="D321" s="28" t="s">
        <v>682</v>
      </c>
      <c r="E321" s="28" t="s">
        <v>856</v>
      </c>
      <c r="F321" s="28" t="s">
        <v>2084</v>
      </c>
      <c r="G321" s="28" t="s">
        <v>2084</v>
      </c>
      <c r="H321" s="28" t="s">
        <v>2348</v>
      </c>
      <c r="I321" s="28" t="str">
        <f>VLOOKUP(E321,표준용어사전!$C$2:$D$494, 2, FALSE)</f>
        <v>번호I</v>
      </c>
      <c r="J321" s="28" t="s">
        <v>717</v>
      </c>
      <c r="K321" s="29" t="s">
        <v>571</v>
      </c>
      <c r="L321" s="55" t="s">
        <v>571</v>
      </c>
      <c r="M321" s="29" t="s">
        <v>2591</v>
      </c>
      <c r="N321" s="29" t="s">
        <v>973</v>
      </c>
      <c r="O321" s="28" t="s">
        <v>73</v>
      </c>
      <c r="P321" s="28" t="s">
        <v>76</v>
      </c>
      <c r="Q321" s="28"/>
      <c r="R321" s="29"/>
      <c r="S321" s="28"/>
      <c r="T321" s="28"/>
      <c r="U321" s="28" t="s">
        <v>75</v>
      </c>
      <c r="V321" s="28" t="s">
        <v>75</v>
      </c>
      <c r="W321" s="28"/>
    </row>
    <row r="322" spans="1:23" s="12" customFormat="1">
      <c r="A322" s="46" t="s">
        <v>572</v>
      </c>
      <c r="B322" s="28" t="s">
        <v>1333</v>
      </c>
      <c r="C322" s="28" t="s">
        <v>2330</v>
      </c>
      <c r="D322" s="28" t="s">
        <v>682</v>
      </c>
      <c r="E322" s="28" t="s">
        <v>246</v>
      </c>
      <c r="F322" s="28" t="s">
        <v>17</v>
      </c>
      <c r="G322" s="28" t="s">
        <v>17</v>
      </c>
      <c r="H322" s="28" t="s">
        <v>2348</v>
      </c>
      <c r="I322" s="28" t="str">
        <f>VLOOKUP(E322,표준용어사전!$C$2:$D$494, 2, FALSE)</f>
        <v>명V20</v>
      </c>
      <c r="J322" s="28" t="s">
        <v>718</v>
      </c>
      <c r="K322" s="29" t="s">
        <v>986</v>
      </c>
      <c r="L322" s="55" t="s">
        <v>571</v>
      </c>
      <c r="M322" s="29" t="s">
        <v>727</v>
      </c>
      <c r="N322" s="29" t="s">
        <v>973</v>
      </c>
      <c r="O322" s="28"/>
      <c r="P322" s="28" t="s">
        <v>76</v>
      </c>
      <c r="Q322" s="28"/>
      <c r="R322" s="29"/>
      <c r="S322" s="28"/>
      <c r="T322" s="28"/>
      <c r="U322" s="9" t="s">
        <v>75</v>
      </c>
      <c r="V322" s="9" t="s">
        <v>75</v>
      </c>
      <c r="W322" s="28"/>
    </row>
    <row r="323" spans="1:23" s="12" customFormat="1">
      <c r="A323" s="46" t="s">
        <v>572</v>
      </c>
      <c r="B323" s="28" t="s">
        <v>1333</v>
      </c>
      <c r="C323" s="28" t="s">
        <v>2330</v>
      </c>
      <c r="D323" s="28" t="s">
        <v>682</v>
      </c>
      <c r="E323" s="28" t="s">
        <v>89</v>
      </c>
      <c r="F323" s="28" t="s">
        <v>501</v>
      </c>
      <c r="G323" s="28" t="s">
        <v>501</v>
      </c>
      <c r="H323" s="28" t="s">
        <v>2348</v>
      </c>
      <c r="I323" s="28" t="str">
        <f>VLOOKUP(E323,표준용어사전!$C$2:$D$494, 2, FALSE)</f>
        <v>명V20</v>
      </c>
      <c r="J323" s="28" t="s">
        <v>718</v>
      </c>
      <c r="K323" s="29" t="s">
        <v>986</v>
      </c>
      <c r="L323" s="55" t="s">
        <v>571</v>
      </c>
      <c r="M323" s="29" t="s">
        <v>727</v>
      </c>
      <c r="N323" s="29" t="s">
        <v>973</v>
      </c>
      <c r="O323" s="28"/>
      <c r="P323" s="28" t="s">
        <v>76</v>
      </c>
      <c r="Q323" s="28"/>
      <c r="R323" s="29"/>
      <c r="S323" s="28"/>
      <c r="T323" s="28"/>
      <c r="U323" s="9" t="s">
        <v>75</v>
      </c>
      <c r="V323" s="9" t="s">
        <v>75</v>
      </c>
      <c r="W323" s="28"/>
    </row>
    <row r="324" spans="1:23" s="12" customFormat="1">
      <c r="A324" s="46" t="s">
        <v>572</v>
      </c>
      <c r="B324" s="28" t="s">
        <v>1333</v>
      </c>
      <c r="C324" s="28" t="s">
        <v>2330</v>
      </c>
      <c r="D324" s="28" t="s">
        <v>682</v>
      </c>
      <c r="E324" s="28" t="s">
        <v>268</v>
      </c>
      <c r="F324" s="28" t="s">
        <v>500</v>
      </c>
      <c r="G324" s="28" t="s">
        <v>500</v>
      </c>
      <c r="H324" s="28" t="s">
        <v>2348</v>
      </c>
      <c r="I324" s="28" t="str">
        <f>VLOOKUP(E324,표준용어사전!$C$2:$D$494, 2, FALSE)</f>
        <v>코드C1</v>
      </c>
      <c r="J324" s="28" t="s">
        <v>709</v>
      </c>
      <c r="K324" s="29">
        <v>1</v>
      </c>
      <c r="L324" s="55" t="s">
        <v>571</v>
      </c>
      <c r="M324" s="29" t="s">
        <v>722</v>
      </c>
      <c r="N324" s="29" t="s">
        <v>75</v>
      </c>
      <c r="O324" s="28"/>
      <c r="P324" s="28" t="s">
        <v>76</v>
      </c>
      <c r="Q324" s="28"/>
      <c r="R324" s="29"/>
      <c r="S324" s="28"/>
      <c r="T324" s="28"/>
      <c r="U324" s="9" t="s">
        <v>75</v>
      </c>
      <c r="V324" s="9" t="s">
        <v>75</v>
      </c>
      <c r="W324" s="28"/>
    </row>
    <row r="325" spans="1:23" s="12" customFormat="1">
      <c r="A325" s="46" t="s">
        <v>572</v>
      </c>
      <c r="B325" s="28" t="s">
        <v>1333</v>
      </c>
      <c r="C325" s="28" t="s">
        <v>2330</v>
      </c>
      <c r="D325" s="28" t="s">
        <v>682</v>
      </c>
      <c r="E325" s="28" t="s">
        <v>252</v>
      </c>
      <c r="F325" s="28" t="s">
        <v>77</v>
      </c>
      <c r="G325" s="28" t="s">
        <v>77</v>
      </c>
      <c r="H325" s="28" t="s">
        <v>2348</v>
      </c>
      <c r="I325" s="28" t="str">
        <f>VLOOKUP(E325,표준용어사전!$C$2:$D$494, 2, FALSE)</f>
        <v>내용TXT</v>
      </c>
      <c r="J325" s="28" t="s">
        <v>713</v>
      </c>
      <c r="K325" s="29" t="s">
        <v>571</v>
      </c>
      <c r="L325" s="55" t="s">
        <v>571</v>
      </c>
      <c r="M325" s="29" t="s">
        <v>2590</v>
      </c>
      <c r="N325" s="29" t="s">
        <v>75</v>
      </c>
      <c r="O325" s="28"/>
      <c r="P325" s="28" t="s">
        <v>76</v>
      </c>
      <c r="Q325" s="28"/>
      <c r="R325" s="29"/>
      <c r="S325" s="28"/>
      <c r="T325" s="28"/>
      <c r="U325" s="9" t="s">
        <v>75</v>
      </c>
      <c r="V325" s="9" t="s">
        <v>75</v>
      </c>
      <c r="W325" s="28"/>
    </row>
    <row r="326" spans="1:23" s="12" customFormat="1">
      <c r="A326" s="46" t="s">
        <v>572</v>
      </c>
      <c r="B326" s="28" t="s">
        <v>1333</v>
      </c>
      <c r="C326" s="28" t="s">
        <v>2330</v>
      </c>
      <c r="D326" s="9" t="s">
        <v>682</v>
      </c>
      <c r="E326" s="28" t="s">
        <v>90</v>
      </c>
      <c r="F326" s="28" t="s">
        <v>14</v>
      </c>
      <c r="G326" s="28" t="s">
        <v>14</v>
      </c>
      <c r="H326" s="28" t="s">
        <v>2348</v>
      </c>
      <c r="I326" s="28" t="str">
        <f>VLOOKUP(E326,표준용어사전!$C$2:$D$494, 2, FALSE)</f>
        <v>연월일시분초TS</v>
      </c>
      <c r="J326" s="28" t="s">
        <v>719</v>
      </c>
      <c r="K326" s="29" t="s">
        <v>571</v>
      </c>
      <c r="L326" s="55" t="s">
        <v>571</v>
      </c>
      <c r="M326" s="29" t="s">
        <v>726</v>
      </c>
      <c r="N326" s="10" t="s">
        <v>973</v>
      </c>
      <c r="O326" s="9"/>
      <c r="P326" s="9" t="s">
        <v>76</v>
      </c>
      <c r="Q326" s="28"/>
      <c r="R326" s="29"/>
      <c r="S326" s="9"/>
      <c r="T326" s="9"/>
      <c r="U326" s="9" t="s">
        <v>75</v>
      </c>
      <c r="V326" s="9" t="s">
        <v>75</v>
      </c>
      <c r="W326" s="9"/>
    </row>
    <row r="327" spans="1:23" s="12" customFormat="1">
      <c r="A327" s="46" t="s">
        <v>572</v>
      </c>
      <c r="B327" s="28" t="s">
        <v>1333</v>
      </c>
      <c r="C327" s="28" t="s">
        <v>2330</v>
      </c>
      <c r="D327" s="28" t="s">
        <v>682</v>
      </c>
      <c r="E327" s="28" t="s">
        <v>91</v>
      </c>
      <c r="F327" s="28" t="s">
        <v>369</v>
      </c>
      <c r="G327" s="28" t="s">
        <v>369</v>
      </c>
      <c r="H327" s="28" t="s">
        <v>2348</v>
      </c>
      <c r="I327" s="28" t="str">
        <f>VLOOKUP(E327,표준용어사전!$C$2:$D$494, 2, FALSE)</f>
        <v>명V20</v>
      </c>
      <c r="J327" s="28" t="s">
        <v>718</v>
      </c>
      <c r="K327" s="29" t="s">
        <v>986</v>
      </c>
      <c r="L327" s="55" t="s">
        <v>571</v>
      </c>
      <c r="M327" s="29" t="s">
        <v>727</v>
      </c>
      <c r="N327" s="29" t="s">
        <v>75</v>
      </c>
      <c r="O327" s="28"/>
      <c r="P327" s="28" t="s">
        <v>76</v>
      </c>
      <c r="Q327" s="28"/>
      <c r="R327" s="29"/>
      <c r="S327" s="28"/>
      <c r="T327" s="28"/>
      <c r="U327" s="9" t="s">
        <v>75</v>
      </c>
      <c r="V327" s="9" t="s">
        <v>75</v>
      </c>
      <c r="W327" s="28"/>
    </row>
    <row r="328" spans="1:23" s="12" customFormat="1">
      <c r="A328" s="46" t="s">
        <v>572</v>
      </c>
      <c r="B328" s="28" t="s">
        <v>1333</v>
      </c>
      <c r="C328" s="28" t="s">
        <v>2330</v>
      </c>
      <c r="D328" s="9" t="s">
        <v>682</v>
      </c>
      <c r="E328" s="28" t="s">
        <v>92</v>
      </c>
      <c r="F328" s="28" t="s">
        <v>15</v>
      </c>
      <c r="G328" s="28" t="s">
        <v>15</v>
      </c>
      <c r="H328" s="28" t="s">
        <v>2348</v>
      </c>
      <c r="I328" s="28" t="str">
        <f>VLOOKUP(E328,표준용어사전!$C$2:$D$494, 2, FALSE)</f>
        <v>연월일시분초TS</v>
      </c>
      <c r="J328" s="28" t="s">
        <v>719</v>
      </c>
      <c r="K328" s="29" t="s">
        <v>571</v>
      </c>
      <c r="L328" s="55" t="s">
        <v>571</v>
      </c>
      <c r="M328" s="29" t="s">
        <v>726</v>
      </c>
      <c r="N328" s="10" t="s">
        <v>75</v>
      </c>
      <c r="O328" s="9"/>
      <c r="P328" s="9" t="s">
        <v>76</v>
      </c>
      <c r="Q328" s="28"/>
      <c r="R328" s="29"/>
      <c r="S328" s="9"/>
      <c r="T328" s="9"/>
      <c r="U328" s="9" t="s">
        <v>75</v>
      </c>
      <c r="V328" s="9" t="s">
        <v>75</v>
      </c>
      <c r="W328" s="9"/>
    </row>
    <row r="329" spans="1:23" s="12" customFormat="1">
      <c r="A329" s="46" t="s">
        <v>572</v>
      </c>
      <c r="B329" s="28" t="s">
        <v>1333</v>
      </c>
      <c r="C329" s="28" t="s">
        <v>2330</v>
      </c>
      <c r="D329" s="28" t="s">
        <v>682</v>
      </c>
      <c r="E329" s="28" t="s">
        <v>93</v>
      </c>
      <c r="F329" s="28" t="s">
        <v>370</v>
      </c>
      <c r="G329" s="28" t="s">
        <v>370</v>
      </c>
      <c r="H329" s="28" t="s">
        <v>2348</v>
      </c>
      <c r="I329" s="28" t="str">
        <f>VLOOKUP(E329,표준용어사전!$C$2:$D$494, 2, FALSE)</f>
        <v>명V20</v>
      </c>
      <c r="J329" s="28" t="s">
        <v>718</v>
      </c>
      <c r="K329" s="29" t="s">
        <v>986</v>
      </c>
      <c r="L329" s="55" t="s">
        <v>571</v>
      </c>
      <c r="M329" s="29" t="s">
        <v>727</v>
      </c>
      <c r="N329" s="29" t="s">
        <v>75</v>
      </c>
      <c r="O329" s="28"/>
      <c r="P329" s="28" t="s">
        <v>76</v>
      </c>
      <c r="Q329" s="28"/>
      <c r="R329" s="29"/>
      <c r="S329" s="28"/>
      <c r="T329" s="28"/>
      <c r="U329" s="28" t="s">
        <v>75</v>
      </c>
      <c r="V329" s="28" t="s">
        <v>75</v>
      </c>
      <c r="W329" s="28"/>
    </row>
    <row r="330" spans="1:23" s="12" customFormat="1">
      <c r="A330" s="46" t="s">
        <v>711</v>
      </c>
      <c r="B330" s="28" t="s">
        <v>1335</v>
      </c>
      <c r="C330" s="28" t="s">
        <v>2330</v>
      </c>
      <c r="D330" s="28" t="s">
        <v>629</v>
      </c>
      <c r="E330" s="28" t="s">
        <v>145</v>
      </c>
      <c r="F330" s="28" t="s">
        <v>2074</v>
      </c>
      <c r="G330" s="28" t="s">
        <v>2074</v>
      </c>
      <c r="H330" s="28" t="s">
        <v>2349</v>
      </c>
      <c r="I330" s="28" t="str">
        <f>VLOOKUP(E330,표준용어사전!$C$2:$D$494, 2, FALSE)</f>
        <v>번호I</v>
      </c>
      <c r="J330" s="28" t="s">
        <v>717</v>
      </c>
      <c r="K330" s="29" t="s">
        <v>571</v>
      </c>
      <c r="L330" s="55" t="s">
        <v>571</v>
      </c>
      <c r="M330" s="29" t="s">
        <v>2591</v>
      </c>
      <c r="N330" s="29" t="s">
        <v>973</v>
      </c>
      <c r="O330" s="28" t="s">
        <v>73</v>
      </c>
      <c r="P330" s="28" t="s">
        <v>76</v>
      </c>
      <c r="Q330" s="28"/>
      <c r="R330" s="29"/>
      <c r="S330" s="28"/>
      <c r="T330" s="28"/>
      <c r="U330" s="9" t="s">
        <v>75</v>
      </c>
      <c r="V330" s="9" t="s">
        <v>75</v>
      </c>
      <c r="W330" s="28"/>
    </row>
    <row r="331" spans="1:23" s="12" customFormat="1">
      <c r="A331" s="46" t="s">
        <v>711</v>
      </c>
      <c r="B331" s="28" t="s">
        <v>1335</v>
      </c>
      <c r="C331" s="28" t="s">
        <v>2330</v>
      </c>
      <c r="D331" s="9" t="s">
        <v>629</v>
      </c>
      <c r="E331" s="28" t="s">
        <v>89</v>
      </c>
      <c r="F331" s="28" t="s">
        <v>501</v>
      </c>
      <c r="G331" s="28" t="s">
        <v>501</v>
      </c>
      <c r="H331" s="28" t="s">
        <v>2349</v>
      </c>
      <c r="I331" s="28" t="str">
        <f>VLOOKUP(E331,표준용어사전!$C$2:$D$494, 2, FALSE)</f>
        <v>명V20</v>
      </c>
      <c r="J331" s="28" t="s">
        <v>718</v>
      </c>
      <c r="K331" s="29" t="s">
        <v>986</v>
      </c>
      <c r="L331" s="55" t="s">
        <v>571</v>
      </c>
      <c r="M331" s="29" t="s">
        <v>727</v>
      </c>
      <c r="N331" s="10" t="s">
        <v>973</v>
      </c>
      <c r="O331" s="9"/>
      <c r="P331" s="9" t="s">
        <v>76</v>
      </c>
      <c r="Q331" s="28"/>
      <c r="R331" s="29"/>
      <c r="S331" s="9"/>
      <c r="T331" s="9"/>
      <c r="U331" s="9" t="s">
        <v>75</v>
      </c>
      <c r="V331" s="9" t="s">
        <v>75</v>
      </c>
      <c r="W331" s="9"/>
    </row>
    <row r="332" spans="1:23" s="12" customFormat="1">
      <c r="A332" s="46" t="s">
        <v>711</v>
      </c>
      <c r="B332" s="28" t="s">
        <v>1335</v>
      </c>
      <c r="C332" s="28" t="s">
        <v>2330</v>
      </c>
      <c r="D332" s="28" t="s">
        <v>629</v>
      </c>
      <c r="E332" s="28" t="s">
        <v>137</v>
      </c>
      <c r="F332" s="28" t="s">
        <v>1613</v>
      </c>
      <c r="G332" s="28" t="s">
        <v>1613</v>
      </c>
      <c r="H332" s="28" t="s">
        <v>2349</v>
      </c>
      <c r="I332" s="28" t="str">
        <f>VLOOKUP(E332,표준용어사전!$C$2:$D$494, 2, FALSE)</f>
        <v>명V50</v>
      </c>
      <c r="J332" s="28" t="s">
        <v>718</v>
      </c>
      <c r="K332" s="29">
        <v>50</v>
      </c>
      <c r="L332" s="55" t="s">
        <v>571</v>
      </c>
      <c r="M332" s="29" t="s">
        <v>720</v>
      </c>
      <c r="N332" s="29" t="s">
        <v>75</v>
      </c>
      <c r="O332" s="28"/>
      <c r="P332" s="28" t="s">
        <v>76</v>
      </c>
      <c r="Q332" s="28"/>
      <c r="R332" s="29"/>
      <c r="S332" s="28"/>
      <c r="T332" s="28"/>
      <c r="U332" s="9" t="s">
        <v>75</v>
      </c>
      <c r="V332" s="9" t="s">
        <v>75</v>
      </c>
      <c r="W332" s="28"/>
    </row>
    <row r="333" spans="1:23" s="12" customFormat="1">
      <c r="A333" s="46" t="s">
        <v>711</v>
      </c>
      <c r="B333" s="28" t="s">
        <v>1335</v>
      </c>
      <c r="C333" s="28" t="s">
        <v>2330</v>
      </c>
      <c r="D333" s="9" t="s">
        <v>629</v>
      </c>
      <c r="E333" s="28" t="s">
        <v>138</v>
      </c>
      <c r="F333" s="28" t="s">
        <v>2075</v>
      </c>
      <c r="G333" s="28" t="s">
        <v>2075</v>
      </c>
      <c r="H333" s="28" t="s">
        <v>2349</v>
      </c>
      <c r="I333" s="28" t="str">
        <f>VLOOKUP(E333,표준용어사전!$C$2:$D$494, 2, FALSE)</f>
        <v>코드V50</v>
      </c>
      <c r="J333" s="28" t="s">
        <v>718</v>
      </c>
      <c r="K333" s="29">
        <v>50</v>
      </c>
      <c r="L333" s="55" t="s">
        <v>571</v>
      </c>
      <c r="M333" s="29" t="s">
        <v>720</v>
      </c>
      <c r="N333" s="29" t="s">
        <v>75</v>
      </c>
      <c r="O333" s="9"/>
      <c r="P333" s="9" t="s">
        <v>76</v>
      </c>
      <c r="Q333" s="28"/>
      <c r="R333" s="29"/>
      <c r="S333" s="9"/>
      <c r="T333" s="9"/>
      <c r="U333" s="9" t="s">
        <v>75</v>
      </c>
      <c r="V333" s="9" t="s">
        <v>75</v>
      </c>
      <c r="W333" s="9"/>
    </row>
    <row r="334" spans="1:23" s="12" customFormat="1">
      <c r="A334" s="46" t="s">
        <v>711</v>
      </c>
      <c r="B334" s="28" t="s">
        <v>1335</v>
      </c>
      <c r="C334" s="28" t="s">
        <v>2330</v>
      </c>
      <c r="D334" s="28" t="s">
        <v>629</v>
      </c>
      <c r="E334" s="28" t="s">
        <v>146</v>
      </c>
      <c r="F334" s="28" t="s">
        <v>2076</v>
      </c>
      <c r="G334" s="28" t="s">
        <v>2076</v>
      </c>
      <c r="H334" s="28" t="s">
        <v>2349</v>
      </c>
      <c r="I334" s="28" t="str">
        <f>VLOOKUP(E334,표준용어사전!$C$2:$D$494, 2, FALSE)</f>
        <v>명V512</v>
      </c>
      <c r="J334" s="28" t="s">
        <v>718</v>
      </c>
      <c r="K334" s="29">
        <v>512</v>
      </c>
      <c r="L334" s="55" t="s">
        <v>571</v>
      </c>
      <c r="M334" s="29" t="s">
        <v>721</v>
      </c>
      <c r="N334" s="29" t="s">
        <v>75</v>
      </c>
      <c r="O334" s="28"/>
      <c r="P334" s="28" t="s">
        <v>76</v>
      </c>
      <c r="Q334" s="28"/>
      <c r="R334" s="29"/>
      <c r="S334" s="28"/>
      <c r="T334" s="28"/>
      <c r="U334" s="9" t="s">
        <v>75</v>
      </c>
      <c r="V334" s="9" t="s">
        <v>75</v>
      </c>
      <c r="W334" s="28"/>
    </row>
    <row r="335" spans="1:23" s="12" customFormat="1">
      <c r="A335" s="46" t="s">
        <v>711</v>
      </c>
      <c r="B335" s="28" t="s">
        <v>1335</v>
      </c>
      <c r="C335" s="28" t="s">
        <v>2330</v>
      </c>
      <c r="D335" s="28" t="s">
        <v>629</v>
      </c>
      <c r="E335" s="28" t="s">
        <v>2078</v>
      </c>
      <c r="F335" s="28" t="s">
        <v>2077</v>
      </c>
      <c r="G335" s="28" t="s">
        <v>2077</v>
      </c>
      <c r="H335" s="28" t="s">
        <v>2349</v>
      </c>
      <c r="I335" s="28" t="str">
        <f>VLOOKUP(E335,표준용어사전!$C$2:$D$494, 2, FALSE)</f>
        <v>명V2000</v>
      </c>
      <c r="J335" s="28" t="s">
        <v>718</v>
      </c>
      <c r="K335" s="29" t="s">
        <v>1062</v>
      </c>
      <c r="L335" s="55" t="s">
        <v>571</v>
      </c>
      <c r="M335" s="29" t="s">
        <v>728</v>
      </c>
      <c r="N335" s="29" t="s">
        <v>75</v>
      </c>
      <c r="O335" s="28"/>
      <c r="P335" s="28" t="s">
        <v>76</v>
      </c>
      <c r="Q335" s="28"/>
      <c r="R335" s="29"/>
      <c r="S335" s="28"/>
      <c r="T335" s="28"/>
      <c r="U335" s="9" t="s">
        <v>75</v>
      </c>
      <c r="V335" s="9" t="s">
        <v>75</v>
      </c>
      <c r="W335" s="28"/>
    </row>
    <row r="336" spans="1:23" s="12" customFormat="1">
      <c r="A336" s="46" t="s">
        <v>711</v>
      </c>
      <c r="B336" s="28" t="s">
        <v>1335</v>
      </c>
      <c r="C336" s="28" t="s">
        <v>2330</v>
      </c>
      <c r="D336" s="28" t="s">
        <v>629</v>
      </c>
      <c r="E336" s="28" t="s">
        <v>853</v>
      </c>
      <c r="F336" s="28" t="s">
        <v>767</v>
      </c>
      <c r="G336" s="28" t="s">
        <v>767</v>
      </c>
      <c r="H336" s="28" t="s">
        <v>2349</v>
      </c>
      <c r="I336" s="28" t="str">
        <f>VLOOKUP(E336,표준용어사전!$C$2:$D$494, 2, FALSE)</f>
        <v>명V256</v>
      </c>
      <c r="J336" s="28" t="s">
        <v>718</v>
      </c>
      <c r="K336" s="29">
        <v>256</v>
      </c>
      <c r="L336" s="55" t="s">
        <v>571</v>
      </c>
      <c r="M336" s="29" t="s">
        <v>730</v>
      </c>
      <c r="N336" s="29" t="s">
        <v>75</v>
      </c>
      <c r="O336" s="28"/>
      <c r="P336" s="28" t="s">
        <v>76</v>
      </c>
      <c r="Q336" s="28"/>
      <c r="R336" s="29"/>
      <c r="S336" s="28"/>
      <c r="T336" s="28"/>
      <c r="U336" s="9" t="s">
        <v>75</v>
      </c>
      <c r="V336" s="9" t="s">
        <v>75</v>
      </c>
      <c r="W336" s="28"/>
    </row>
    <row r="337" spans="1:23" s="12" customFormat="1">
      <c r="A337" s="46" t="s">
        <v>711</v>
      </c>
      <c r="B337" s="28" t="s">
        <v>1335</v>
      </c>
      <c r="C337" s="28" t="s">
        <v>2330</v>
      </c>
      <c r="D337" s="28" t="s">
        <v>629</v>
      </c>
      <c r="E337" s="28" t="s">
        <v>854</v>
      </c>
      <c r="F337" s="28" t="s">
        <v>768</v>
      </c>
      <c r="G337" s="28" t="s">
        <v>768</v>
      </c>
      <c r="H337" s="28" t="s">
        <v>2349</v>
      </c>
      <c r="I337" s="28" t="str">
        <f>VLOOKUP(E337,표준용어사전!$C$2:$D$494, 2, FALSE)</f>
        <v>명V256</v>
      </c>
      <c r="J337" s="28" t="s">
        <v>718</v>
      </c>
      <c r="K337" s="29">
        <v>256</v>
      </c>
      <c r="L337" s="55" t="s">
        <v>571</v>
      </c>
      <c r="M337" s="29" t="s">
        <v>730</v>
      </c>
      <c r="N337" s="29" t="s">
        <v>75</v>
      </c>
      <c r="O337" s="28"/>
      <c r="P337" s="28" t="s">
        <v>76</v>
      </c>
      <c r="Q337" s="28"/>
      <c r="R337" s="29"/>
      <c r="S337" s="28"/>
      <c r="T337" s="28"/>
      <c r="U337" s="28" t="s">
        <v>75</v>
      </c>
      <c r="V337" s="28" t="s">
        <v>75</v>
      </c>
      <c r="W337" s="28"/>
    </row>
    <row r="338" spans="1:23" s="12" customFormat="1">
      <c r="A338" s="46" t="s">
        <v>711</v>
      </c>
      <c r="B338" s="28" t="s">
        <v>1335</v>
      </c>
      <c r="C338" s="28" t="s">
        <v>2330</v>
      </c>
      <c r="D338" s="9" t="s">
        <v>629</v>
      </c>
      <c r="E338" s="28" t="s">
        <v>2080</v>
      </c>
      <c r="F338" s="28" t="s">
        <v>2079</v>
      </c>
      <c r="G338" s="28" t="s">
        <v>2079</v>
      </c>
      <c r="H338" s="28" t="s">
        <v>2349</v>
      </c>
      <c r="I338" s="28" t="str">
        <f>VLOOKUP(E338,표준용어사전!$C$2:$D$494, 2, FALSE)</f>
        <v>명TXT</v>
      </c>
      <c r="J338" s="28" t="s">
        <v>713</v>
      </c>
      <c r="K338" s="29" t="s">
        <v>571</v>
      </c>
      <c r="L338" s="55" t="s">
        <v>571</v>
      </c>
      <c r="M338" s="29" t="s">
        <v>2590</v>
      </c>
      <c r="N338" s="10" t="s">
        <v>75</v>
      </c>
      <c r="O338" s="9"/>
      <c r="P338" s="9" t="s">
        <v>76</v>
      </c>
      <c r="Q338" s="28"/>
      <c r="R338" s="29"/>
      <c r="S338" s="9"/>
      <c r="T338" s="9"/>
      <c r="U338" s="9" t="s">
        <v>75</v>
      </c>
      <c r="V338" s="9" t="s">
        <v>75</v>
      </c>
      <c r="W338" s="9"/>
    </row>
    <row r="339" spans="1:23" s="12" customFormat="1">
      <c r="A339" s="46" t="s">
        <v>711</v>
      </c>
      <c r="B339" s="28" t="s">
        <v>1335</v>
      </c>
      <c r="C339" s="28" t="s">
        <v>2330</v>
      </c>
      <c r="D339" s="28" t="s">
        <v>629</v>
      </c>
      <c r="E339" s="28" t="s">
        <v>2082</v>
      </c>
      <c r="F339" s="28" t="s">
        <v>2081</v>
      </c>
      <c r="G339" s="28" t="s">
        <v>2081</v>
      </c>
      <c r="H339" s="28" t="s">
        <v>2349</v>
      </c>
      <c r="I339" s="28" t="str">
        <f>VLOOKUP(E339,표준용어사전!$C$2:$D$494, 2, FALSE)</f>
        <v>주소V2000</v>
      </c>
      <c r="J339" s="28" t="s">
        <v>718</v>
      </c>
      <c r="K339" s="29">
        <v>2000</v>
      </c>
      <c r="L339" s="55" t="s">
        <v>571</v>
      </c>
      <c r="M339" s="29" t="s">
        <v>728</v>
      </c>
      <c r="N339" s="29" t="s">
        <v>75</v>
      </c>
      <c r="O339" s="28"/>
      <c r="P339" s="28" t="s">
        <v>76</v>
      </c>
      <c r="Q339" s="28"/>
      <c r="R339" s="29"/>
      <c r="S339" s="28"/>
      <c r="T339" s="28"/>
      <c r="U339" s="9" t="s">
        <v>75</v>
      </c>
      <c r="V339" s="9" t="s">
        <v>75</v>
      </c>
      <c r="W339" s="28"/>
    </row>
    <row r="340" spans="1:23" s="12" customFormat="1">
      <c r="A340" s="46" t="s">
        <v>711</v>
      </c>
      <c r="B340" s="28" t="s">
        <v>1335</v>
      </c>
      <c r="C340" s="28" t="s">
        <v>2330</v>
      </c>
      <c r="D340" s="28" t="s">
        <v>629</v>
      </c>
      <c r="E340" s="28" t="s">
        <v>2083</v>
      </c>
      <c r="F340" s="28" t="s">
        <v>411</v>
      </c>
      <c r="G340" s="28" t="s">
        <v>411</v>
      </c>
      <c r="H340" s="28" t="s">
        <v>2349</v>
      </c>
      <c r="I340" s="28" t="str">
        <f>VLOOKUP(E340,표준용어사전!$C$2:$D$494, 2, FALSE)</f>
        <v>명V256</v>
      </c>
      <c r="J340" s="28" t="s">
        <v>718</v>
      </c>
      <c r="K340" s="29">
        <v>256</v>
      </c>
      <c r="L340" s="55" t="s">
        <v>571</v>
      </c>
      <c r="M340" s="29" t="s">
        <v>730</v>
      </c>
      <c r="N340" s="29" t="s">
        <v>75</v>
      </c>
      <c r="O340" s="28"/>
      <c r="P340" s="28" t="s">
        <v>76</v>
      </c>
      <c r="Q340" s="28"/>
      <c r="R340" s="29"/>
      <c r="S340" s="28"/>
      <c r="T340" s="28"/>
      <c r="U340" s="9" t="s">
        <v>75</v>
      </c>
      <c r="V340" s="9" t="s">
        <v>75</v>
      </c>
      <c r="W340" s="28"/>
    </row>
    <row r="341" spans="1:23" s="12" customFormat="1">
      <c r="A341" s="46" t="s">
        <v>711</v>
      </c>
      <c r="B341" s="28" t="s">
        <v>1335</v>
      </c>
      <c r="C341" s="28" t="s">
        <v>2330</v>
      </c>
      <c r="D341" s="28" t="s">
        <v>629</v>
      </c>
      <c r="E341" s="28" t="s">
        <v>2066</v>
      </c>
      <c r="F341" s="28" t="s">
        <v>2065</v>
      </c>
      <c r="G341" s="28" t="s">
        <v>2065</v>
      </c>
      <c r="H341" s="28" t="s">
        <v>2349</v>
      </c>
      <c r="I341" s="28" t="str">
        <f>VLOOKUP(E341,표준용어사전!$C$2:$D$494, 2, FALSE)</f>
        <v>주소V2000</v>
      </c>
      <c r="J341" s="28" t="s">
        <v>718</v>
      </c>
      <c r="K341" s="29">
        <v>2000</v>
      </c>
      <c r="L341" s="55" t="s">
        <v>571</v>
      </c>
      <c r="M341" s="29" t="s">
        <v>728</v>
      </c>
      <c r="N341" s="29" t="s">
        <v>75</v>
      </c>
      <c r="O341" s="28"/>
      <c r="P341" s="28" t="s">
        <v>76</v>
      </c>
      <c r="Q341" s="28"/>
      <c r="R341" s="29"/>
      <c r="S341" s="28"/>
      <c r="T341" s="28"/>
      <c r="U341" s="9" t="s">
        <v>75</v>
      </c>
      <c r="V341" s="9" t="s">
        <v>75</v>
      </c>
      <c r="W341" s="28"/>
    </row>
    <row r="342" spans="1:23" s="12" customFormat="1">
      <c r="A342" s="46" t="s">
        <v>711</v>
      </c>
      <c r="B342" s="28" t="s">
        <v>1335</v>
      </c>
      <c r="C342" s="28" t="s">
        <v>2330</v>
      </c>
      <c r="D342" s="28" t="s">
        <v>629</v>
      </c>
      <c r="E342" s="28" t="s">
        <v>2068</v>
      </c>
      <c r="F342" s="28" t="s">
        <v>406</v>
      </c>
      <c r="G342" s="28" t="s">
        <v>406</v>
      </c>
      <c r="H342" s="28" t="s">
        <v>2349</v>
      </c>
      <c r="I342" s="28" t="str">
        <f>VLOOKUP(E342,표준용어사전!$C$2:$D$494, 2, FALSE)</f>
        <v>명V256</v>
      </c>
      <c r="J342" s="28" t="s">
        <v>718</v>
      </c>
      <c r="K342" s="29">
        <v>256</v>
      </c>
      <c r="L342" s="55" t="s">
        <v>571</v>
      </c>
      <c r="M342" s="29" t="s">
        <v>730</v>
      </c>
      <c r="N342" s="29" t="s">
        <v>75</v>
      </c>
      <c r="O342" s="28"/>
      <c r="P342" s="28" t="s">
        <v>76</v>
      </c>
      <c r="Q342" s="28"/>
      <c r="R342" s="29"/>
      <c r="S342" s="28"/>
      <c r="T342" s="28"/>
      <c r="U342" s="9" t="s">
        <v>75</v>
      </c>
      <c r="V342" s="9" t="s">
        <v>75</v>
      </c>
      <c r="W342" s="28"/>
    </row>
    <row r="343" spans="1:23" s="12" customFormat="1">
      <c r="A343" s="46" t="s">
        <v>711</v>
      </c>
      <c r="B343" s="28" t="s">
        <v>1335</v>
      </c>
      <c r="C343" s="28" t="s">
        <v>2330</v>
      </c>
      <c r="D343" s="28" t="s">
        <v>629</v>
      </c>
      <c r="E343" s="28" t="s">
        <v>2070</v>
      </c>
      <c r="F343" s="28" t="s">
        <v>2069</v>
      </c>
      <c r="G343" s="28" t="s">
        <v>2069</v>
      </c>
      <c r="H343" s="28" t="s">
        <v>2349</v>
      </c>
      <c r="I343" s="28" t="str">
        <f>VLOOKUP(E343,표준용어사전!$C$2:$D$494, 2, FALSE)</f>
        <v>주소V2000</v>
      </c>
      <c r="J343" s="28" t="s">
        <v>718</v>
      </c>
      <c r="K343" s="29">
        <v>2000</v>
      </c>
      <c r="L343" s="55" t="s">
        <v>571</v>
      </c>
      <c r="M343" s="29" t="s">
        <v>728</v>
      </c>
      <c r="N343" s="29" t="s">
        <v>75</v>
      </c>
      <c r="O343" s="28"/>
      <c r="P343" s="28" t="s">
        <v>76</v>
      </c>
      <c r="Q343" s="28"/>
      <c r="R343" s="29"/>
      <c r="S343" s="28"/>
      <c r="T343" s="28"/>
      <c r="U343" s="9" t="s">
        <v>75</v>
      </c>
      <c r="V343" s="9" t="s">
        <v>75</v>
      </c>
      <c r="W343" s="28"/>
    </row>
    <row r="344" spans="1:23" s="12" customFormat="1">
      <c r="A344" s="46" t="s">
        <v>711</v>
      </c>
      <c r="B344" s="28" t="s">
        <v>1335</v>
      </c>
      <c r="C344" s="28" t="s">
        <v>2330</v>
      </c>
      <c r="D344" s="28" t="s">
        <v>629</v>
      </c>
      <c r="E344" s="28" t="s">
        <v>1991</v>
      </c>
      <c r="F344" s="28" t="s">
        <v>437</v>
      </c>
      <c r="G344" s="28" t="s">
        <v>437</v>
      </c>
      <c r="H344" s="28" t="s">
        <v>2349</v>
      </c>
      <c r="I344" s="28" t="str">
        <f>VLOOKUP(E344,표준용어사전!$C$2:$D$494, 2, FALSE)</f>
        <v>여부C1</v>
      </c>
      <c r="J344" s="28" t="s">
        <v>709</v>
      </c>
      <c r="K344" s="29">
        <v>1</v>
      </c>
      <c r="L344" s="55" t="s">
        <v>571</v>
      </c>
      <c r="M344" s="29" t="s">
        <v>722</v>
      </c>
      <c r="N344" s="29" t="s">
        <v>75</v>
      </c>
      <c r="O344" s="28"/>
      <c r="P344" s="28" t="s">
        <v>76</v>
      </c>
      <c r="Q344" s="28"/>
      <c r="R344" s="29"/>
      <c r="S344" s="28"/>
      <c r="T344" s="28"/>
      <c r="U344" s="9" t="s">
        <v>75</v>
      </c>
      <c r="V344" s="9" t="s">
        <v>75</v>
      </c>
      <c r="W344" s="28"/>
    </row>
    <row r="345" spans="1:23" s="12" customFormat="1">
      <c r="A345" s="46" t="s">
        <v>711</v>
      </c>
      <c r="B345" s="28" t="s">
        <v>1335</v>
      </c>
      <c r="C345" s="28" t="s">
        <v>2330</v>
      </c>
      <c r="D345" s="9" t="s">
        <v>629</v>
      </c>
      <c r="E345" s="28" t="s">
        <v>90</v>
      </c>
      <c r="F345" s="28" t="s">
        <v>14</v>
      </c>
      <c r="G345" s="28" t="s">
        <v>14</v>
      </c>
      <c r="H345" s="28" t="s">
        <v>2349</v>
      </c>
      <c r="I345" s="28" t="str">
        <f>VLOOKUP(E345,표준용어사전!$C$2:$D$494, 2, FALSE)</f>
        <v>연월일시분초TS</v>
      </c>
      <c r="J345" s="28" t="s">
        <v>719</v>
      </c>
      <c r="K345" s="29" t="s">
        <v>571</v>
      </c>
      <c r="L345" s="55" t="s">
        <v>571</v>
      </c>
      <c r="M345" s="29" t="s">
        <v>726</v>
      </c>
      <c r="N345" s="10" t="s">
        <v>973</v>
      </c>
      <c r="O345" s="9"/>
      <c r="P345" s="9" t="s">
        <v>76</v>
      </c>
      <c r="Q345" s="28"/>
      <c r="R345" s="29"/>
      <c r="S345" s="9"/>
      <c r="T345" s="9"/>
      <c r="U345" s="9" t="s">
        <v>75</v>
      </c>
      <c r="V345" s="9" t="s">
        <v>75</v>
      </c>
      <c r="W345" s="9"/>
    </row>
    <row r="346" spans="1:23" s="12" customFormat="1">
      <c r="A346" s="46" t="s">
        <v>711</v>
      </c>
      <c r="B346" s="28" t="s">
        <v>1335</v>
      </c>
      <c r="C346" s="28" t="s">
        <v>2330</v>
      </c>
      <c r="D346" s="9" t="s">
        <v>629</v>
      </c>
      <c r="E346" s="28" t="s">
        <v>91</v>
      </c>
      <c r="F346" s="28" t="s">
        <v>369</v>
      </c>
      <c r="G346" s="28" t="s">
        <v>369</v>
      </c>
      <c r="H346" s="28" t="s">
        <v>2349</v>
      </c>
      <c r="I346" s="28" t="str">
        <f>VLOOKUP(E346,표준용어사전!$C$2:$D$494, 2, FALSE)</f>
        <v>명V20</v>
      </c>
      <c r="J346" s="28" t="s">
        <v>718</v>
      </c>
      <c r="K346" s="29" t="s">
        <v>986</v>
      </c>
      <c r="L346" s="55" t="s">
        <v>571</v>
      </c>
      <c r="M346" s="29" t="s">
        <v>727</v>
      </c>
      <c r="N346" s="10" t="s">
        <v>75</v>
      </c>
      <c r="O346" s="9"/>
      <c r="P346" s="9" t="s">
        <v>76</v>
      </c>
      <c r="Q346" s="28"/>
      <c r="R346" s="29"/>
      <c r="S346" s="9"/>
      <c r="T346" s="9"/>
      <c r="U346" s="9" t="s">
        <v>75</v>
      </c>
      <c r="V346" s="9" t="s">
        <v>75</v>
      </c>
      <c r="W346" s="9"/>
    </row>
    <row r="347" spans="1:23" s="12" customFormat="1">
      <c r="A347" s="46" t="s">
        <v>711</v>
      </c>
      <c r="B347" s="28" t="s">
        <v>1335</v>
      </c>
      <c r="C347" s="28" t="s">
        <v>2330</v>
      </c>
      <c r="D347" s="9" t="s">
        <v>629</v>
      </c>
      <c r="E347" s="28" t="s">
        <v>92</v>
      </c>
      <c r="F347" s="28" t="s">
        <v>15</v>
      </c>
      <c r="G347" s="28" t="s">
        <v>15</v>
      </c>
      <c r="H347" s="28" t="s">
        <v>2349</v>
      </c>
      <c r="I347" s="28" t="str">
        <f>VLOOKUP(E347,표준용어사전!$C$2:$D$494, 2, FALSE)</f>
        <v>연월일시분초TS</v>
      </c>
      <c r="J347" s="28" t="s">
        <v>719</v>
      </c>
      <c r="K347" s="29" t="s">
        <v>571</v>
      </c>
      <c r="L347" s="55" t="s">
        <v>571</v>
      </c>
      <c r="M347" s="29" t="s">
        <v>726</v>
      </c>
      <c r="N347" s="10" t="s">
        <v>75</v>
      </c>
      <c r="O347" s="9"/>
      <c r="P347" s="9" t="s">
        <v>76</v>
      </c>
      <c r="Q347" s="28"/>
      <c r="R347" s="29"/>
      <c r="S347" s="9"/>
      <c r="T347" s="9"/>
      <c r="U347" s="9" t="s">
        <v>75</v>
      </c>
      <c r="V347" s="9" t="s">
        <v>75</v>
      </c>
      <c r="W347" s="9"/>
    </row>
    <row r="348" spans="1:23" s="12" customFormat="1">
      <c r="A348" s="46" t="s">
        <v>711</v>
      </c>
      <c r="B348" s="28" t="s">
        <v>1335</v>
      </c>
      <c r="C348" s="28" t="s">
        <v>2330</v>
      </c>
      <c r="D348" s="28" t="s">
        <v>629</v>
      </c>
      <c r="E348" s="28" t="s">
        <v>93</v>
      </c>
      <c r="F348" s="28" t="s">
        <v>370</v>
      </c>
      <c r="G348" s="28" t="s">
        <v>370</v>
      </c>
      <c r="H348" s="28" t="s">
        <v>2349</v>
      </c>
      <c r="I348" s="28" t="str">
        <f>VLOOKUP(E348,표준용어사전!$C$2:$D$494, 2, FALSE)</f>
        <v>명V20</v>
      </c>
      <c r="J348" s="28" t="s">
        <v>718</v>
      </c>
      <c r="K348" s="29" t="s">
        <v>986</v>
      </c>
      <c r="L348" s="55" t="s">
        <v>571</v>
      </c>
      <c r="M348" s="29" t="s">
        <v>727</v>
      </c>
      <c r="N348" s="29" t="s">
        <v>75</v>
      </c>
      <c r="O348" s="9"/>
      <c r="P348" s="9" t="s">
        <v>76</v>
      </c>
      <c r="Q348" s="28"/>
      <c r="R348" s="29"/>
      <c r="S348" s="9"/>
      <c r="T348" s="9"/>
      <c r="U348" s="9" t="s">
        <v>75</v>
      </c>
      <c r="V348" s="9" t="s">
        <v>75</v>
      </c>
      <c r="W348" s="9"/>
    </row>
    <row r="349" spans="1:23" s="12" customFormat="1">
      <c r="A349" s="46" t="s">
        <v>572</v>
      </c>
      <c r="B349" s="28" t="s">
        <v>1335</v>
      </c>
      <c r="C349" s="28" t="s">
        <v>2330</v>
      </c>
      <c r="D349" s="9" t="s">
        <v>681</v>
      </c>
      <c r="E349" s="28" t="s">
        <v>89</v>
      </c>
      <c r="F349" s="28" t="s">
        <v>501</v>
      </c>
      <c r="G349" s="28" t="s">
        <v>501</v>
      </c>
      <c r="H349" s="28" t="s">
        <v>2350</v>
      </c>
      <c r="I349" s="28" t="str">
        <f>VLOOKUP(E349,표준용어사전!$C$2:$D$494, 2, FALSE)</f>
        <v>명V20</v>
      </c>
      <c r="J349" s="28" t="s">
        <v>718</v>
      </c>
      <c r="K349" s="29" t="s">
        <v>986</v>
      </c>
      <c r="L349" s="55" t="s">
        <v>571</v>
      </c>
      <c r="M349" s="29" t="s">
        <v>727</v>
      </c>
      <c r="N349" s="10" t="s">
        <v>973</v>
      </c>
      <c r="O349" s="9" t="s">
        <v>73</v>
      </c>
      <c r="P349" s="9" t="s">
        <v>76</v>
      </c>
      <c r="Q349" s="28"/>
      <c r="R349" s="29"/>
      <c r="S349" s="9"/>
      <c r="T349" s="9"/>
      <c r="U349" s="9" t="s">
        <v>75</v>
      </c>
      <c r="V349" s="9" t="s">
        <v>75</v>
      </c>
      <c r="W349" s="9"/>
    </row>
    <row r="350" spans="1:23" s="12" customFormat="1">
      <c r="A350" s="46" t="s">
        <v>572</v>
      </c>
      <c r="B350" s="28" t="s">
        <v>1335</v>
      </c>
      <c r="C350" s="28" t="s">
        <v>2330</v>
      </c>
      <c r="D350" s="9" t="s">
        <v>681</v>
      </c>
      <c r="E350" s="28" t="s">
        <v>150</v>
      </c>
      <c r="F350" s="28" t="s">
        <v>2073</v>
      </c>
      <c r="G350" s="28" t="s">
        <v>2073</v>
      </c>
      <c r="H350" s="28" t="s">
        <v>2350</v>
      </c>
      <c r="I350" s="28" t="str">
        <f>VLOOKUP(E350,표준용어사전!$C$2:$D$494, 2, FALSE)</f>
        <v>내용TXT</v>
      </c>
      <c r="J350" s="28" t="s">
        <v>713</v>
      </c>
      <c r="K350" s="29" t="s">
        <v>571</v>
      </c>
      <c r="L350" s="55" t="s">
        <v>571</v>
      </c>
      <c r="M350" s="29" t="s">
        <v>2590</v>
      </c>
      <c r="N350" s="10" t="s">
        <v>75</v>
      </c>
      <c r="O350" s="9"/>
      <c r="P350" s="9" t="s">
        <v>76</v>
      </c>
      <c r="Q350" s="28"/>
      <c r="R350" s="29"/>
      <c r="S350" s="9"/>
      <c r="T350" s="9"/>
      <c r="U350" s="9" t="s">
        <v>75</v>
      </c>
      <c r="V350" s="9" t="s">
        <v>75</v>
      </c>
      <c r="W350" s="9"/>
    </row>
    <row r="351" spans="1:23" s="12" customFormat="1">
      <c r="A351" s="46" t="s">
        <v>572</v>
      </c>
      <c r="B351" s="28" t="s">
        <v>1335</v>
      </c>
      <c r="C351" s="28" t="s">
        <v>2330</v>
      </c>
      <c r="D351" s="9" t="s">
        <v>681</v>
      </c>
      <c r="E351" s="28" t="s">
        <v>2066</v>
      </c>
      <c r="F351" s="28" t="s">
        <v>2065</v>
      </c>
      <c r="G351" s="28" t="s">
        <v>2065</v>
      </c>
      <c r="H351" s="28" t="s">
        <v>2350</v>
      </c>
      <c r="I351" s="28" t="str">
        <f>VLOOKUP(E351,표준용어사전!$C$2:$D$494, 2, FALSE)</f>
        <v>주소V2000</v>
      </c>
      <c r="J351" s="28" t="s">
        <v>718</v>
      </c>
      <c r="K351" s="29">
        <v>2000</v>
      </c>
      <c r="L351" s="55" t="s">
        <v>571</v>
      </c>
      <c r="M351" s="29" t="s">
        <v>728</v>
      </c>
      <c r="N351" s="10" t="s">
        <v>75</v>
      </c>
      <c r="O351" s="9"/>
      <c r="P351" s="9" t="s">
        <v>76</v>
      </c>
      <c r="Q351" s="28"/>
      <c r="R351" s="29"/>
      <c r="S351" s="9"/>
      <c r="T351" s="9"/>
      <c r="U351" s="9" t="s">
        <v>75</v>
      </c>
      <c r="V351" s="9" t="s">
        <v>75</v>
      </c>
      <c r="W351" s="9"/>
    </row>
    <row r="352" spans="1:23" s="12" customFormat="1">
      <c r="A352" s="46" t="s">
        <v>572</v>
      </c>
      <c r="B352" s="28" t="s">
        <v>1335</v>
      </c>
      <c r="C352" s="28" t="s">
        <v>2330</v>
      </c>
      <c r="D352" s="28" t="s">
        <v>681</v>
      </c>
      <c r="E352" s="28" t="s">
        <v>162</v>
      </c>
      <c r="F352" s="28" t="s">
        <v>421</v>
      </c>
      <c r="G352" s="28" t="s">
        <v>421</v>
      </c>
      <c r="H352" s="28" t="s">
        <v>2350</v>
      </c>
      <c r="I352" s="28" t="str">
        <f>VLOOKUP(E352,표준용어사전!$C$2:$D$494, 2, FALSE)</f>
        <v>여부C1</v>
      </c>
      <c r="J352" s="28" t="s">
        <v>709</v>
      </c>
      <c r="K352" s="29">
        <v>1</v>
      </c>
      <c r="L352" s="55" t="s">
        <v>571</v>
      </c>
      <c r="M352" s="29" t="s">
        <v>722</v>
      </c>
      <c r="N352" s="29" t="s">
        <v>75</v>
      </c>
      <c r="O352" s="28"/>
      <c r="P352" s="28" t="s">
        <v>76</v>
      </c>
      <c r="Q352" s="28"/>
      <c r="R352" s="29"/>
      <c r="S352" s="28"/>
      <c r="T352" s="28"/>
      <c r="U352" s="28" t="s">
        <v>75</v>
      </c>
      <c r="V352" s="28" t="s">
        <v>75</v>
      </c>
      <c r="W352" s="28"/>
    </row>
    <row r="353" spans="1:23" s="12" customFormat="1">
      <c r="A353" s="46" t="s">
        <v>572</v>
      </c>
      <c r="B353" s="28" t="s">
        <v>1335</v>
      </c>
      <c r="C353" s="28" t="s">
        <v>2330</v>
      </c>
      <c r="D353" s="9" t="s">
        <v>681</v>
      </c>
      <c r="E353" s="28" t="s">
        <v>90</v>
      </c>
      <c r="F353" s="28" t="s">
        <v>14</v>
      </c>
      <c r="G353" s="28" t="s">
        <v>14</v>
      </c>
      <c r="H353" s="28" t="s">
        <v>2350</v>
      </c>
      <c r="I353" s="28" t="str">
        <f>VLOOKUP(E353,표준용어사전!$C$2:$D$494, 2, FALSE)</f>
        <v>연월일시분초TS</v>
      </c>
      <c r="J353" s="28" t="s">
        <v>719</v>
      </c>
      <c r="K353" s="29" t="s">
        <v>571</v>
      </c>
      <c r="L353" s="55" t="s">
        <v>571</v>
      </c>
      <c r="M353" s="29" t="s">
        <v>726</v>
      </c>
      <c r="N353" s="10" t="s">
        <v>973</v>
      </c>
      <c r="O353" s="9"/>
      <c r="P353" s="9" t="s">
        <v>76</v>
      </c>
      <c r="Q353" s="28"/>
      <c r="R353" s="29"/>
      <c r="S353" s="9"/>
      <c r="T353" s="9"/>
      <c r="U353" s="9" t="s">
        <v>75</v>
      </c>
      <c r="V353" s="9" t="s">
        <v>75</v>
      </c>
      <c r="W353" s="9"/>
    </row>
    <row r="354" spans="1:23" s="12" customFormat="1">
      <c r="A354" s="46" t="s">
        <v>572</v>
      </c>
      <c r="B354" s="28" t="s">
        <v>1335</v>
      </c>
      <c r="C354" s="28" t="s">
        <v>2330</v>
      </c>
      <c r="D354" s="9" t="s">
        <v>681</v>
      </c>
      <c r="E354" s="28" t="s">
        <v>91</v>
      </c>
      <c r="F354" s="28" t="s">
        <v>369</v>
      </c>
      <c r="G354" s="28" t="s">
        <v>369</v>
      </c>
      <c r="H354" s="28" t="s">
        <v>2350</v>
      </c>
      <c r="I354" s="28" t="str">
        <f>VLOOKUP(E354,표준용어사전!$C$2:$D$494, 2, FALSE)</f>
        <v>명V20</v>
      </c>
      <c r="J354" s="28" t="s">
        <v>718</v>
      </c>
      <c r="K354" s="29" t="s">
        <v>986</v>
      </c>
      <c r="L354" s="55" t="s">
        <v>571</v>
      </c>
      <c r="M354" s="29" t="s">
        <v>727</v>
      </c>
      <c r="N354" s="10" t="s">
        <v>75</v>
      </c>
      <c r="O354" s="9"/>
      <c r="P354" s="9" t="s">
        <v>76</v>
      </c>
      <c r="Q354" s="28"/>
      <c r="R354" s="29"/>
      <c r="S354" s="9"/>
      <c r="T354" s="9"/>
      <c r="U354" s="9" t="s">
        <v>75</v>
      </c>
      <c r="V354" s="9" t="s">
        <v>75</v>
      </c>
      <c r="W354" s="9"/>
    </row>
    <row r="355" spans="1:23" s="12" customFormat="1">
      <c r="A355" s="46" t="s">
        <v>572</v>
      </c>
      <c r="B355" s="28" t="s">
        <v>1335</v>
      </c>
      <c r="C355" s="28" t="s">
        <v>2330</v>
      </c>
      <c r="D355" s="9" t="s">
        <v>681</v>
      </c>
      <c r="E355" s="28" t="s">
        <v>92</v>
      </c>
      <c r="F355" s="28" t="s">
        <v>15</v>
      </c>
      <c r="G355" s="28" t="s">
        <v>15</v>
      </c>
      <c r="H355" s="28" t="s">
        <v>2350</v>
      </c>
      <c r="I355" s="28" t="str">
        <f>VLOOKUP(E355,표준용어사전!$C$2:$D$494, 2, FALSE)</f>
        <v>연월일시분초TS</v>
      </c>
      <c r="J355" s="28" t="s">
        <v>719</v>
      </c>
      <c r="K355" s="29" t="s">
        <v>571</v>
      </c>
      <c r="L355" s="55" t="s">
        <v>571</v>
      </c>
      <c r="M355" s="29" t="s">
        <v>726</v>
      </c>
      <c r="N355" s="10" t="s">
        <v>75</v>
      </c>
      <c r="O355" s="9"/>
      <c r="P355" s="9" t="s">
        <v>76</v>
      </c>
      <c r="Q355" s="28"/>
      <c r="R355" s="29"/>
      <c r="S355" s="9"/>
      <c r="T355" s="9"/>
      <c r="U355" s="9" t="s">
        <v>75</v>
      </c>
      <c r="V355" s="9" t="s">
        <v>75</v>
      </c>
      <c r="W355" s="9"/>
    </row>
    <row r="356" spans="1:23" s="12" customFormat="1">
      <c r="A356" s="46" t="s">
        <v>572</v>
      </c>
      <c r="B356" s="28" t="s">
        <v>1335</v>
      </c>
      <c r="C356" s="28" t="s">
        <v>2330</v>
      </c>
      <c r="D356" s="9" t="s">
        <v>681</v>
      </c>
      <c r="E356" s="28" t="s">
        <v>93</v>
      </c>
      <c r="F356" s="28" t="s">
        <v>370</v>
      </c>
      <c r="G356" s="28" t="s">
        <v>370</v>
      </c>
      <c r="H356" s="28" t="s">
        <v>2350</v>
      </c>
      <c r="I356" s="28" t="str">
        <f>VLOOKUP(E356,표준용어사전!$C$2:$D$494, 2, FALSE)</f>
        <v>명V20</v>
      </c>
      <c r="J356" s="28" t="s">
        <v>718</v>
      </c>
      <c r="K356" s="29" t="s">
        <v>986</v>
      </c>
      <c r="L356" s="55" t="s">
        <v>571</v>
      </c>
      <c r="M356" s="29" t="s">
        <v>727</v>
      </c>
      <c r="N356" s="29" t="s">
        <v>75</v>
      </c>
      <c r="O356" s="9"/>
      <c r="P356" s="9" t="s">
        <v>76</v>
      </c>
      <c r="Q356" s="28"/>
      <c r="R356" s="29"/>
      <c r="S356" s="9"/>
      <c r="T356" s="9"/>
      <c r="U356" s="9" t="s">
        <v>75</v>
      </c>
      <c r="V356" s="9" t="s">
        <v>75</v>
      </c>
      <c r="W356" s="9"/>
    </row>
    <row r="357" spans="1:23" s="12" customFormat="1">
      <c r="A357" s="46" t="s">
        <v>572</v>
      </c>
      <c r="B357" s="28" t="s">
        <v>1333</v>
      </c>
      <c r="C357" s="28" t="s">
        <v>2330</v>
      </c>
      <c r="D357" s="9" t="s">
        <v>680</v>
      </c>
      <c r="E357" s="28" t="s">
        <v>851</v>
      </c>
      <c r="F357" s="28" t="s">
        <v>764</v>
      </c>
      <c r="G357" s="28" t="s">
        <v>764</v>
      </c>
      <c r="H357" s="28" t="s">
        <v>703</v>
      </c>
      <c r="I357" s="28" t="str">
        <f>VLOOKUP(E357,표준용어사전!$C$2:$D$494, 2, FALSE)</f>
        <v>번호I</v>
      </c>
      <c r="J357" s="28" t="s">
        <v>717</v>
      </c>
      <c r="K357" s="29" t="s">
        <v>571</v>
      </c>
      <c r="L357" s="55" t="s">
        <v>571</v>
      </c>
      <c r="M357" s="29" t="s">
        <v>2591</v>
      </c>
      <c r="N357" s="10" t="s">
        <v>973</v>
      </c>
      <c r="O357" s="9" t="s">
        <v>73</v>
      </c>
      <c r="P357" s="9" t="s">
        <v>76</v>
      </c>
      <c r="Q357" s="28"/>
      <c r="R357" s="29"/>
      <c r="S357" s="9"/>
      <c r="T357" s="9"/>
      <c r="U357" s="9" t="s">
        <v>75</v>
      </c>
      <c r="V357" s="9" t="s">
        <v>75</v>
      </c>
      <c r="W357" s="9"/>
    </row>
    <row r="358" spans="1:23" s="12" customFormat="1">
      <c r="A358" s="46" t="s">
        <v>572</v>
      </c>
      <c r="B358" s="28" t="s">
        <v>1333</v>
      </c>
      <c r="C358" s="28" t="s">
        <v>2330</v>
      </c>
      <c r="D358" s="9" t="s">
        <v>680</v>
      </c>
      <c r="E358" s="28" t="s">
        <v>246</v>
      </c>
      <c r="F358" s="28" t="s">
        <v>17</v>
      </c>
      <c r="G358" s="28" t="s">
        <v>17</v>
      </c>
      <c r="H358" s="28" t="s">
        <v>703</v>
      </c>
      <c r="I358" s="28" t="str">
        <f>VLOOKUP(E358,표준용어사전!$C$2:$D$494, 2, FALSE)</f>
        <v>명V20</v>
      </c>
      <c r="J358" s="28" t="s">
        <v>718</v>
      </c>
      <c r="K358" s="29" t="s">
        <v>986</v>
      </c>
      <c r="L358" s="55" t="s">
        <v>571</v>
      </c>
      <c r="M358" s="29" t="s">
        <v>727</v>
      </c>
      <c r="N358" s="10" t="s">
        <v>973</v>
      </c>
      <c r="O358" s="9"/>
      <c r="P358" s="9" t="s">
        <v>76</v>
      </c>
      <c r="Q358" s="28"/>
      <c r="R358" s="29"/>
      <c r="S358" s="9"/>
      <c r="T358" s="9"/>
      <c r="U358" s="9" t="s">
        <v>75</v>
      </c>
      <c r="V358" s="9" t="s">
        <v>75</v>
      </c>
      <c r="W358" s="9"/>
    </row>
    <row r="359" spans="1:23" s="12" customFormat="1">
      <c r="A359" s="46" t="s">
        <v>572</v>
      </c>
      <c r="B359" s="28" t="s">
        <v>1333</v>
      </c>
      <c r="C359" s="28" t="s">
        <v>2330</v>
      </c>
      <c r="D359" s="9" t="s">
        <v>680</v>
      </c>
      <c r="E359" s="28" t="s">
        <v>89</v>
      </c>
      <c r="F359" s="28" t="s">
        <v>501</v>
      </c>
      <c r="G359" s="28" t="s">
        <v>501</v>
      </c>
      <c r="H359" s="28" t="s">
        <v>703</v>
      </c>
      <c r="I359" s="28" t="str">
        <f>VLOOKUP(E359,표준용어사전!$C$2:$D$494, 2, FALSE)</f>
        <v>명V20</v>
      </c>
      <c r="J359" s="28" t="s">
        <v>718</v>
      </c>
      <c r="K359" s="29" t="s">
        <v>986</v>
      </c>
      <c r="L359" s="55" t="s">
        <v>571</v>
      </c>
      <c r="M359" s="29" t="s">
        <v>727</v>
      </c>
      <c r="N359" s="10" t="s">
        <v>973</v>
      </c>
      <c r="O359" s="9"/>
      <c r="P359" s="9" t="s">
        <v>76</v>
      </c>
      <c r="Q359" s="28"/>
      <c r="R359" s="29"/>
      <c r="S359" s="9"/>
      <c r="T359" s="9"/>
      <c r="U359" s="9" t="s">
        <v>75</v>
      </c>
      <c r="V359" s="9" t="s">
        <v>75</v>
      </c>
      <c r="W359" s="9"/>
    </row>
    <row r="360" spans="1:23" s="12" customFormat="1">
      <c r="A360" s="46" t="s">
        <v>572</v>
      </c>
      <c r="B360" s="28" t="s">
        <v>1333</v>
      </c>
      <c r="C360" s="28" t="s">
        <v>2330</v>
      </c>
      <c r="D360" s="9" t="s">
        <v>680</v>
      </c>
      <c r="E360" s="28" t="s">
        <v>852</v>
      </c>
      <c r="F360" s="28" t="s">
        <v>2422</v>
      </c>
      <c r="G360" s="28" t="s">
        <v>2422</v>
      </c>
      <c r="H360" s="28" t="s">
        <v>703</v>
      </c>
      <c r="I360" s="28" t="str">
        <f>VLOOKUP(E360,표준용어사전!$C$2:$D$494, 2, FALSE)</f>
        <v>코드C2</v>
      </c>
      <c r="J360" s="28" t="s">
        <v>709</v>
      </c>
      <c r="K360" s="29">
        <v>2</v>
      </c>
      <c r="L360" s="55" t="s">
        <v>571</v>
      </c>
      <c r="M360" s="29" t="s">
        <v>766</v>
      </c>
      <c r="N360" s="10" t="s">
        <v>75</v>
      </c>
      <c r="O360" s="9"/>
      <c r="P360" s="9" t="s">
        <v>76</v>
      </c>
      <c r="Q360" s="28"/>
      <c r="R360" s="29"/>
      <c r="S360" s="9"/>
      <c r="T360" s="9"/>
      <c r="U360" s="9" t="s">
        <v>75</v>
      </c>
      <c r="V360" s="9" t="s">
        <v>75</v>
      </c>
      <c r="W360" s="9"/>
    </row>
    <row r="361" spans="1:23" s="12" customFormat="1">
      <c r="A361" s="46" t="s">
        <v>572</v>
      </c>
      <c r="B361" s="28" t="s">
        <v>1333</v>
      </c>
      <c r="C361" s="28" t="s">
        <v>2330</v>
      </c>
      <c r="D361" s="9" t="s">
        <v>680</v>
      </c>
      <c r="E361" s="28" t="s">
        <v>268</v>
      </c>
      <c r="F361" s="28" t="s">
        <v>500</v>
      </c>
      <c r="G361" s="28" t="s">
        <v>500</v>
      </c>
      <c r="H361" s="28" t="s">
        <v>703</v>
      </c>
      <c r="I361" s="28" t="str">
        <f>VLOOKUP(E361,표준용어사전!$C$2:$D$494, 2, FALSE)</f>
        <v>코드C1</v>
      </c>
      <c r="J361" s="28" t="s">
        <v>709</v>
      </c>
      <c r="K361" s="29">
        <v>1</v>
      </c>
      <c r="L361" s="55" t="s">
        <v>571</v>
      </c>
      <c r="M361" s="29" t="s">
        <v>722</v>
      </c>
      <c r="N361" s="10" t="s">
        <v>75</v>
      </c>
      <c r="O361" s="9"/>
      <c r="P361" s="9" t="s">
        <v>76</v>
      </c>
      <c r="Q361" s="28"/>
      <c r="R361" s="29"/>
      <c r="S361" s="9"/>
      <c r="T361" s="9"/>
      <c r="U361" s="9" t="s">
        <v>75</v>
      </c>
      <c r="V361" s="9" t="s">
        <v>75</v>
      </c>
      <c r="W361" s="9"/>
    </row>
    <row r="362" spans="1:23" s="12" customFormat="1">
      <c r="A362" s="46" t="s">
        <v>572</v>
      </c>
      <c r="B362" s="28" t="s">
        <v>1333</v>
      </c>
      <c r="C362" s="28" t="s">
        <v>2330</v>
      </c>
      <c r="D362" s="28" t="s">
        <v>680</v>
      </c>
      <c r="E362" s="28" t="s">
        <v>252</v>
      </c>
      <c r="F362" s="28" t="s">
        <v>77</v>
      </c>
      <c r="G362" s="28" t="s">
        <v>77</v>
      </c>
      <c r="H362" s="28" t="s">
        <v>703</v>
      </c>
      <c r="I362" s="28" t="str">
        <f>VLOOKUP(E362,표준용어사전!$C$2:$D$494, 2, FALSE)</f>
        <v>내용TXT</v>
      </c>
      <c r="J362" s="28" t="s">
        <v>713</v>
      </c>
      <c r="K362" s="29" t="s">
        <v>571</v>
      </c>
      <c r="L362" s="55" t="s">
        <v>571</v>
      </c>
      <c r="M362" s="29" t="s">
        <v>2590</v>
      </c>
      <c r="N362" s="29" t="s">
        <v>75</v>
      </c>
      <c r="O362" s="28"/>
      <c r="P362" s="28" t="s">
        <v>76</v>
      </c>
      <c r="Q362" s="28"/>
      <c r="R362" s="29"/>
      <c r="S362" s="28"/>
      <c r="T362" s="28"/>
      <c r="U362" s="9" t="s">
        <v>75</v>
      </c>
      <c r="V362" s="9" t="s">
        <v>75</v>
      </c>
      <c r="W362" s="28"/>
    </row>
    <row r="363" spans="1:23" s="12" customFormat="1">
      <c r="A363" s="46" t="s">
        <v>572</v>
      </c>
      <c r="B363" s="28" t="s">
        <v>1333</v>
      </c>
      <c r="C363" s="28" t="s">
        <v>2330</v>
      </c>
      <c r="D363" s="28" t="s">
        <v>680</v>
      </c>
      <c r="E363" s="28" t="s">
        <v>90</v>
      </c>
      <c r="F363" s="28" t="s">
        <v>14</v>
      </c>
      <c r="G363" s="28" t="s">
        <v>14</v>
      </c>
      <c r="H363" s="28" t="s">
        <v>703</v>
      </c>
      <c r="I363" s="28" t="str">
        <f>VLOOKUP(E363,표준용어사전!$C$2:$D$494, 2, FALSE)</f>
        <v>연월일시분초TS</v>
      </c>
      <c r="J363" s="28" t="s">
        <v>719</v>
      </c>
      <c r="K363" s="29" t="s">
        <v>571</v>
      </c>
      <c r="L363" s="55" t="s">
        <v>571</v>
      </c>
      <c r="M363" s="29" t="s">
        <v>726</v>
      </c>
      <c r="N363" s="29" t="s">
        <v>973</v>
      </c>
      <c r="O363" s="28"/>
      <c r="P363" s="28" t="s">
        <v>76</v>
      </c>
      <c r="Q363" s="28"/>
      <c r="R363" s="29"/>
      <c r="S363" s="28"/>
      <c r="T363" s="28"/>
      <c r="U363" s="9" t="s">
        <v>75</v>
      </c>
      <c r="V363" s="9" t="s">
        <v>75</v>
      </c>
      <c r="W363" s="28"/>
    </row>
    <row r="364" spans="1:23" s="12" customFormat="1">
      <c r="A364" s="46" t="s">
        <v>572</v>
      </c>
      <c r="B364" s="28" t="s">
        <v>1333</v>
      </c>
      <c r="C364" s="28" t="s">
        <v>2330</v>
      </c>
      <c r="D364" s="28" t="s">
        <v>680</v>
      </c>
      <c r="E364" s="28" t="s">
        <v>91</v>
      </c>
      <c r="F364" s="28" t="s">
        <v>369</v>
      </c>
      <c r="G364" s="28" t="s">
        <v>369</v>
      </c>
      <c r="H364" s="28" t="s">
        <v>703</v>
      </c>
      <c r="I364" s="28" t="str">
        <f>VLOOKUP(E364,표준용어사전!$C$2:$D$494, 2, FALSE)</f>
        <v>명V20</v>
      </c>
      <c r="J364" s="28" t="s">
        <v>718</v>
      </c>
      <c r="K364" s="29" t="s">
        <v>986</v>
      </c>
      <c r="L364" s="55" t="s">
        <v>571</v>
      </c>
      <c r="M364" s="29" t="s">
        <v>727</v>
      </c>
      <c r="N364" s="29" t="s">
        <v>75</v>
      </c>
      <c r="O364" s="28"/>
      <c r="P364" s="28" t="s">
        <v>76</v>
      </c>
      <c r="Q364" s="28"/>
      <c r="R364" s="29"/>
      <c r="S364" s="28"/>
      <c r="T364" s="28"/>
      <c r="U364" s="9" t="s">
        <v>75</v>
      </c>
      <c r="V364" s="9" t="s">
        <v>75</v>
      </c>
      <c r="W364" s="28"/>
    </row>
    <row r="365" spans="1:23" s="12" customFormat="1">
      <c r="A365" s="46" t="s">
        <v>572</v>
      </c>
      <c r="B365" s="28" t="s">
        <v>1333</v>
      </c>
      <c r="C365" s="28" t="s">
        <v>2330</v>
      </c>
      <c r="D365" s="28" t="s">
        <v>680</v>
      </c>
      <c r="E365" s="28" t="s">
        <v>92</v>
      </c>
      <c r="F365" s="28" t="s">
        <v>15</v>
      </c>
      <c r="G365" s="28" t="s">
        <v>15</v>
      </c>
      <c r="H365" s="28" t="s">
        <v>703</v>
      </c>
      <c r="I365" s="28" t="str">
        <f>VLOOKUP(E365,표준용어사전!$C$2:$D$494, 2, FALSE)</f>
        <v>연월일시분초TS</v>
      </c>
      <c r="J365" s="28" t="s">
        <v>719</v>
      </c>
      <c r="K365" s="29" t="s">
        <v>571</v>
      </c>
      <c r="L365" s="55" t="s">
        <v>571</v>
      </c>
      <c r="M365" s="29" t="s">
        <v>726</v>
      </c>
      <c r="N365" s="29" t="s">
        <v>75</v>
      </c>
      <c r="O365" s="28"/>
      <c r="P365" s="28" t="s">
        <v>76</v>
      </c>
      <c r="Q365" s="28"/>
      <c r="R365" s="29"/>
      <c r="S365" s="28"/>
      <c r="T365" s="28"/>
      <c r="U365" s="9" t="s">
        <v>75</v>
      </c>
      <c r="V365" s="9" t="s">
        <v>75</v>
      </c>
      <c r="W365" s="28"/>
    </row>
    <row r="366" spans="1:23" s="12" customFormat="1">
      <c r="A366" s="46" t="s">
        <v>572</v>
      </c>
      <c r="B366" s="28" t="s">
        <v>1333</v>
      </c>
      <c r="C366" s="28" t="s">
        <v>2330</v>
      </c>
      <c r="D366" s="9" t="s">
        <v>680</v>
      </c>
      <c r="E366" s="28" t="s">
        <v>93</v>
      </c>
      <c r="F366" s="28" t="s">
        <v>370</v>
      </c>
      <c r="G366" s="28" t="s">
        <v>370</v>
      </c>
      <c r="H366" s="28" t="s">
        <v>703</v>
      </c>
      <c r="I366" s="28" t="str">
        <f>VLOOKUP(E366,표준용어사전!$C$2:$D$494, 2, FALSE)</f>
        <v>명V20</v>
      </c>
      <c r="J366" s="28" t="s">
        <v>718</v>
      </c>
      <c r="K366" s="29" t="s">
        <v>986</v>
      </c>
      <c r="L366" s="55" t="s">
        <v>571</v>
      </c>
      <c r="M366" s="29" t="s">
        <v>727</v>
      </c>
      <c r="N366" s="10" t="s">
        <v>75</v>
      </c>
      <c r="O366" s="9"/>
      <c r="P366" s="9" t="s">
        <v>76</v>
      </c>
      <c r="Q366" s="28"/>
      <c r="R366" s="29"/>
      <c r="S366" s="9"/>
      <c r="T366" s="9"/>
      <c r="U366" s="9" t="s">
        <v>75</v>
      </c>
      <c r="V366" s="9" t="s">
        <v>75</v>
      </c>
      <c r="W366" s="9"/>
    </row>
    <row r="367" spans="1:23" s="12" customFormat="1">
      <c r="A367" s="46" t="s">
        <v>711</v>
      </c>
      <c r="B367" s="28" t="s">
        <v>1333</v>
      </c>
      <c r="C367" s="28" t="s">
        <v>2330</v>
      </c>
      <c r="D367" s="9" t="s">
        <v>679</v>
      </c>
      <c r="E367" s="28" t="s">
        <v>850</v>
      </c>
      <c r="F367" s="28" t="s">
        <v>762</v>
      </c>
      <c r="G367" s="28" t="s">
        <v>762</v>
      </c>
      <c r="H367" s="28" t="s">
        <v>702</v>
      </c>
      <c r="I367" s="28" t="str">
        <f>VLOOKUP(E367,표준용어사전!$C$2:$D$494, 2, FALSE)</f>
        <v>번호I</v>
      </c>
      <c r="J367" s="28" t="s">
        <v>717</v>
      </c>
      <c r="K367" s="29" t="s">
        <v>571</v>
      </c>
      <c r="L367" s="55" t="s">
        <v>571</v>
      </c>
      <c r="M367" s="29" t="s">
        <v>2591</v>
      </c>
      <c r="N367" s="29" t="s">
        <v>973</v>
      </c>
      <c r="O367" s="9" t="s">
        <v>73</v>
      </c>
      <c r="P367" s="9" t="s">
        <v>76</v>
      </c>
      <c r="Q367" s="28"/>
      <c r="R367" s="29"/>
      <c r="S367" s="9"/>
      <c r="T367" s="9"/>
      <c r="U367" s="9" t="s">
        <v>75</v>
      </c>
      <c r="V367" s="9" t="s">
        <v>75</v>
      </c>
      <c r="W367" s="9"/>
    </row>
    <row r="368" spans="1:23" s="12" customFormat="1">
      <c r="A368" s="46" t="s">
        <v>711</v>
      </c>
      <c r="B368" s="28" t="s">
        <v>1333</v>
      </c>
      <c r="C368" s="28" t="s">
        <v>2330</v>
      </c>
      <c r="D368" s="9" t="s">
        <v>679</v>
      </c>
      <c r="E368" s="28" t="s">
        <v>246</v>
      </c>
      <c r="F368" s="28" t="s">
        <v>17</v>
      </c>
      <c r="G368" s="28" t="s">
        <v>17</v>
      </c>
      <c r="H368" s="28" t="s">
        <v>702</v>
      </c>
      <c r="I368" s="28" t="str">
        <f>VLOOKUP(E368,표준용어사전!$C$2:$D$494, 2, FALSE)</f>
        <v>명V20</v>
      </c>
      <c r="J368" s="28" t="s">
        <v>718</v>
      </c>
      <c r="K368" s="29" t="s">
        <v>986</v>
      </c>
      <c r="L368" s="55" t="s">
        <v>571</v>
      </c>
      <c r="M368" s="29" t="s">
        <v>727</v>
      </c>
      <c r="N368" s="10" t="s">
        <v>973</v>
      </c>
      <c r="O368" s="9"/>
      <c r="P368" s="9" t="s">
        <v>76</v>
      </c>
      <c r="Q368" s="28"/>
      <c r="R368" s="29"/>
      <c r="S368" s="9"/>
      <c r="T368" s="9"/>
      <c r="U368" s="9" t="s">
        <v>75</v>
      </c>
      <c r="V368" s="9" t="s">
        <v>75</v>
      </c>
      <c r="W368" s="9"/>
    </row>
    <row r="369" spans="1:23" s="12" customFormat="1">
      <c r="A369" s="46" t="s">
        <v>711</v>
      </c>
      <c r="B369" s="28" t="s">
        <v>1333</v>
      </c>
      <c r="C369" s="28" t="s">
        <v>2330</v>
      </c>
      <c r="D369" s="9" t="s">
        <v>679</v>
      </c>
      <c r="E369" s="28" t="s">
        <v>89</v>
      </c>
      <c r="F369" s="28" t="s">
        <v>501</v>
      </c>
      <c r="G369" s="28" t="s">
        <v>501</v>
      </c>
      <c r="H369" s="28" t="s">
        <v>702</v>
      </c>
      <c r="I369" s="28" t="str">
        <f>VLOOKUP(E369,표준용어사전!$C$2:$D$494, 2, FALSE)</f>
        <v>명V20</v>
      </c>
      <c r="J369" s="28" t="s">
        <v>718</v>
      </c>
      <c r="K369" s="29" t="s">
        <v>986</v>
      </c>
      <c r="L369" s="55" t="s">
        <v>571</v>
      </c>
      <c r="M369" s="29" t="s">
        <v>727</v>
      </c>
      <c r="N369" s="10" t="s">
        <v>973</v>
      </c>
      <c r="O369" s="9"/>
      <c r="P369" s="9" t="s">
        <v>76</v>
      </c>
      <c r="Q369" s="28"/>
      <c r="R369" s="29"/>
      <c r="S369" s="9"/>
      <c r="T369" s="9"/>
      <c r="U369" s="9" t="s">
        <v>75</v>
      </c>
      <c r="V369" s="9" t="s">
        <v>75</v>
      </c>
      <c r="W369" s="9"/>
    </row>
    <row r="370" spans="1:23" s="12" customFormat="1">
      <c r="A370" s="46" t="s">
        <v>711</v>
      </c>
      <c r="B370" s="28" t="s">
        <v>1333</v>
      </c>
      <c r="C370" s="28" t="s">
        <v>2330</v>
      </c>
      <c r="D370" s="9" t="s">
        <v>679</v>
      </c>
      <c r="E370" s="28" t="s">
        <v>2064</v>
      </c>
      <c r="F370" s="28" t="s">
        <v>2063</v>
      </c>
      <c r="G370" s="28" t="s">
        <v>2063</v>
      </c>
      <c r="H370" s="28" t="s">
        <v>702</v>
      </c>
      <c r="I370" s="28" t="str">
        <f>VLOOKUP(E370,표준용어사전!$C$2:$D$494, 2, FALSE)</f>
        <v>번호N10</v>
      </c>
      <c r="J370" s="28" t="s">
        <v>748</v>
      </c>
      <c r="K370" s="29">
        <v>10</v>
      </c>
      <c r="L370" s="55" t="s">
        <v>571</v>
      </c>
      <c r="M370" s="29" t="s">
        <v>2592</v>
      </c>
      <c r="N370" s="10" t="s">
        <v>973</v>
      </c>
      <c r="O370" s="9"/>
      <c r="P370" s="9" t="s">
        <v>76</v>
      </c>
      <c r="Q370" s="28"/>
      <c r="R370" s="29"/>
      <c r="S370" s="9"/>
      <c r="T370" s="9"/>
      <c r="U370" s="9" t="s">
        <v>75</v>
      </c>
      <c r="V370" s="9" t="s">
        <v>75</v>
      </c>
      <c r="W370" s="9"/>
    </row>
    <row r="371" spans="1:23" s="12" customFormat="1">
      <c r="A371" s="46" t="s">
        <v>711</v>
      </c>
      <c r="B371" s="28" t="s">
        <v>1333</v>
      </c>
      <c r="C371" s="28" t="s">
        <v>2330</v>
      </c>
      <c r="D371" s="9" t="s">
        <v>679</v>
      </c>
      <c r="E371" s="28" t="s">
        <v>268</v>
      </c>
      <c r="F371" s="28" t="s">
        <v>500</v>
      </c>
      <c r="G371" s="28" t="s">
        <v>500</v>
      </c>
      <c r="H371" s="28" t="s">
        <v>702</v>
      </c>
      <c r="I371" s="28" t="str">
        <f>VLOOKUP(E371,표준용어사전!$C$2:$D$494, 2, FALSE)</f>
        <v>코드C1</v>
      </c>
      <c r="J371" s="28" t="s">
        <v>709</v>
      </c>
      <c r="K371" s="29">
        <v>1</v>
      </c>
      <c r="L371" s="55" t="s">
        <v>571</v>
      </c>
      <c r="M371" s="29" t="s">
        <v>722</v>
      </c>
      <c r="N371" s="10" t="s">
        <v>75</v>
      </c>
      <c r="O371" s="9"/>
      <c r="P371" s="9" t="s">
        <v>76</v>
      </c>
      <c r="Q371" s="28"/>
      <c r="R371" s="29"/>
      <c r="S371" s="9"/>
      <c r="T371" s="9"/>
      <c r="U371" s="9" t="s">
        <v>75</v>
      </c>
      <c r="V371" s="9" t="s">
        <v>75</v>
      </c>
      <c r="W371" s="9"/>
    </row>
    <row r="372" spans="1:23" s="12" customFormat="1">
      <c r="A372" s="46" t="s">
        <v>711</v>
      </c>
      <c r="B372" s="28" t="s">
        <v>1333</v>
      </c>
      <c r="C372" s="28" t="s">
        <v>2330</v>
      </c>
      <c r="D372" s="31" t="s">
        <v>679</v>
      </c>
      <c r="E372" s="28" t="s">
        <v>252</v>
      </c>
      <c r="F372" s="28" t="s">
        <v>77</v>
      </c>
      <c r="G372" s="28" t="s">
        <v>77</v>
      </c>
      <c r="H372" s="28" t="s">
        <v>702</v>
      </c>
      <c r="I372" s="28" t="str">
        <f>VLOOKUP(E372,표준용어사전!$C$2:$D$494, 2, FALSE)</f>
        <v>내용TXT</v>
      </c>
      <c r="J372" s="28" t="s">
        <v>713</v>
      </c>
      <c r="K372" s="29" t="s">
        <v>571</v>
      </c>
      <c r="L372" s="55" t="s">
        <v>571</v>
      </c>
      <c r="M372" s="29" t="s">
        <v>2590</v>
      </c>
      <c r="N372" s="29" t="s">
        <v>75</v>
      </c>
      <c r="O372" s="28"/>
      <c r="P372" s="28" t="s">
        <v>76</v>
      </c>
      <c r="Q372" s="28"/>
      <c r="R372" s="29"/>
      <c r="S372" s="28"/>
      <c r="T372" s="28"/>
      <c r="U372" s="28" t="s">
        <v>75</v>
      </c>
      <c r="V372" s="28" t="s">
        <v>75</v>
      </c>
      <c r="W372" s="28"/>
    </row>
    <row r="373" spans="1:23" s="12" customFormat="1">
      <c r="A373" s="46" t="s">
        <v>711</v>
      </c>
      <c r="B373" s="28" t="s">
        <v>1333</v>
      </c>
      <c r="C373" s="28" t="s">
        <v>2330</v>
      </c>
      <c r="D373" s="9" t="s">
        <v>679</v>
      </c>
      <c r="E373" s="28" t="s">
        <v>90</v>
      </c>
      <c r="F373" s="28" t="s">
        <v>14</v>
      </c>
      <c r="G373" s="28" t="s">
        <v>14</v>
      </c>
      <c r="H373" s="28" t="s">
        <v>702</v>
      </c>
      <c r="I373" s="28" t="str">
        <f>VLOOKUP(E373,표준용어사전!$C$2:$D$494, 2, FALSE)</f>
        <v>연월일시분초TS</v>
      </c>
      <c r="J373" s="28" t="s">
        <v>719</v>
      </c>
      <c r="K373" s="29" t="s">
        <v>571</v>
      </c>
      <c r="L373" s="55" t="s">
        <v>571</v>
      </c>
      <c r="M373" s="29" t="s">
        <v>726</v>
      </c>
      <c r="N373" s="10" t="s">
        <v>973</v>
      </c>
      <c r="O373" s="9"/>
      <c r="P373" s="9" t="s">
        <v>76</v>
      </c>
      <c r="Q373" s="28"/>
      <c r="R373" s="29"/>
      <c r="S373" s="9"/>
      <c r="T373" s="9"/>
      <c r="U373" s="9" t="s">
        <v>75</v>
      </c>
      <c r="V373" s="9" t="s">
        <v>75</v>
      </c>
      <c r="W373" s="9"/>
    </row>
    <row r="374" spans="1:23" s="12" customFormat="1">
      <c r="A374" s="46" t="s">
        <v>711</v>
      </c>
      <c r="B374" s="28" t="s">
        <v>1333</v>
      </c>
      <c r="C374" s="28" t="s">
        <v>2330</v>
      </c>
      <c r="D374" s="28" t="s">
        <v>679</v>
      </c>
      <c r="E374" s="28" t="s">
        <v>91</v>
      </c>
      <c r="F374" s="28" t="s">
        <v>369</v>
      </c>
      <c r="G374" s="28" t="s">
        <v>369</v>
      </c>
      <c r="H374" s="28" t="s">
        <v>702</v>
      </c>
      <c r="I374" s="28" t="str">
        <f>VLOOKUP(E374,표준용어사전!$C$2:$D$494, 2, FALSE)</f>
        <v>명V20</v>
      </c>
      <c r="J374" s="28" t="s">
        <v>718</v>
      </c>
      <c r="K374" s="29" t="s">
        <v>986</v>
      </c>
      <c r="L374" s="55" t="s">
        <v>571</v>
      </c>
      <c r="M374" s="29" t="s">
        <v>727</v>
      </c>
      <c r="N374" s="29" t="s">
        <v>75</v>
      </c>
      <c r="O374" s="28"/>
      <c r="P374" s="28" t="s">
        <v>76</v>
      </c>
      <c r="Q374" s="28"/>
      <c r="R374" s="29"/>
      <c r="S374" s="28"/>
      <c r="T374" s="28"/>
      <c r="U374" s="9" t="s">
        <v>75</v>
      </c>
      <c r="V374" s="9" t="s">
        <v>75</v>
      </c>
      <c r="W374" s="28"/>
    </row>
    <row r="375" spans="1:23" s="12" customFormat="1">
      <c r="A375" s="46" t="s">
        <v>711</v>
      </c>
      <c r="B375" s="28" t="s">
        <v>1333</v>
      </c>
      <c r="C375" s="28" t="s">
        <v>2330</v>
      </c>
      <c r="D375" s="28" t="s">
        <v>679</v>
      </c>
      <c r="E375" s="28" t="s">
        <v>92</v>
      </c>
      <c r="F375" s="28" t="s">
        <v>15</v>
      </c>
      <c r="G375" s="28" t="s">
        <v>15</v>
      </c>
      <c r="H375" s="28" t="s">
        <v>702</v>
      </c>
      <c r="I375" s="28" t="str">
        <f>VLOOKUP(E375,표준용어사전!$C$2:$D$494, 2, FALSE)</f>
        <v>연월일시분초TS</v>
      </c>
      <c r="J375" s="28" t="s">
        <v>719</v>
      </c>
      <c r="K375" s="29" t="s">
        <v>571</v>
      </c>
      <c r="L375" s="55" t="s">
        <v>571</v>
      </c>
      <c r="M375" s="29" t="s">
        <v>726</v>
      </c>
      <c r="N375" s="29" t="s">
        <v>75</v>
      </c>
      <c r="O375" s="28"/>
      <c r="P375" s="28" t="s">
        <v>76</v>
      </c>
      <c r="Q375" s="28"/>
      <c r="R375" s="29"/>
      <c r="S375" s="28"/>
      <c r="T375" s="28"/>
      <c r="U375" s="9" t="s">
        <v>75</v>
      </c>
      <c r="V375" s="9" t="s">
        <v>75</v>
      </c>
      <c r="W375" s="28"/>
    </row>
    <row r="376" spans="1:23" s="12" customFormat="1">
      <c r="A376" s="46" t="s">
        <v>711</v>
      </c>
      <c r="B376" s="28" t="s">
        <v>1333</v>
      </c>
      <c r="C376" s="28" t="s">
        <v>2330</v>
      </c>
      <c r="D376" s="28" t="s">
        <v>679</v>
      </c>
      <c r="E376" s="28" t="s">
        <v>93</v>
      </c>
      <c r="F376" s="28" t="s">
        <v>370</v>
      </c>
      <c r="G376" s="28" t="s">
        <v>370</v>
      </c>
      <c r="H376" s="28" t="s">
        <v>702</v>
      </c>
      <c r="I376" s="28" t="str">
        <f>VLOOKUP(E376,표준용어사전!$C$2:$D$494, 2, FALSE)</f>
        <v>명V20</v>
      </c>
      <c r="J376" s="28" t="s">
        <v>718</v>
      </c>
      <c r="K376" s="29" t="s">
        <v>986</v>
      </c>
      <c r="L376" s="55" t="s">
        <v>571</v>
      </c>
      <c r="M376" s="29" t="s">
        <v>727</v>
      </c>
      <c r="N376" s="29" t="s">
        <v>75</v>
      </c>
      <c r="O376" s="28"/>
      <c r="P376" s="28" t="s">
        <v>76</v>
      </c>
      <c r="Q376" s="28"/>
      <c r="R376" s="29"/>
      <c r="S376" s="28"/>
      <c r="T376" s="28"/>
      <c r="U376" s="9" t="s">
        <v>75</v>
      </c>
      <c r="V376" s="9" t="s">
        <v>75</v>
      </c>
      <c r="W376" s="28"/>
    </row>
    <row r="377" spans="1:23" s="12" customFormat="1">
      <c r="A377" s="46" t="s">
        <v>711</v>
      </c>
      <c r="B377" s="28" t="s">
        <v>1335</v>
      </c>
      <c r="C377" s="28" t="s">
        <v>2330</v>
      </c>
      <c r="D377" s="28" t="s">
        <v>630</v>
      </c>
      <c r="E377" s="28" t="s">
        <v>151</v>
      </c>
      <c r="F377" s="28" t="s">
        <v>413</v>
      </c>
      <c r="G377" s="28" t="s">
        <v>413</v>
      </c>
      <c r="H377" s="28" t="s">
        <v>152</v>
      </c>
      <c r="I377" s="28" t="str">
        <f>VLOOKUP(E377,표준용어사전!$C$2:$D$494, 2, FALSE)</f>
        <v>번호N10</v>
      </c>
      <c r="J377" s="28" t="s">
        <v>748</v>
      </c>
      <c r="K377" s="29">
        <v>10</v>
      </c>
      <c r="L377" s="55" t="s">
        <v>571</v>
      </c>
      <c r="M377" s="29" t="s">
        <v>2592</v>
      </c>
      <c r="N377" s="29" t="s">
        <v>973</v>
      </c>
      <c r="O377" s="28" t="s">
        <v>73</v>
      </c>
      <c r="P377" s="28" t="s">
        <v>76</v>
      </c>
      <c r="Q377" s="28"/>
      <c r="R377" s="29"/>
      <c r="S377" s="28"/>
      <c r="T377" s="28"/>
      <c r="U377" s="9" t="s">
        <v>75</v>
      </c>
      <c r="V377" s="9" t="s">
        <v>75</v>
      </c>
      <c r="W377" s="28"/>
    </row>
    <row r="378" spans="1:23" s="12" customFormat="1">
      <c r="A378" s="46" t="s">
        <v>711</v>
      </c>
      <c r="B378" s="28" t="s">
        <v>1335</v>
      </c>
      <c r="C378" s="28" t="s">
        <v>2330</v>
      </c>
      <c r="D378" s="28" t="s">
        <v>630</v>
      </c>
      <c r="E378" s="28" t="s">
        <v>89</v>
      </c>
      <c r="F378" s="28" t="s">
        <v>501</v>
      </c>
      <c r="G378" s="28" t="s">
        <v>501</v>
      </c>
      <c r="H378" s="28" t="s">
        <v>152</v>
      </c>
      <c r="I378" s="28" t="str">
        <f>VLOOKUP(E378,표준용어사전!$C$2:$D$494, 2, FALSE)</f>
        <v>명V20</v>
      </c>
      <c r="J378" s="28" t="s">
        <v>718</v>
      </c>
      <c r="K378" s="29" t="s">
        <v>986</v>
      </c>
      <c r="L378" s="55" t="s">
        <v>571</v>
      </c>
      <c r="M378" s="29" t="s">
        <v>727</v>
      </c>
      <c r="N378" s="29" t="s">
        <v>973</v>
      </c>
      <c r="O378" s="28"/>
      <c r="P378" s="28" t="s">
        <v>76</v>
      </c>
      <c r="Q378" s="28"/>
      <c r="R378" s="29"/>
      <c r="S378" s="28"/>
      <c r="T378" s="28"/>
      <c r="U378" s="9" t="s">
        <v>75</v>
      </c>
      <c r="V378" s="9" t="s">
        <v>75</v>
      </c>
      <c r="W378" s="28"/>
    </row>
    <row r="379" spans="1:23" s="12" customFormat="1">
      <c r="A379" s="46" t="s">
        <v>711</v>
      </c>
      <c r="B379" s="28" t="s">
        <v>1335</v>
      </c>
      <c r="C379" s="28" t="s">
        <v>2330</v>
      </c>
      <c r="D379" s="9" t="s">
        <v>630</v>
      </c>
      <c r="E379" s="28" t="s">
        <v>137</v>
      </c>
      <c r="F379" s="28" t="s">
        <v>1613</v>
      </c>
      <c r="G379" s="28" t="s">
        <v>1613</v>
      </c>
      <c r="H379" s="28" t="s">
        <v>152</v>
      </c>
      <c r="I379" s="28" t="str">
        <f>VLOOKUP(E379,표준용어사전!$C$2:$D$494, 2, FALSE)</f>
        <v>명V50</v>
      </c>
      <c r="J379" s="28" t="s">
        <v>718</v>
      </c>
      <c r="K379" s="29">
        <v>50</v>
      </c>
      <c r="L379" s="55" t="s">
        <v>571</v>
      </c>
      <c r="M379" s="29" t="s">
        <v>720</v>
      </c>
      <c r="N379" s="10" t="s">
        <v>75</v>
      </c>
      <c r="O379" s="9"/>
      <c r="P379" s="9" t="s">
        <v>76</v>
      </c>
      <c r="Q379" s="28"/>
      <c r="R379" s="29"/>
      <c r="S379" s="9"/>
      <c r="T379" s="9"/>
      <c r="U379" s="9" t="s">
        <v>75</v>
      </c>
      <c r="V379" s="9" t="s">
        <v>75</v>
      </c>
      <c r="W379" s="9"/>
    </row>
    <row r="380" spans="1:23" s="12" customFormat="1">
      <c r="A380" s="46" t="s">
        <v>711</v>
      </c>
      <c r="B380" s="28" t="s">
        <v>1335</v>
      </c>
      <c r="C380" s="28" t="s">
        <v>2330</v>
      </c>
      <c r="D380" s="9" t="s">
        <v>630</v>
      </c>
      <c r="E380" s="28" t="s">
        <v>153</v>
      </c>
      <c r="F380" s="28" t="s">
        <v>79</v>
      </c>
      <c r="G380" s="28" t="s">
        <v>79</v>
      </c>
      <c r="H380" s="28" t="s">
        <v>152</v>
      </c>
      <c r="I380" s="28" t="str">
        <f>VLOOKUP(E380,표준용어사전!$C$2:$D$494, 2, FALSE)</f>
        <v>코드C2</v>
      </c>
      <c r="J380" s="28" t="s">
        <v>709</v>
      </c>
      <c r="K380" s="29">
        <v>2</v>
      </c>
      <c r="L380" s="55" t="s">
        <v>571</v>
      </c>
      <c r="M380" s="29" t="s">
        <v>766</v>
      </c>
      <c r="N380" s="10" t="s">
        <v>75</v>
      </c>
      <c r="O380" s="9"/>
      <c r="P380" s="9" t="s">
        <v>76</v>
      </c>
      <c r="Q380" s="28"/>
      <c r="R380" s="29"/>
      <c r="S380" s="9"/>
      <c r="T380" s="9"/>
      <c r="U380" s="9" t="s">
        <v>75</v>
      </c>
      <c r="V380" s="9" t="s">
        <v>75</v>
      </c>
      <c r="W380" s="9"/>
    </row>
    <row r="381" spans="1:23" s="51" customFormat="1">
      <c r="A381" s="46" t="s">
        <v>711</v>
      </c>
      <c r="B381" s="28" t="s">
        <v>1335</v>
      </c>
      <c r="C381" s="28" t="s">
        <v>2330</v>
      </c>
      <c r="D381" s="9" t="s">
        <v>630</v>
      </c>
      <c r="E381" s="28" t="s">
        <v>154</v>
      </c>
      <c r="F381" s="28" t="s">
        <v>414</v>
      </c>
      <c r="G381" s="28" t="s">
        <v>414</v>
      </c>
      <c r="H381" s="28" t="s">
        <v>152</v>
      </c>
      <c r="I381" s="28" t="str">
        <f>VLOOKUP(E381,표준용어사전!$C$2:$D$494, 2, FALSE)</f>
        <v>여부C1</v>
      </c>
      <c r="J381" s="28" t="s">
        <v>709</v>
      </c>
      <c r="K381" s="29">
        <v>1</v>
      </c>
      <c r="L381" s="55" t="s">
        <v>571</v>
      </c>
      <c r="M381" s="29" t="s">
        <v>722</v>
      </c>
      <c r="N381" s="29" t="s">
        <v>75</v>
      </c>
      <c r="O381" s="9"/>
      <c r="P381" s="9" t="s">
        <v>76</v>
      </c>
      <c r="Q381" s="28"/>
      <c r="R381" s="29"/>
      <c r="S381" s="9"/>
      <c r="T381" s="9"/>
      <c r="U381" s="9" t="s">
        <v>75</v>
      </c>
      <c r="V381" s="9" t="s">
        <v>75</v>
      </c>
      <c r="W381" s="9"/>
    </row>
    <row r="382" spans="1:23" s="51" customFormat="1">
      <c r="A382" s="46" t="s">
        <v>711</v>
      </c>
      <c r="B382" s="28" t="s">
        <v>1335</v>
      </c>
      <c r="C382" s="28" t="s">
        <v>2330</v>
      </c>
      <c r="D382" s="28" t="s">
        <v>630</v>
      </c>
      <c r="E382" s="28" t="s">
        <v>2067</v>
      </c>
      <c r="F382" s="28" t="s">
        <v>415</v>
      </c>
      <c r="G382" s="28" t="s">
        <v>415</v>
      </c>
      <c r="H382" s="28" t="s">
        <v>152</v>
      </c>
      <c r="I382" s="28" t="str">
        <f>VLOOKUP(E382,표준용어사전!$C$2:$D$494, 2, FALSE)</f>
        <v>명V256</v>
      </c>
      <c r="J382" s="28" t="s">
        <v>718</v>
      </c>
      <c r="K382" s="29">
        <v>256</v>
      </c>
      <c r="L382" s="55" t="s">
        <v>571</v>
      </c>
      <c r="M382" s="29" t="s">
        <v>730</v>
      </c>
      <c r="N382" s="29" t="s">
        <v>75</v>
      </c>
      <c r="O382" s="28"/>
      <c r="P382" s="28" t="s">
        <v>76</v>
      </c>
      <c r="Q382" s="28"/>
      <c r="R382" s="29"/>
      <c r="S382" s="28"/>
      <c r="T382" s="28"/>
      <c r="U382" s="9" t="s">
        <v>75</v>
      </c>
      <c r="V382" s="9" t="s">
        <v>75</v>
      </c>
      <c r="W382" s="28"/>
    </row>
    <row r="383" spans="1:23" s="12" customFormat="1">
      <c r="A383" s="46" t="s">
        <v>711</v>
      </c>
      <c r="B383" s="28" t="s">
        <v>1335</v>
      </c>
      <c r="C383" s="28" t="s">
        <v>2330</v>
      </c>
      <c r="D383" s="9" t="s">
        <v>630</v>
      </c>
      <c r="E383" s="28" t="s">
        <v>156</v>
      </c>
      <c r="F383" s="28" t="s">
        <v>416</v>
      </c>
      <c r="G383" s="28" t="s">
        <v>416</v>
      </c>
      <c r="H383" s="28" t="s">
        <v>152</v>
      </c>
      <c r="I383" s="28" t="str">
        <f>VLOOKUP(E383,표준용어사전!$C$2:$D$494, 2, FALSE)</f>
        <v>명V512</v>
      </c>
      <c r="J383" s="28" t="s">
        <v>718</v>
      </c>
      <c r="K383" s="29">
        <v>512</v>
      </c>
      <c r="L383" s="55" t="s">
        <v>571</v>
      </c>
      <c r="M383" s="29" t="s">
        <v>721</v>
      </c>
      <c r="N383" s="10" t="s">
        <v>75</v>
      </c>
      <c r="O383" s="9"/>
      <c r="P383" s="9" t="s">
        <v>76</v>
      </c>
      <c r="Q383" s="28"/>
      <c r="R383" s="29"/>
      <c r="S383" s="9"/>
      <c r="T383" s="9"/>
      <c r="U383" s="9" t="s">
        <v>75</v>
      </c>
      <c r="V383" s="9" t="s">
        <v>75</v>
      </c>
      <c r="W383" s="9"/>
    </row>
    <row r="384" spans="1:23" s="12" customFormat="1">
      <c r="A384" s="46" t="s">
        <v>711</v>
      </c>
      <c r="B384" s="28" t="s">
        <v>1335</v>
      </c>
      <c r="C384" s="28" t="s">
        <v>2330</v>
      </c>
      <c r="D384" s="9" t="s">
        <v>630</v>
      </c>
      <c r="E384" s="28" t="s">
        <v>157</v>
      </c>
      <c r="F384" s="28" t="s">
        <v>417</v>
      </c>
      <c r="G384" s="28" t="s">
        <v>417</v>
      </c>
      <c r="H384" s="28" t="s">
        <v>152</v>
      </c>
      <c r="I384" s="28" t="str">
        <f>VLOOKUP(E384,표준용어사전!$C$2:$D$494, 2, FALSE)</f>
        <v>내용TXT</v>
      </c>
      <c r="J384" s="28" t="s">
        <v>713</v>
      </c>
      <c r="K384" s="29" t="s">
        <v>571</v>
      </c>
      <c r="L384" s="55" t="s">
        <v>571</v>
      </c>
      <c r="M384" s="29" t="s">
        <v>2590</v>
      </c>
      <c r="N384" s="10" t="s">
        <v>75</v>
      </c>
      <c r="O384" s="9"/>
      <c r="P384" s="9" t="s">
        <v>76</v>
      </c>
      <c r="Q384" s="28"/>
      <c r="R384" s="29"/>
      <c r="S384" s="9"/>
      <c r="T384" s="9"/>
      <c r="U384" s="9" t="s">
        <v>75</v>
      </c>
      <c r="V384" s="9" t="s">
        <v>75</v>
      </c>
      <c r="W384" s="9"/>
    </row>
    <row r="385" spans="1:23" s="12" customFormat="1">
      <c r="A385" s="46" t="s">
        <v>711</v>
      </c>
      <c r="B385" s="28" t="s">
        <v>1335</v>
      </c>
      <c r="C385" s="28" t="s">
        <v>2330</v>
      </c>
      <c r="D385" s="9" t="s">
        <v>630</v>
      </c>
      <c r="E385" s="28" t="s">
        <v>158</v>
      </c>
      <c r="F385" s="28" t="s">
        <v>418</v>
      </c>
      <c r="G385" s="28" t="s">
        <v>418</v>
      </c>
      <c r="H385" s="28" t="s">
        <v>152</v>
      </c>
      <c r="I385" s="28" t="str">
        <f>VLOOKUP(E385,표준용어사전!$C$2:$D$494, 2, FALSE)</f>
        <v>내용TXT</v>
      </c>
      <c r="J385" s="28" t="s">
        <v>713</v>
      </c>
      <c r="K385" s="29" t="s">
        <v>571</v>
      </c>
      <c r="L385" s="55" t="s">
        <v>571</v>
      </c>
      <c r="M385" s="29" t="s">
        <v>2590</v>
      </c>
      <c r="N385" s="29" t="s">
        <v>75</v>
      </c>
      <c r="O385" s="9"/>
      <c r="P385" s="9" t="s">
        <v>76</v>
      </c>
      <c r="Q385" s="28"/>
      <c r="R385" s="29"/>
      <c r="S385" s="9"/>
      <c r="T385" s="9"/>
      <c r="U385" s="9" t="s">
        <v>75</v>
      </c>
      <c r="V385" s="9" t="s">
        <v>75</v>
      </c>
      <c r="W385" s="9"/>
    </row>
    <row r="386" spans="1:23" s="12" customFormat="1">
      <c r="A386" s="46" t="s">
        <v>711</v>
      </c>
      <c r="B386" s="28" t="s">
        <v>1335</v>
      </c>
      <c r="C386" s="28" t="s">
        <v>2330</v>
      </c>
      <c r="D386" s="9" t="s">
        <v>630</v>
      </c>
      <c r="E386" s="28" t="s">
        <v>2068</v>
      </c>
      <c r="F386" s="28" t="s">
        <v>406</v>
      </c>
      <c r="G386" s="28" t="s">
        <v>406</v>
      </c>
      <c r="H386" s="28" t="s">
        <v>152</v>
      </c>
      <c r="I386" s="28" t="str">
        <f>VLOOKUP(E386,표준용어사전!$C$2:$D$494, 2, FALSE)</f>
        <v>명V256</v>
      </c>
      <c r="J386" s="28" t="s">
        <v>718</v>
      </c>
      <c r="K386" s="29">
        <v>256</v>
      </c>
      <c r="L386" s="55" t="s">
        <v>571</v>
      </c>
      <c r="M386" s="29" t="s">
        <v>730</v>
      </c>
      <c r="N386" s="10" t="s">
        <v>75</v>
      </c>
      <c r="O386" s="9"/>
      <c r="P386" s="9" t="s">
        <v>76</v>
      </c>
      <c r="Q386" s="28"/>
      <c r="R386" s="29"/>
      <c r="S386" s="9"/>
      <c r="T386" s="9"/>
      <c r="U386" s="9" t="s">
        <v>75</v>
      </c>
      <c r="V386" s="9" t="s">
        <v>75</v>
      </c>
      <c r="W386" s="9"/>
    </row>
    <row r="387" spans="1:23" s="12" customFormat="1">
      <c r="A387" s="46" t="s">
        <v>711</v>
      </c>
      <c r="B387" s="28" t="s">
        <v>1335</v>
      </c>
      <c r="C387" s="28" t="s">
        <v>2330</v>
      </c>
      <c r="D387" s="9" t="s">
        <v>630</v>
      </c>
      <c r="E387" s="28" t="s">
        <v>2066</v>
      </c>
      <c r="F387" s="28" t="s">
        <v>2065</v>
      </c>
      <c r="G387" s="28" t="s">
        <v>2065</v>
      </c>
      <c r="H387" s="28" t="s">
        <v>152</v>
      </c>
      <c r="I387" s="28" t="str">
        <f>VLOOKUP(E387,표준용어사전!$C$2:$D$494, 2, FALSE)</f>
        <v>주소V2000</v>
      </c>
      <c r="J387" s="28" t="s">
        <v>718</v>
      </c>
      <c r="K387" s="29">
        <v>2000</v>
      </c>
      <c r="L387" s="55" t="s">
        <v>571</v>
      </c>
      <c r="M387" s="29" t="s">
        <v>728</v>
      </c>
      <c r="N387" s="10" t="s">
        <v>75</v>
      </c>
      <c r="O387" s="9"/>
      <c r="P387" s="9" t="s">
        <v>76</v>
      </c>
      <c r="Q387" s="28"/>
      <c r="R387" s="29"/>
      <c r="S387" s="9"/>
      <c r="T387" s="9"/>
      <c r="U387" s="9" t="s">
        <v>75</v>
      </c>
      <c r="V387" s="9" t="s">
        <v>75</v>
      </c>
      <c r="W387" s="9"/>
    </row>
    <row r="388" spans="1:23" s="12" customFormat="1">
      <c r="A388" s="46" t="s">
        <v>711</v>
      </c>
      <c r="B388" s="28" t="s">
        <v>1335</v>
      </c>
      <c r="C388" s="28" t="s">
        <v>2330</v>
      </c>
      <c r="D388" s="28" t="s">
        <v>630</v>
      </c>
      <c r="E388" s="28" t="s">
        <v>2070</v>
      </c>
      <c r="F388" s="28" t="s">
        <v>2069</v>
      </c>
      <c r="G388" s="28" t="s">
        <v>2069</v>
      </c>
      <c r="H388" s="28" t="s">
        <v>152</v>
      </c>
      <c r="I388" s="28" t="str">
        <f>VLOOKUP(E388,표준용어사전!$C$2:$D$494, 2, FALSE)</f>
        <v>주소V2000</v>
      </c>
      <c r="J388" s="28" t="s">
        <v>718</v>
      </c>
      <c r="K388" s="29">
        <v>2000</v>
      </c>
      <c r="L388" s="55" t="s">
        <v>571</v>
      </c>
      <c r="M388" s="29" t="s">
        <v>728</v>
      </c>
      <c r="N388" s="29" t="s">
        <v>75</v>
      </c>
      <c r="O388" s="28"/>
      <c r="P388" s="28" t="s">
        <v>76</v>
      </c>
      <c r="Q388" s="28"/>
      <c r="R388" s="29"/>
      <c r="S388" s="28"/>
      <c r="T388" s="28"/>
      <c r="U388" s="9" t="s">
        <v>75</v>
      </c>
      <c r="V388" s="9" t="s">
        <v>75</v>
      </c>
      <c r="W388" s="28"/>
    </row>
    <row r="389" spans="1:23" s="12" customFormat="1">
      <c r="A389" s="46" t="s">
        <v>711</v>
      </c>
      <c r="B389" s="28" t="s">
        <v>1335</v>
      </c>
      <c r="C389" s="28" t="s">
        <v>2330</v>
      </c>
      <c r="D389" s="9" t="s">
        <v>630</v>
      </c>
      <c r="E389" s="28" t="s">
        <v>2071</v>
      </c>
      <c r="F389" s="28" t="s">
        <v>419</v>
      </c>
      <c r="G389" s="28" t="s">
        <v>419</v>
      </c>
      <c r="H389" s="28" t="s">
        <v>152</v>
      </c>
      <c r="I389" s="28" t="str">
        <f>VLOOKUP(E389,표준용어사전!$C$2:$D$494, 2, FALSE)</f>
        <v>여부C1</v>
      </c>
      <c r="J389" s="28" t="s">
        <v>709</v>
      </c>
      <c r="K389" s="29">
        <v>1</v>
      </c>
      <c r="L389" s="55" t="s">
        <v>571</v>
      </c>
      <c r="M389" s="29" t="s">
        <v>722</v>
      </c>
      <c r="N389" s="10" t="s">
        <v>75</v>
      </c>
      <c r="O389" s="9"/>
      <c r="P389" s="9" t="s">
        <v>76</v>
      </c>
      <c r="Q389" s="28"/>
      <c r="R389" s="29"/>
      <c r="S389" s="9"/>
      <c r="T389" s="9"/>
      <c r="U389" s="9" t="s">
        <v>75</v>
      </c>
      <c r="V389" s="9" t="s">
        <v>75</v>
      </c>
      <c r="W389" s="9"/>
    </row>
    <row r="390" spans="1:23" s="12" customFormat="1">
      <c r="A390" s="46" t="s">
        <v>711</v>
      </c>
      <c r="B390" s="28" t="s">
        <v>1335</v>
      </c>
      <c r="C390" s="28" t="s">
        <v>2330</v>
      </c>
      <c r="D390" s="9" t="s">
        <v>630</v>
      </c>
      <c r="E390" s="28" t="s">
        <v>849</v>
      </c>
      <c r="F390" s="28" t="s">
        <v>761</v>
      </c>
      <c r="G390" s="28" t="s">
        <v>761</v>
      </c>
      <c r="H390" s="28" t="s">
        <v>152</v>
      </c>
      <c r="I390" s="28" t="str">
        <f>VLOOKUP(E390,표준용어사전!$C$2:$D$494, 2, FALSE)</f>
        <v>여부C1</v>
      </c>
      <c r="J390" s="28" t="s">
        <v>709</v>
      </c>
      <c r="K390" s="29">
        <v>1</v>
      </c>
      <c r="L390" s="55" t="s">
        <v>571</v>
      </c>
      <c r="M390" s="29" t="s">
        <v>722</v>
      </c>
      <c r="N390" s="29" t="s">
        <v>75</v>
      </c>
      <c r="O390" s="9"/>
      <c r="P390" s="9" t="s">
        <v>76</v>
      </c>
      <c r="Q390" s="28"/>
      <c r="R390" s="29"/>
      <c r="S390" s="9"/>
      <c r="T390" s="9"/>
      <c r="U390" s="9" t="s">
        <v>75</v>
      </c>
      <c r="V390" s="9" t="s">
        <v>75</v>
      </c>
      <c r="W390" s="9"/>
    </row>
    <row r="391" spans="1:23" s="12" customFormat="1">
      <c r="A391" s="46" t="s">
        <v>711</v>
      </c>
      <c r="B391" s="28" t="s">
        <v>1335</v>
      </c>
      <c r="C391" s="28" t="s">
        <v>2330</v>
      </c>
      <c r="D391" s="9" t="s">
        <v>630</v>
      </c>
      <c r="E391" s="28" t="s">
        <v>90</v>
      </c>
      <c r="F391" s="28" t="s">
        <v>14</v>
      </c>
      <c r="G391" s="28" t="s">
        <v>14</v>
      </c>
      <c r="H391" s="28" t="s">
        <v>152</v>
      </c>
      <c r="I391" s="28" t="str">
        <f>VLOOKUP(E391,표준용어사전!$C$2:$D$494, 2, FALSE)</f>
        <v>연월일시분초TS</v>
      </c>
      <c r="J391" s="28" t="s">
        <v>719</v>
      </c>
      <c r="K391" s="29" t="s">
        <v>571</v>
      </c>
      <c r="L391" s="55" t="s">
        <v>571</v>
      </c>
      <c r="M391" s="29" t="s">
        <v>726</v>
      </c>
      <c r="N391" s="29" t="s">
        <v>973</v>
      </c>
      <c r="O391" s="9"/>
      <c r="P391" s="9" t="s">
        <v>76</v>
      </c>
      <c r="Q391" s="28"/>
      <c r="R391" s="29"/>
      <c r="S391" s="9"/>
      <c r="T391" s="9"/>
      <c r="U391" s="9" t="s">
        <v>75</v>
      </c>
      <c r="V391" s="9" t="s">
        <v>75</v>
      </c>
      <c r="W391" s="9"/>
    </row>
    <row r="392" spans="1:23" s="12" customFormat="1">
      <c r="A392" s="46" t="s">
        <v>711</v>
      </c>
      <c r="B392" s="28" t="s">
        <v>1335</v>
      </c>
      <c r="C392" s="28" t="s">
        <v>2330</v>
      </c>
      <c r="D392" s="9" t="s">
        <v>630</v>
      </c>
      <c r="E392" s="28" t="s">
        <v>91</v>
      </c>
      <c r="F392" s="28" t="s">
        <v>369</v>
      </c>
      <c r="G392" s="28" t="s">
        <v>369</v>
      </c>
      <c r="H392" s="28" t="s">
        <v>152</v>
      </c>
      <c r="I392" s="28" t="str">
        <f>VLOOKUP(E392,표준용어사전!$C$2:$D$494, 2, FALSE)</f>
        <v>명V20</v>
      </c>
      <c r="J392" s="28" t="s">
        <v>718</v>
      </c>
      <c r="K392" s="29" t="s">
        <v>986</v>
      </c>
      <c r="L392" s="55" t="s">
        <v>571</v>
      </c>
      <c r="M392" s="29" t="s">
        <v>727</v>
      </c>
      <c r="N392" s="10" t="s">
        <v>75</v>
      </c>
      <c r="O392" s="9"/>
      <c r="P392" s="9" t="s">
        <v>76</v>
      </c>
      <c r="Q392" s="28"/>
      <c r="R392" s="29"/>
      <c r="S392" s="9"/>
      <c r="T392" s="9"/>
      <c r="U392" s="9" t="s">
        <v>75</v>
      </c>
      <c r="V392" s="9" t="s">
        <v>75</v>
      </c>
      <c r="W392" s="9"/>
    </row>
    <row r="393" spans="1:23" s="12" customFormat="1">
      <c r="A393" s="46" t="s">
        <v>711</v>
      </c>
      <c r="B393" s="28" t="s">
        <v>1335</v>
      </c>
      <c r="C393" s="28" t="s">
        <v>2330</v>
      </c>
      <c r="D393" s="9" t="s">
        <v>630</v>
      </c>
      <c r="E393" s="28" t="s">
        <v>92</v>
      </c>
      <c r="F393" s="28" t="s">
        <v>15</v>
      </c>
      <c r="G393" s="28" t="s">
        <v>15</v>
      </c>
      <c r="H393" s="28" t="s">
        <v>152</v>
      </c>
      <c r="I393" s="28" t="str">
        <f>VLOOKUP(E393,표준용어사전!$C$2:$D$494, 2, FALSE)</f>
        <v>연월일시분초TS</v>
      </c>
      <c r="J393" s="28" t="s">
        <v>719</v>
      </c>
      <c r="K393" s="29" t="s">
        <v>571</v>
      </c>
      <c r="L393" s="55" t="s">
        <v>571</v>
      </c>
      <c r="M393" s="29" t="s">
        <v>726</v>
      </c>
      <c r="N393" s="10" t="s">
        <v>75</v>
      </c>
      <c r="O393" s="9"/>
      <c r="P393" s="9" t="s">
        <v>76</v>
      </c>
      <c r="Q393" s="28"/>
      <c r="R393" s="29"/>
      <c r="S393" s="9"/>
      <c r="T393" s="9"/>
      <c r="U393" s="9" t="s">
        <v>75</v>
      </c>
      <c r="V393" s="9" t="s">
        <v>75</v>
      </c>
      <c r="W393" s="9"/>
    </row>
    <row r="394" spans="1:23" s="12" customFormat="1">
      <c r="A394" s="46" t="s">
        <v>711</v>
      </c>
      <c r="B394" s="28" t="s">
        <v>1335</v>
      </c>
      <c r="C394" s="28" t="s">
        <v>2330</v>
      </c>
      <c r="D394" s="9" t="s">
        <v>630</v>
      </c>
      <c r="E394" s="28" t="s">
        <v>93</v>
      </c>
      <c r="F394" s="28" t="s">
        <v>370</v>
      </c>
      <c r="G394" s="28" t="s">
        <v>370</v>
      </c>
      <c r="H394" s="28" t="s">
        <v>152</v>
      </c>
      <c r="I394" s="28" t="str">
        <f>VLOOKUP(E394,표준용어사전!$C$2:$D$494, 2, FALSE)</f>
        <v>명V20</v>
      </c>
      <c r="J394" s="28" t="s">
        <v>718</v>
      </c>
      <c r="K394" s="29" t="s">
        <v>986</v>
      </c>
      <c r="L394" s="55" t="s">
        <v>571</v>
      </c>
      <c r="M394" s="29" t="s">
        <v>727</v>
      </c>
      <c r="N394" s="29" t="s">
        <v>75</v>
      </c>
      <c r="O394" s="9"/>
      <c r="P394" s="9" t="s">
        <v>76</v>
      </c>
      <c r="Q394" s="28"/>
      <c r="R394" s="29"/>
      <c r="S394" s="9"/>
      <c r="T394" s="9"/>
      <c r="U394" s="9" t="s">
        <v>75</v>
      </c>
      <c r="V394" s="9" t="s">
        <v>75</v>
      </c>
      <c r="W394" s="9"/>
    </row>
    <row r="395" spans="1:23" s="12" customFormat="1">
      <c r="A395" s="46" t="s">
        <v>572</v>
      </c>
      <c r="B395" s="28" t="s">
        <v>1335</v>
      </c>
      <c r="C395" s="28" t="s">
        <v>2330</v>
      </c>
      <c r="D395" s="9" t="s">
        <v>678</v>
      </c>
      <c r="E395" s="28" t="s">
        <v>89</v>
      </c>
      <c r="F395" s="28" t="s">
        <v>501</v>
      </c>
      <c r="G395" s="28" t="s">
        <v>501</v>
      </c>
      <c r="H395" s="28" t="s">
        <v>160</v>
      </c>
      <c r="I395" s="28" t="str">
        <f>VLOOKUP(E395,표준용어사전!$C$2:$D$494, 2, FALSE)</f>
        <v>명V20</v>
      </c>
      <c r="J395" s="28" t="s">
        <v>718</v>
      </c>
      <c r="K395" s="29" t="s">
        <v>986</v>
      </c>
      <c r="L395" s="55" t="s">
        <v>571</v>
      </c>
      <c r="M395" s="29" t="s">
        <v>727</v>
      </c>
      <c r="N395" s="10" t="s">
        <v>973</v>
      </c>
      <c r="O395" s="9" t="s">
        <v>73</v>
      </c>
      <c r="P395" s="9" t="s">
        <v>76</v>
      </c>
      <c r="Q395" s="28"/>
      <c r="R395" s="29"/>
      <c r="S395" s="9"/>
      <c r="T395" s="9"/>
      <c r="U395" s="9" t="s">
        <v>75</v>
      </c>
      <c r="V395" s="9" t="s">
        <v>75</v>
      </c>
      <c r="W395" s="9"/>
    </row>
    <row r="396" spans="1:23" s="12" customFormat="1">
      <c r="A396" s="46" t="s">
        <v>572</v>
      </c>
      <c r="B396" s="28" t="s">
        <v>1335</v>
      </c>
      <c r="C396" s="28" t="s">
        <v>2330</v>
      </c>
      <c r="D396" s="28" t="s">
        <v>678</v>
      </c>
      <c r="E396" s="28" t="s">
        <v>2064</v>
      </c>
      <c r="F396" s="28" t="s">
        <v>2063</v>
      </c>
      <c r="G396" s="28" t="s">
        <v>2063</v>
      </c>
      <c r="H396" s="28" t="s">
        <v>160</v>
      </c>
      <c r="I396" s="28" t="str">
        <f>VLOOKUP(E396,표준용어사전!$C$2:$D$494, 2, FALSE)</f>
        <v>번호N10</v>
      </c>
      <c r="J396" s="28" t="s">
        <v>748</v>
      </c>
      <c r="K396" s="29">
        <v>10</v>
      </c>
      <c r="L396" s="55" t="s">
        <v>571</v>
      </c>
      <c r="M396" s="29" t="s">
        <v>2592</v>
      </c>
      <c r="N396" s="10" t="s">
        <v>973</v>
      </c>
      <c r="O396" s="9" t="s">
        <v>74</v>
      </c>
      <c r="P396" s="9" t="s">
        <v>76</v>
      </c>
      <c r="Q396" s="28"/>
      <c r="R396" s="29"/>
      <c r="S396" s="9"/>
      <c r="T396" s="9"/>
      <c r="U396" s="9" t="s">
        <v>75</v>
      </c>
      <c r="V396" s="9" t="s">
        <v>75</v>
      </c>
      <c r="W396" s="9"/>
    </row>
    <row r="397" spans="1:23" s="12" customFormat="1">
      <c r="A397" s="46" t="s">
        <v>572</v>
      </c>
      <c r="B397" s="28" t="s">
        <v>1335</v>
      </c>
      <c r="C397" s="28" t="s">
        <v>2330</v>
      </c>
      <c r="D397" s="28" t="s">
        <v>678</v>
      </c>
      <c r="E397" s="28" t="s">
        <v>161</v>
      </c>
      <c r="F397" s="28" t="s">
        <v>420</v>
      </c>
      <c r="G397" s="28" t="s">
        <v>420</v>
      </c>
      <c r="H397" s="28" t="s">
        <v>160</v>
      </c>
      <c r="I397" s="28" t="str">
        <f>VLOOKUP(E397,표준용어사전!$C$2:$D$494, 2, FALSE)</f>
        <v>내용TXT</v>
      </c>
      <c r="J397" s="28" t="s">
        <v>713</v>
      </c>
      <c r="K397" s="29" t="s">
        <v>571</v>
      </c>
      <c r="L397" s="55" t="s">
        <v>571</v>
      </c>
      <c r="M397" s="29" t="s">
        <v>2590</v>
      </c>
      <c r="N397" s="10" t="s">
        <v>75</v>
      </c>
      <c r="O397" s="9"/>
      <c r="P397" s="9" t="s">
        <v>76</v>
      </c>
      <c r="Q397" s="28"/>
      <c r="R397" s="29"/>
      <c r="S397" s="9"/>
      <c r="T397" s="9"/>
      <c r="U397" s="9" t="s">
        <v>75</v>
      </c>
      <c r="V397" s="9" t="s">
        <v>75</v>
      </c>
      <c r="W397" s="9"/>
    </row>
    <row r="398" spans="1:23" s="12" customFormat="1">
      <c r="A398" s="46" t="s">
        <v>572</v>
      </c>
      <c r="B398" s="28" t="s">
        <v>1335</v>
      </c>
      <c r="C398" s="28" t="s">
        <v>2330</v>
      </c>
      <c r="D398" s="28" t="s">
        <v>678</v>
      </c>
      <c r="E398" s="28" t="s">
        <v>162</v>
      </c>
      <c r="F398" s="28" t="s">
        <v>421</v>
      </c>
      <c r="G398" s="28" t="s">
        <v>421</v>
      </c>
      <c r="H398" s="28" t="s">
        <v>160</v>
      </c>
      <c r="I398" s="28" t="str">
        <f>VLOOKUP(E398,표준용어사전!$C$2:$D$494, 2, FALSE)</f>
        <v>여부C1</v>
      </c>
      <c r="J398" s="28" t="s">
        <v>709</v>
      </c>
      <c r="K398" s="29">
        <v>1</v>
      </c>
      <c r="L398" s="55" t="s">
        <v>571</v>
      </c>
      <c r="M398" s="29" t="s">
        <v>722</v>
      </c>
      <c r="N398" s="29" t="s">
        <v>75</v>
      </c>
      <c r="O398" s="9"/>
      <c r="P398" s="9" t="s">
        <v>76</v>
      </c>
      <c r="Q398" s="28"/>
      <c r="R398" s="29"/>
      <c r="S398" s="9"/>
      <c r="T398" s="9"/>
      <c r="U398" s="9" t="s">
        <v>75</v>
      </c>
      <c r="V398" s="9" t="s">
        <v>75</v>
      </c>
      <c r="W398" s="9"/>
    </row>
    <row r="399" spans="1:23" s="12" customFormat="1">
      <c r="A399" s="46" t="s">
        <v>572</v>
      </c>
      <c r="B399" s="28" t="s">
        <v>1335</v>
      </c>
      <c r="C399" s="28" t="s">
        <v>2330</v>
      </c>
      <c r="D399" s="28" t="s">
        <v>678</v>
      </c>
      <c r="E399" s="28" t="s">
        <v>2066</v>
      </c>
      <c r="F399" s="28" t="s">
        <v>2065</v>
      </c>
      <c r="G399" s="28" t="s">
        <v>2065</v>
      </c>
      <c r="H399" s="28" t="s">
        <v>160</v>
      </c>
      <c r="I399" s="28" t="str">
        <f>VLOOKUP(E399,표준용어사전!$C$2:$D$494, 2, FALSE)</f>
        <v>주소V2000</v>
      </c>
      <c r="J399" s="28" t="s">
        <v>718</v>
      </c>
      <c r="K399" s="29">
        <v>2000</v>
      </c>
      <c r="L399" s="55" t="s">
        <v>571</v>
      </c>
      <c r="M399" s="29" t="s">
        <v>728</v>
      </c>
      <c r="N399" s="29" t="s">
        <v>75</v>
      </c>
      <c r="O399" s="9"/>
      <c r="P399" s="9" t="s">
        <v>76</v>
      </c>
      <c r="Q399" s="28"/>
      <c r="R399" s="29"/>
      <c r="S399" s="9"/>
      <c r="T399" s="9"/>
      <c r="U399" s="9" t="s">
        <v>75</v>
      </c>
      <c r="V399" s="9" t="s">
        <v>75</v>
      </c>
      <c r="W399" s="9"/>
    </row>
    <row r="400" spans="1:23" s="12" customFormat="1">
      <c r="A400" s="46" t="s">
        <v>572</v>
      </c>
      <c r="B400" s="28" t="s">
        <v>1335</v>
      </c>
      <c r="C400" s="28" t="s">
        <v>2330</v>
      </c>
      <c r="D400" s="28" t="s">
        <v>678</v>
      </c>
      <c r="E400" s="28" t="s">
        <v>90</v>
      </c>
      <c r="F400" s="28" t="s">
        <v>14</v>
      </c>
      <c r="G400" s="28" t="s">
        <v>14</v>
      </c>
      <c r="H400" s="28" t="s">
        <v>160</v>
      </c>
      <c r="I400" s="28" t="str">
        <f>VLOOKUP(E400,표준용어사전!$C$2:$D$494, 2, FALSE)</f>
        <v>연월일시분초TS</v>
      </c>
      <c r="J400" s="28" t="s">
        <v>719</v>
      </c>
      <c r="K400" s="29" t="s">
        <v>571</v>
      </c>
      <c r="L400" s="55" t="s">
        <v>571</v>
      </c>
      <c r="M400" s="29" t="s">
        <v>726</v>
      </c>
      <c r="N400" s="10" t="s">
        <v>973</v>
      </c>
      <c r="O400" s="9"/>
      <c r="P400" s="9" t="s">
        <v>76</v>
      </c>
      <c r="Q400" s="28"/>
      <c r="R400" s="29"/>
      <c r="S400" s="9"/>
      <c r="T400" s="9"/>
      <c r="U400" s="9" t="s">
        <v>75</v>
      </c>
      <c r="V400" s="9" t="s">
        <v>75</v>
      </c>
      <c r="W400" s="9"/>
    </row>
    <row r="401" spans="1:23" s="12" customFormat="1">
      <c r="A401" s="46" t="s">
        <v>572</v>
      </c>
      <c r="B401" s="28" t="s">
        <v>1335</v>
      </c>
      <c r="C401" s="28" t="s">
        <v>2330</v>
      </c>
      <c r="D401" s="28" t="s">
        <v>678</v>
      </c>
      <c r="E401" s="28" t="s">
        <v>91</v>
      </c>
      <c r="F401" s="28" t="s">
        <v>369</v>
      </c>
      <c r="G401" s="28" t="s">
        <v>369</v>
      </c>
      <c r="H401" s="28" t="s">
        <v>160</v>
      </c>
      <c r="I401" s="28" t="str">
        <f>VLOOKUP(E401,표준용어사전!$C$2:$D$494, 2, FALSE)</f>
        <v>명V20</v>
      </c>
      <c r="J401" s="28" t="s">
        <v>718</v>
      </c>
      <c r="K401" s="29" t="s">
        <v>986</v>
      </c>
      <c r="L401" s="55" t="s">
        <v>571</v>
      </c>
      <c r="M401" s="29" t="s">
        <v>727</v>
      </c>
      <c r="N401" s="10" t="s">
        <v>75</v>
      </c>
      <c r="O401" s="9"/>
      <c r="P401" s="9" t="s">
        <v>76</v>
      </c>
      <c r="Q401" s="28"/>
      <c r="R401" s="29"/>
      <c r="S401" s="9"/>
      <c r="T401" s="9"/>
      <c r="U401" s="9" t="s">
        <v>75</v>
      </c>
      <c r="V401" s="9" t="s">
        <v>75</v>
      </c>
      <c r="W401" s="9"/>
    </row>
    <row r="402" spans="1:23" s="12" customFormat="1">
      <c r="A402" s="46" t="s">
        <v>572</v>
      </c>
      <c r="B402" s="28" t="s">
        <v>1335</v>
      </c>
      <c r="C402" s="28" t="s">
        <v>2330</v>
      </c>
      <c r="D402" s="28" t="s">
        <v>678</v>
      </c>
      <c r="E402" s="28" t="s">
        <v>92</v>
      </c>
      <c r="F402" s="28" t="s">
        <v>15</v>
      </c>
      <c r="G402" s="28" t="s">
        <v>15</v>
      </c>
      <c r="H402" s="28" t="s">
        <v>160</v>
      </c>
      <c r="I402" s="28" t="str">
        <f>VLOOKUP(E402,표준용어사전!$C$2:$D$494, 2, FALSE)</f>
        <v>연월일시분초TS</v>
      </c>
      <c r="J402" s="28" t="s">
        <v>719</v>
      </c>
      <c r="K402" s="29" t="s">
        <v>571</v>
      </c>
      <c r="L402" s="55" t="s">
        <v>571</v>
      </c>
      <c r="M402" s="29" t="s">
        <v>726</v>
      </c>
      <c r="N402" s="10" t="s">
        <v>75</v>
      </c>
      <c r="O402" s="9"/>
      <c r="P402" s="9" t="s">
        <v>76</v>
      </c>
      <c r="Q402" s="28"/>
      <c r="R402" s="29"/>
      <c r="S402" s="9"/>
      <c r="T402" s="9"/>
      <c r="U402" s="9" t="s">
        <v>75</v>
      </c>
      <c r="V402" s="9" t="s">
        <v>75</v>
      </c>
      <c r="W402" s="9"/>
    </row>
    <row r="403" spans="1:23" s="12" customFormat="1">
      <c r="A403" s="46" t="s">
        <v>572</v>
      </c>
      <c r="B403" s="28" t="s">
        <v>1335</v>
      </c>
      <c r="C403" s="28" t="s">
        <v>2330</v>
      </c>
      <c r="D403" s="28" t="s">
        <v>678</v>
      </c>
      <c r="E403" s="28" t="s">
        <v>93</v>
      </c>
      <c r="F403" s="28" t="s">
        <v>370</v>
      </c>
      <c r="G403" s="28" t="s">
        <v>370</v>
      </c>
      <c r="H403" s="28" t="s">
        <v>160</v>
      </c>
      <c r="I403" s="28" t="str">
        <f>VLOOKUP(E403,표준용어사전!$C$2:$D$494, 2, FALSE)</f>
        <v>명V20</v>
      </c>
      <c r="J403" s="28" t="s">
        <v>718</v>
      </c>
      <c r="K403" s="29" t="s">
        <v>986</v>
      </c>
      <c r="L403" s="55" t="s">
        <v>571</v>
      </c>
      <c r="M403" s="29" t="s">
        <v>727</v>
      </c>
      <c r="N403" s="29" t="s">
        <v>75</v>
      </c>
      <c r="O403" s="9"/>
      <c r="P403" s="9" t="s">
        <v>76</v>
      </c>
      <c r="Q403" s="28"/>
      <c r="R403" s="29"/>
      <c r="S403" s="9"/>
      <c r="T403" s="9"/>
      <c r="U403" s="9" t="s">
        <v>75</v>
      </c>
      <c r="V403" s="9" t="s">
        <v>75</v>
      </c>
      <c r="W403" s="9"/>
    </row>
    <row r="404" spans="1:23" s="12" customFormat="1">
      <c r="A404" s="46" t="s">
        <v>572</v>
      </c>
      <c r="B404" s="28" t="s">
        <v>1335</v>
      </c>
      <c r="C404" s="28" t="s">
        <v>2330</v>
      </c>
      <c r="D404" s="9" t="s">
        <v>631</v>
      </c>
      <c r="E404" s="28" t="s">
        <v>103</v>
      </c>
      <c r="F404" s="28" t="s">
        <v>380</v>
      </c>
      <c r="G404" s="28" t="s">
        <v>380</v>
      </c>
      <c r="H404" s="28" t="s">
        <v>194</v>
      </c>
      <c r="I404" s="28" t="str">
        <f>VLOOKUP(E404,표준용어사전!$C$2:$D$494, 2, FALSE)</f>
        <v>명V50</v>
      </c>
      <c r="J404" s="28" t="s">
        <v>718</v>
      </c>
      <c r="K404" s="29">
        <v>50</v>
      </c>
      <c r="L404" s="55" t="s">
        <v>571</v>
      </c>
      <c r="M404" s="29" t="s">
        <v>720</v>
      </c>
      <c r="N404" s="10" t="s">
        <v>973</v>
      </c>
      <c r="O404" s="9" t="s">
        <v>73</v>
      </c>
      <c r="P404" s="9" t="s">
        <v>76</v>
      </c>
      <c r="Q404" s="28"/>
      <c r="R404" s="29"/>
      <c r="S404" s="9"/>
      <c r="T404" s="9"/>
      <c r="U404" s="9" t="s">
        <v>75</v>
      </c>
      <c r="V404" s="9" t="s">
        <v>75</v>
      </c>
      <c r="W404" s="9"/>
    </row>
    <row r="405" spans="1:23" s="12" customFormat="1">
      <c r="A405" s="46" t="s">
        <v>572</v>
      </c>
      <c r="B405" s="28" t="s">
        <v>1335</v>
      </c>
      <c r="C405" s="28" t="s">
        <v>2330</v>
      </c>
      <c r="D405" s="9" t="s">
        <v>631</v>
      </c>
      <c r="E405" s="28" t="s">
        <v>89</v>
      </c>
      <c r="F405" s="28" t="s">
        <v>501</v>
      </c>
      <c r="G405" s="28" t="s">
        <v>501</v>
      </c>
      <c r="H405" s="28" t="s">
        <v>194</v>
      </c>
      <c r="I405" s="28" t="str">
        <f>VLOOKUP(E405,표준용어사전!$C$2:$D$494, 2, FALSE)</f>
        <v>명V20</v>
      </c>
      <c r="J405" s="28" t="s">
        <v>718</v>
      </c>
      <c r="K405" s="29" t="s">
        <v>986</v>
      </c>
      <c r="L405" s="55" t="s">
        <v>571</v>
      </c>
      <c r="M405" s="29" t="s">
        <v>727</v>
      </c>
      <c r="N405" s="10" t="s">
        <v>973</v>
      </c>
      <c r="O405" s="9"/>
      <c r="P405" s="9" t="s">
        <v>76</v>
      </c>
      <c r="Q405" s="28"/>
      <c r="R405" s="29"/>
      <c r="S405" s="9"/>
      <c r="T405" s="9"/>
      <c r="U405" s="9" t="s">
        <v>75</v>
      </c>
      <c r="V405" s="9" t="s">
        <v>75</v>
      </c>
      <c r="W405" s="9"/>
    </row>
    <row r="406" spans="1:23" s="12" customFormat="1">
      <c r="A406" s="46" t="s">
        <v>572</v>
      </c>
      <c r="B406" s="28" t="s">
        <v>1335</v>
      </c>
      <c r="C406" s="28" t="s">
        <v>2330</v>
      </c>
      <c r="D406" s="9" t="s">
        <v>631</v>
      </c>
      <c r="E406" s="28" t="s">
        <v>2055</v>
      </c>
      <c r="F406" s="28" t="s">
        <v>444</v>
      </c>
      <c r="G406" s="28" t="s">
        <v>444</v>
      </c>
      <c r="H406" s="28" t="s">
        <v>194</v>
      </c>
      <c r="I406" s="28" t="str">
        <f>VLOOKUP(E406,표준용어사전!$C$2:$D$494, 2, FALSE)</f>
        <v>위도N12,10</v>
      </c>
      <c r="J406" s="28" t="s">
        <v>748</v>
      </c>
      <c r="K406" s="29">
        <v>12</v>
      </c>
      <c r="L406" s="55">
        <v>10</v>
      </c>
      <c r="M406" s="29" t="s">
        <v>1350</v>
      </c>
      <c r="N406" s="10" t="s">
        <v>75</v>
      </c>
      <c r="O406" s="9"/>
      <c r="P406" s="9" t="s">
        <v>76</v>
      </c>
      <c r="Q406" s="28"/>
      <c r="R406" s="29"/>
      <c r="S406" s="9"/>
      <c r="T406" s="9"/>
      <c r="U406" s="9" t="s">
        <v>75</v>
      </c>
      <c r="V406" s="9" t="s">
        <v>75</v>
      </c>
      <c r="W406" s="9"/>
    </row>
    <row r="407" spans="1:23" s="12" customFormat="1">
      <c r="A407" s="46" t="s">
        <v>572</v>
      </c>
      <c r="B407" s="28" t="s">
        <v>1335</v>
      </c>
      <c r="C407" s="28" t="s">
        <v>2330</v>
      </c>
      <c r="D407" s="9" t="s">
        <v>631</v>
      </c>
      <c r="E407" s="28" t="s">
        <v>2056</v>
      </c>
      <c r="F407" s="28" t="s">
        <v>445</v>
      </c>
      <c r="G407" s="28" t="s">
        <v>445</v>
      </c>
      <c r="H407" s="28" t="s">
        <v>194</v>
      </c>
      <c r="I407" s="28" t="str">
        <f>VLOOKUP(E407,표준용어사전!$C$2:$D$494, 2, FALSE)</f>
        <v>경도N13,10</v>
      </c>
      <c r="J407" s="28" t="s">
        <v>748</v>
      </c>
      <c r="K407" s="29">
        <v>13</v>
      </c>
      <c r="L407" s="55" t="s">
        <v>1061</v>
      </c>
      <c r="M407" s="29" t="s">
        <v>1351</v>
      </c>
      <c r="N407" s="29" t="s">
        <v>75</v>
      </c>
      <c r="O407" s="9"/>
      <c r="P407" s="9" t="s">
        <v>76</v>
      </c>
      <c r="Q407" s="28"/>
      <c r="R407" s="29"/>
      <c r="S407" s="9"/>
      <c r="T407" s="9"/>
      <c r="U407" s="9" t="s">
        <v>75</v>
      </c>
      <c r="V407" s="9" t="s">
        <v>75</v>
      </c>
      <c r="W407" s="9"/>
    </row>
    <row r="408" spans="1:23" s="12" customFormat="1">
      <c r="A408" s="46" t="s">
        <v>572</v>
      </c>
      <c r="B408" s="28" t="s">
        <v>1335</v>
      </c>
      <c r="C408" s="28" t="s">
        <v>2330</v>
      </c>
      <c r="D408" s="9" t="s">
        <v>631</v>
      </c>
      <c r="E408" s="28" t="s">
        <v>2057</v>
      </c>
      <c r="F408" s="28" t="s">
        <v>446</v>
      </c>
      <c r="G408" s="28" t="s">
        <v>446</v>
      </c>
      <c r="H408" s="28" t="s">
        <v>194</v>
      </c>
      <c r="I408" s="28" t="str">
        <f>VLOOKUP(E408,표준용어사전!$C$2:$D$494, 2, FALSE)</f>
        <v>위도N12,10</v>
      </c>
      <c r="J408" s="28" t="s">
        <v>748</v>
      </c>
      <c r="K408" s="29">
        <v>12</v>
      </c>
      <c r="L408" s="55">
        <v>10</v>
      </c>
      <c r="M408" s="29" t="s">
        <v>1350</v>
      </c>
      <c r="N408" s="29" t="s">
        <v>75</v>
      </c>
      <c r="O408" s="9"/>
      <c r="P408" s="9" t="s">
        <v>76</v>
      </c>
      <c r="Q408" s="28"/>
      <c r="R408" s="29"/>
      <c r="S408" s="9"/>
      <c r="T408" s="9"/>
      <c r="U408" s="9" t="s">
        <v>75</v>
      </c>
      <c r="V408" s="9" t="s">
        <v>75</v>
      </c>
      <c r="W408" s="9"/>
    </row>
    <row r="409" spans="1:23" s="12" customFormat="1">
      <c r="A409" s="46" t="s">
        <v>572</v>
      </c>
      <c r="B409" s="28" t="s">
        <v>1335</v>
      </c>
      <c r="C409" s="28" t="s">
        <v>2330</v>
      </c>
      <c r="D409" s="9" t="s">
        <v>631</v>
      </c>
      <c r="E409" s="28" t="s">
        <v>2058</v>
      </c>
      <c r="F409" s="28" t="s">
        <v>447</v>
      </c>
      <c r="G409" s="28" t="s">
        <v>447</v>
      </c>
      <c r="H409" s="28" t="s">
        <v>194</v>
      </c>
      <c r="I409" s="28" t="str">
        <f>VLOOKUP(E409,표준용어사전!$C$2:$D$494, 2, FALSE)</f>
        <v>경도N13,10</v>
      </c>
      <c r="J409" s="28" t="s">
        <v>748</v>
      </c>
      <c r="K409" s="29">
        <v>13</v>
      </c>
      <c r="L409" s="55" t="s">
        <v>1061</v>
      </c>
      <c r="M409" s="29" t="s">
        <v>1351</v>
      </c>
      <c r="N409" s="29" t="s">
        <v>75</v>
      </c>
      <c r="O409" s="9"/>
      <c r="P409" s="9" t="s">
        <v>76</v>
      </c>
      <c r="Q409" s="28"/>
      <c r="R409" s="29"/>
      <c r="S409" s="9"/>
      <c r="T409" s="9"/>
      <c r="U409" s="9" t="s">
        <v>75</v>
      </c>
      <c r="V409" s="9" t="s">
        <v>75</v>
      </c>
      <c r="W409" s="9"/>
    </row>
    <row r="410" spans="1:23" s="12" customFormat="1">
      <c r="A410" s="46" t="s">
        <v>572</v>
      </c>
      <c r="B410" s="28" t="s">
        <v>1335</v>
      </c>
      <c r="C410" s="28" t="s">
        <v>2330</v>
      </c>
      <c r="D410" s="9" t="s">
        <v>631</v>
      </c>
      <c r="E410" s="28" t="s">
        <v>2060</v>
      </c>
      <c r="F410" s="28" t="s">
        <v>2059</v>
      </c>
      <c r="G410" s="28" t="s">
        <v>2059</v>
      </c>
      <c r="H410" s="28" t="s">
        <v>194</v>
      </c>
      <c r="I410" s="28" t="str">
        <f>VLOOKUP(E410,표준용어사전!$C$2:$D$494, 2, FALSE)</f>
        <v>연도C4</v>
      </c>
      <c r="J410" s="28" t="s">
        <v>709</v>
      </c>
      <c r="K410" s="29">
        <v>4</v>
      </c>
      <c r="L410" s="55" t="s">
        <v>571</v>
      </c>
      <c r="M410" s="29" t="s">
        <v>1352</v>
      </c>
      <c r="N410" s="29" t="s">
        <v>75</v>
      </c>
      <c r="O410" s="9"/>
      <c r="P410" s="9" t="s">
        <v>76</v>
      </c>
      <c r="Q410" s="28"/>
      <c r="R410" s="29"/>
      <c r="S410" s="9"/>
      <c r="T410" s="9"/>
      <c r="U410" s="9" t="s">
        <v>75</v>
      </c>
      <c r="V410" s="9" t="s">
        <v>75</v>
      </c>
      <c r="W410" s="9"/>
    </row>
    <row r="411" spans="1:23" s="12" customFormat="1">
      <c r="A411" s="46" t="s">
        <v>572</v>
      </c>
      <c r="B411" s="28" t="s">
        <v>1335</v>
      </c>
      <c r="C411" s="28" t="s">
        <v>2330</v>
      </c>
      <c r="D411" s="9" t="s">
        <v>631</v>
      </c>
      <c r="E411" s="28" t="s">
        <v>2062</v>
      </c>
      <c r="F411" s="28" t="s">
        <v>2061</v>
      </c>
      <c r="G411" s="28" t="s">
        <v>2061</v>
      </c>
      <c r="H411" s="28" t="s">
        <v>194</v>
      </c>
      <c r="I411" s="28" t="str">
        <f>VLOOKUP(E411,표준용어사전!$C$2:$D$494, 2, FALSE)</f>
        <v>연도C4</v>
      </c>
      <c r="J411" s="28" t="s">
        <v>709</v>
      </c>
      <c r="K411" s="29">
        <v>4</v>
      </c>
      <c r="L411" s="55" t="s">
        <v>571</v>
      </c>
      <c r="M411" s="29" t="s">
        <v>1352</v>
      </c>
      <c r="N411" s="29" t="s">
        <v>75</v>
      </c>
      <c r="O411" s="9"/>
      <c r="P411" s="9" t="s">
        <v>76</v>
      </c>
      <c r="Q411" s="28"/>
      <c r="R411" s="29"/>
      <c r="S411" s="9"/>
      <c r="T411" s="9"/>
      <c r="U411" s="9" t="s">
        <v>75</v>
      </c>
      <c r="V411" s="9" t="s">
        <v>75</v>
      </c>
      <c r="W411" s="9"/>
    </row>
    <row r="412" spans="1:23" s="12" customFormat="1">
      <c r="A412" s="46" t="s">
        <v>572</v>
      </c>
      <c r="B412" s="28" t="s">
        <v>1335</v>
      </c>
      <c r="C412" s="28" t="s">
        <v>2330</v>
      </c>
      <c r="D412" s="9" t="s">
        <v>631</v>
      </c>
      <c r="E412" s="28" t="s">
        <v>201</v>
      </c>
      <c r="F412" s="28" t="s">
        <v>450</v>
      </c>
      <c r="G412" s="28" t="s">
        <v>450</v>
      </c>
      <c r="H412" s="28" t="s">
        <v>194</v>
      </c>
      <c r="I412" s="28" t="str">
        <f>VLOOKUP(E412,표준용어사전!$C$2:$D$494, 2, FALSE)</f>
        <v>수N10</v>
      </c>
      <c r="J412" s="28" t="s">
        <v>748</v>
      </c>
      <c r="K412" s="29" t="s">
        <v>1061</v>
      </c>
      <c r="L412" s="55" t="s">
        <v>571</v>
      </c>
      <c r="M412" s="29" t="s">
        <v>2592</v>
      </c>
      <c r="N412" s="29" t="s">
        <v>75</v>
      </c>
      <c r="O412" s="9"/>
      <c r="P412" s="9" t="s">
        <v>76</v>
      </c>
      <c r="Q412" s="28"/>
      <c r="R412" s="29"/>
      <c r="S412" s="9"/>
      <c r="T412" s="9"/>
      <c r="U412" s="9" t="s">
        <v>75</v>
      </c>
      <c r="V412" s="9" t="s">
        <v>75</v>
      </c>
      <c r="W412" s="9"/>
    </row>
    <row r="413" spans="1:23" s="12" customFormat="1">
      <c r="A413" s="46" t="s">
        <v>572</v>
      </c>
      <c r="B413" s="28" t="s">
        <v>1335</v>
      </c>
      <c r="C413" s="28" t="s">
        <v>2330</v>
      </c>
      <c r="D413" s="9" t="s">
        <v>631</v>
      </c>
      <c r="E413" s="28" t="s">
        <v>1991</v>
      </c>
      <c r="F413" s="28" t="s">
        <v>437</v>
      </c>
      <c r="G413" s="28" t="s">
        <v>437</v>
      </c>
      <c r="H413" s="28" t="s">
        <v>194</v>
      </c>
      <c r="I413" s="28" t="str">
        <f>VLOOKUP(E413,표준용어사전!$C$2:$D$494, 2, FALSE)</f>
        <v>여부C1</v>
      </c>
      <c r="J413" s="28" t="s">
        <v>709</v>
      </c>
      <c r="K413" s="29">
        <v>1</v>
      </c>
      <c r="L413" s="55" t="s">
        <v>571</v>
      </c>
      <c r="M413" s="29" t="s">
        <v>722</v>
      </c>
      <c r="N413" s="29" t="s">
        <v>75</v>
      </c>
      <c r="O413" s="9"/>
      <c r="P413" s="9" t="s">
        <v>76</v>
      </c>
      <c r="Q413" s="28"/>
      <c r="R413" s="29"/>
      <c r="S413" s="9"/>
      <c r="T413" s="9"/>
      <c r="U413" s="9" t="s">
        <v>75</v>
      </c>
      <c r="V413" s="9" t="s">
        <v>75</v>
      </c>
      <c r="W413" s="9"/>
    </row>
    <row r="414" spans="1:23" s="12" customFormat="1">
      <c r="A414" s="46" t="s">
        <v>572</v>
      </c>
      <c r="B414" s="28" t="s">
        <v>1335</v>
      </c>
      <c r="C414" s="28" t="s">
        <v>2330</v>
      </c>
      <c r="D414" s="9" t="s">
        <v>631</v>
      </c>
      <c r="E414" s="28" t="s">
        <v>90</v>
      </c>
      <c r="F414" s="28" t="s">
        <v>14</v>
      </c>
      <c r="G414" s="28" t="s">
        <v>14</v>
      </c>
      <c r="H414" s="28" t="s">
        <v>194</v>
      </c>
      <c r="I414" s="28" t="str">
        <f>VLOOKUP(E414,표준용어사전!$C$2:$D$494, 2, FALSE)</f>
        <v>연월일시분초TS</v>
      </c>
      <c r="J414" s="28" t="s">
        <v>719</v>
      </c>
      <c r="K414" s="29" t="s">
        <v>571</v>
      </c>
      <c r="L414" s="55" t="s">
        <v>571</v>
      </c>
      <c r="M414" s="29" t="s">
        <v>726</v>
      </c>
      <c r="N414" s="29" t="s">
        <v>973</v>
      </c>
      <c r="O414" s="9"/>
      <c r="P414" s="9" t="s">
        <v>76</v>
      </c>
      <c r="Q414" s="28"/>
      <c r="R414" s="29"/>
      <c r="S414" s="9"/>
      <c r="T414" s="9"/>
      <c r="U414" s="9" t="s">
        <v>75</v>
      </c>
      <c r="V414" s="9" t="s">
        <v>75</v>
      </c>
      <c r="W414" s="9"/>
    </row>
    <row r="415" spans="1:23" s="12" customFormat="1">
      <c r="A415" s="46" t="s">
        <v>572</v>
      </c>
      <c r="B415" s="28" t="s">
        <v>1335</v>
      </c>
      <c r="C415" s="28" t="s">
        <v>2330</v>
      </c>
      <c r="D415" s="28" t="s">
        <v>631</v>
      </c>
      <c r="E415" s="28" t="s">
        <v>91</v>
      </c>
      <c r="F415" s="28" t="s">
        <v>369</v>
      </c>
      <c r="G415" s="28" t="s">
        <v>369</v>
      </c>
      <c r="H415" s="28" t="s">
        <v>194</v>
      </c>
      <c r="I415" s="28" t="str">
        <f>VLOOKUP(E415,표준용어사전!$C$2:$D$494, 2, FALSE)</f>
        <v>명V20</v>
      </c>
      <c r="J415" s="28" t="s">
        <v>718</v>
      </c>
      <c r="K415" s="29" t="s">
        <v>986</v>
      </c>
      <c r="L415" s="55" t="s">
        <v>571</v>
      </c>
      <c r="M415" s="29" t="s">
        <v>727</v>
      </c>
      <c r="N415" s="29" t="s">
        <v>75</v>
      </c>
      <c r="O415" s="28"/>
      <c r="P415" s="28" t="s">
        <v>76</v>
      </c>
      <c r="Q415" s="28"/>
      <c r="R415" s="29"/>
      <c r="S415" s="28"/>
      <c r="T415" s="28"/>
      <c r="U415" s="28" t="s">
        <v>75</v>
      </c>
      <c r="V415" s="28" t="s">
        <v>75</v>
      </c>
      <c r="W415" s="28"/>
    </row>
    <row r="416" spans="1:23" s="12" customFormat="1">
      <c r="A416" s="46" t="s">
        <v>572</v>
      </c>
      <c r="B416" s="28" t="s">
        <v>1335</v>
      </c>
      <c r="C416" s="28" t="s">
        <v>2330</v>
      </c>
      <c r="D416" s="48" t="s">
        <v>631</v>
      </c>
      <c r="E416" s="28" t="s">
        <v>92</v>
      </c>
      <c r="F416" s="28" t="s">
        <v>15</v>
      </c>
      <c r="G416" s="28" t="s">
        <v>15</v>
      </c>
      <c r="H416" s="28" t="s">
        <v>194</v>
      </c>
      <c r="I416" s="28" t="str">
        <f>VLOOKUP(E416,표준용어사전!$C$2:$D$494, 2, FALSE)</f>
        <v>연월일시분초TS</v>
      </c>
      <c r="J416" s="28" t="s">
        <v>719</v>
      </c>
      <c r="K416" s="29" t="s">
        <v>571</v>
      </c>
      <c r="L416" s="55" t="s">
        <v>571</v>
      </c>
      <c r="M416" s="29" t="s">
        <v>726</v>
      </c>
      <c r="N416" s="29" t="s">
        <v>75</v>
      </c>
      <c r="O416" s="48"/>
      <c r="P416" s="48" t="s">
        <v>76</v>
      </c>
      <c r="Q416" s="48"/>
      <c r="R416" s="50"/>
      <c r="S416" s="48"/>
      <c r="T416" s="48"/>
      <c r="U416" s="48" t="s">
        <v>75</v>
      </c>
      <c r="V416" s="48" t="s">
        <v>75</v>
      </c>
      <c r="W416" s="48"/>
    </row>
    <row r="417" spans="1:23" s="12" customFormat="1">
      <c r="A417" s="46" t="s">
        <v>572</v>
      </c>
      <c r="B417" s="28" t="s">
        <v>1335</v>
      </c>
      <c r="C417" s="28" t="s">
        <v>2330</v>
      </c>
      <c r="D417" s="48" t="s">
        <v>631</v>
      </c>
      <c r="E417" s="28" t="s">
        <v>93</v>
      </c>
      <c r="F417" s="28" t="s">
        <v>370</v>
      </c>
      <c r="G417" s="28" t="s">
        <v>370</v>
      </c>
      <c r="H417" s="28" t="s">
        <v>194</v>
      </c>
      <c r="I417" s="28" t="str">
        <f>VLOOKUP(E417,표준용어사전!$C$2:$D$494, 2, FALSE)</f>
        <v>명V20</v>
      </c>
      <c r="J417" s="28" t="s">
        <v>718</v>
      </c>
      <c r="K417" s="29" t="s">
        <v>986</v>
      </c>
      <c r="L417" s="55" t="s">
        <v>571</v>
      </c>
      <c r="M417" s="29" t="s">
        <v>727</v>
      </c>
      <c r="N417" s="50" t="s">
        <v>75</v>
      </c>
      <c r="O417" s="48"/>
      <c r="P417" s="48" t="s">
        <v>76</v>
      </c>
      <c r="Q417" s="48"/>
      <c r="R417" s="50"/>
      <c r="S417" s="48"/>
      <c r="T417" s="48"/>
      <c r="U417" s="48" t="s">
        <v>75</v>
      </c>
      <c r="V417" s="48" t="s">
        <v>75</v>
      </c>
      <c r="W417" s="48"/>
    </row>
    <row r="418" spans="1:23" s="12" customFormat="1">
      <c r="A418" s="46" t="s">
        <v>572</v>
      </c>
      <c r="B418" s="28" t="s">
        <v>1333</v>
      </c>
      <c r="C418" s="28" t="s">
        <v>2330</v>
      </c>
      <c r="D418" s="9" t="s">
        <v>677</v>
      </c>
      <c r="E418" s="28" t="s">
        <v>848</v>
      </c>
      <c r="F418" s="28" t="s">
        <v>759</v>
      </c>
      <c r="G418" s="28" t="s">
        <v>759</v>
      </c>
      <c r="H418" s="28" t="s">
        <v>701</v>
      </c>
      <c r="I418" s="28" t="str">
        <f>VLOOKUP(E418,표준용어사전!$C$2:$D$494, 2, FALSE)</f>
        <v>번호I</v>
      </c>
      <c r="J418" s="28" t="s">
        <v>717</v>
      </c>
      <c r="K418" s="29" t="s">
        <v>571</v>
      </c>
      <c r="L418" s="55" t="s">
        <v>571</v>
      </c>
      <c r="M418" s="29" t="s">
        <v>2591</v>
      </c>
      <c r="N418" s="29" t="s">
        <v>973</v>
      </c>
      <c r="O418" s="9" t="s">
        <v>73</v>
      </c>
      <c r="P418" s="9" t="s">
        <v>76</v>
      </c>
      <c r="Q418" s="28"/>
      <c r="R418" s="29"/>
      <c r="S418" s="9"/>
      <c r="T418" s="9"/>
      <c r="U418" s="9" t="s">
        <v>75</v>
      </c>
      <c r="V418" s="9" t="s">
        <v>75</v>
      </c>
      <c r="W418" s="9"/>
    </row>
    <row r="419" spans="1:23" s="12" customFormat="1">
      <c r="A419" s="46" t="s">
        <v>572</v>
      </c>
      <c r="B419" s="28" t="s">
        <v>1333</v>
      </c>
      <c r="C419" s="28" t="s">
        <v>2330</v>
      </c>
      <c r="D419" s="9" t="s">
        <v>677</v>
      </c>
      <c r="E419" s="28" t="s">
        <v>246</v>
      </c>
      <c r="F419" s="28" t="s">
        <v>17</v>
      </c>
      <c r="G419" s="28" t="s">
        <v>17</v>
      </c>
      <c r="H419" s="28" t="s">
        <v>701</v>
      </c>
      <c r="I419" s="28" t="str">
        <f>VLOOKUP(E419,표준용어사전!$C$2:$D$494, 2, FALSE)</f>
        <v>명V20</v>
      </c>
      <c r="J419" s="28" t="s">
        <v>718</v>
      </c>
      <c r="K419" s="29" t="s">
        <v>986</v>
      </c>
      <c r="L419" s="55" t="s">
        <v>571</v>
      </c>
      <c r="M419" s="29" t="s">
        <v>727</v>
      </c>
      <c r="N419" s="29" t="s">
        <v>973</v>
      </c>
      <c r="O419" s="9"/>
      <c r="P419" s="9" t="s">
        <v>76</v>
      </c>
      <c r="Q419" s="28"/>
      <c r="R419" s="29"/>
      <c r="S419" s="9"/>
      <c r="T419" s="9"/>
      <c r="U419" s="9" t="s">
        <v>75</v>
      </c>
      <c r="V419" s="9" t="s">
        <v>75</v>
      </c>
      <c r="W419" s="9"/>
    </row>
    <row r="420" spans="1:23" s="12" customFormat="1">
      <c r="A420" s="46" t="s">
        <v>572</v>
      </c>
      <c r="B420" s="28" t="s">
        <v>1333</v>
      </c>
      <c r="C420" s="28" t="s">
        <v>2330</v>
      </c>
      <c r="D420" s="9" t="s">
        <v>677</v>
      </c>
      <c r="E420" s="28" t="s">
        <v>89</v>
      </c>
      <c r="F420" s="28" t="s">
        <v>501</v>
      </c>
      <c r="G420" s="28" t="s">
        <v>501</v>
      </c>
      <c r="H420" s="28" t="s">
        <v>701</v>
      </c>
      <c r="I420" s="28" t="str">
        <f>VLOOKUP(E420,표준용어사전!$C$2:$D$494, 2, FALSE)</f>
        <v>명V20</v>
      </c>
      <c r="J420" s="28" t="s">
        <v>718</v>
      </c>
      <c r="K420" s="29" t="s">
        <v>986</v>
      </c>
      <c r="L420" s="55" t="s">
        <v>571</v>
      </c>
      <c r="M420" s="29" t="s">
        <v>727</v>
      </c>
      <c r="N420" s="29" t="s">
        <v>973</v>
      </c>
      <c r="O420" s="9"/>
      <c r="P420" s="9" t="s">
        <v>76</v>
      </c>
      <c r="Q420" s="28"/>
      <c r="R420" s="29"/>
      <c r="S420" s="9"/>
      <c r="T420" s="9"/>
      <c r="U420" s="9" t="s">
        <v>75</v>
      </c>
      <c r="V420" s="9" t="s">
        <v>75</v>
      </c>
      <c r="W420" s="9"/>
    </row>
    <row r="421" spans="1:23" s="12" customFormat="1">
      <c r="A421" s="46" t="s">
        <v>572</v>
      </c>
      <c r="B421" s="28" t="s">
        <v>1333</v>
      </c>
      <c r="C421" s="28" t="s">
        <v>2330</v>
      </c>
      <c r="D421" s="9" t="s">
        <v>677</v>
      </c>
      <c r="E421" s="28" t="s">
        <v>103</v>
      </c>
      <c r="F421" s="28" t="s">
        <v>380</v>
      </c>
      <c r="G421" s="28" t="s">
        <v>380</v>
      </c>
      <c r="H421" s="28" t="s">
        <v>701</v>
      </c>
      <c r="I421" s="28" t="str">
        <f>VLOOKUP(E421,표준용어사전!$C$2:$D$494, 2, FALSE)</f>
        <v>명V50</v>
      </c>
      <c r="J421" s="28" t="s">
        <v>718</v>
      </c>
      <c r="K421" s="29">
        <v>50</v>
      </c>
      <c r="L421" s="55" t="s">
        <v>571</v>
      </c>
      <c r="M421" s="29" t="s">
        <v>720</v>
      </c>
      <c r="N421" s="29" t="s">
        <v>973</v>
      </c>
      <c r="O421" s="9"/>
      <c r="P421" s="9" t="s">
        <v>76</v>
      </c>
      <c r="Q421" s="28"/>
      <c r="R421" s="29"/>
      <c r="S421" s="9"/>
      <c r="T421" s="9"/>
      <c r="U421" s="9" t="s">
        <v>75</v>
      </c>
      <c r="V421" s="9" t="s">
        <v>75</v>
      </c>
      <c r="W421" s="9"/>
    </row>
    <row r="422" spans="1:23" s="12" customFormat="1">
      <c r="A422" s="46" t="s">
        <v>572</v>
      </c>
      <c r="B422" s="28" t="s">
        <v>1333</v>
      </c>
      <c r="C422" s="28" t="s">
        <v>2330</v>
      </c>
      <c r="D422" s="9" t="s">
        <v>677</v>
      </c>
      <c r="E422" s="28" t="s">
        <v>268</v>
      </c>
      <c r="F422" s="28" t="s">
        <v>500</v>
      </c>
      <c r="G422" s="28" t="s">
        <v>500</v>
      </c>
      <c r="H422" s="28" t="s">
        <v>701</v>
      </c>
      <c r="I422" s="28" t="str">
        <f>VLOOKUP(E422,표준용어사전!$C$2:$D$494, 2, FALSE)</f>
        <v>코드C1</v>
      </c>
      <c r="J422" s="28" t="s">
        <v>709</v>
      </c>
      <c r="K422" s="29">
        <v>1</v>
      </c>
      <c r="L422" s="55" t="s">
        <v>571</v>
      </c>
      <c r="M422" s="29" t="s">
        <v>722</v>
      </c>
      <c r="N422" s="10" t="s">
        <v>75</v>
      </c>
      <c r="O422" s="9"/>
      <c r="P422" s="9" t="s">
        <v>76</v>
      </c>
      <c r="Q422" s="28"/>
      <c r="R422" s="29"/>
      <c r="S422" s="9"/>
      <c r="T422" s="9"/>
      <c r="U422" s="9" t="s">
        <v>75</v>
      </c>
      <c r="V422" s="9" t="s">
        <v>75</v>
      </c>
      <c r="W422" s="9"/>
    </row>
    <row r="423" spans="1:23" s="12" customFormat="1">
      <c r="A423" s="46" t="s">
        <v>572</v>
      </c>
      <c r="B423" s="28" t="s">
        <v>1333</v>
      </c>
      <c r="C423" s="28" t="s">
        <v>2330</v>
      </c>
      <c r="D423" s="9" t="s">
        <v>677</v>
      </c>
      <c r="E423" s="28" t="s">
        <v>252</v>
      </c>
      <c r="F423" s="28" t="s">
        <v>77</v>
      </c>
      <c r="G423" s="28" t="s">
        <v>77</v>
      </c>
      <c r="H423" s="28" t="s">
        <v>701</v>
      </c>
      <c r="I423" s="28" t="str">
        <f>VLOOKUP(E423,표준용어사전!$C$2:$D$494, 2, FALSE)</f>
        <v>내용TXT</v>
      </c>
      <c r="J423" s="28" t="s">
        <v>713</v>
      </c>
      <c r="K423" s="29" t="s">
        <v>571</v>
      </c>
      <c r="L423" s="55" t="s">
        <v>571</v>
      </c>
      <c r="M423" s="29" t="s">
        <v>2590</v>
      </c>
      <c r="N423" s="10" t="s">
        <v>75</v>
      </c>
      <c r="O423" s="9"/>
      <c r="P423" s="9" t="s">
        <v>76</v>
      </c>
      <c r="Q423" s="28"/>
      <c r="R423" s="29"/>
      <c r="S423" s="9"/>
      <c r="T423" s="9"/>
      <c r="U423" s="9" t="s">
        <v>75</v>
      </c>
      <c r="V423" s="9" t="s">
        <v>75</v>
      </c>
      <c r="W423" s="9"/>
    </row>
    <row r="424" spans="1:23" s="12" customFormat="1">
      <c r="A424" s="46" t="s">
        <v>572</v>
      </c>
      <c r="B424" s="28" t="s">
        <v>1333</v>
      </c>
      <c r="C424" s="28" t="s">
        <v>2330</v>
      </c>
      <c r="D424" s="9" t="s">
        <v>677</v>
      </c>
      <c r="E424" s="28" t="s">
        <v>90</v>
      </c>
      <c r="F424" s="28" t="s">
        <v>14</v>
      </c>
      <c r="G424" s="28" t="s">
        <v>14</v>
      </c>
      <c r="H424" s="28" t="s">
        <v>701</v>
      </c>
      <c r="I424" s="28" t="str">
        <f>VLOOKUP(E424,표준용어사전!$C$2:$D$494, 2, FALSE)</f>
        <v>연월일시분초TS</v>
      </c>
      <c r="J424" s="28" t="s">
        <v>719</v>
      </c>
      <c r="K424" s="29" t="s">
        <v>571</v>
      </c>
      <c r="L424" s="55" t="s">
        <v>571</v>
      </c>
      <c r="M424" s="29" t="s">
        <v>726</v>
      </c>
      <c r="N424" s="29" t="s">
        <v>973</v>
      </c>
      <c r="O424" s="9"/>
      <c r="P424" s="9" t="s">
        <v>76</v>
      </c>
      <c r="Q424" s="28"/>
      <c r="R424" s="29"/>
      <c r="S424" s="9"/>
      <c r="T424" s="9"/>
      <c r="U424" s="9" t="s">
        <v>75</v>
      </c>
      <c r="V424" s="9" t="s">
        <v>75</v>
      </c>
      <c r="W424" s="9"/>
    </row>
    <row r="425" spans="1:23" s="12" customFormat="1">
      <c r="A425" s="46" t="s">
        <v>572</v>
      </c>
      <c r="B425" s="28" t="s">
        <v>1333</v>
      </c>
      <c r="C425" s="28" t="s">
        <v>2330</v>
      </c>
      <c r="D425" s="9" t="s">
        <v>677</v>
      </c>
      <c r="E425" s="28" t="s">
        <v>91</v>
      </c>
      <c r="F425" s="28" t="s">
        <v>369</v>
      </c>
      <c r="G425" s="28" t="s">
        <v>369</v>
      </c>
      <c r="H425" s="28" t="s">
        <v>701</v>
      </c>
      <c r="I425" s="28" t="str">
        <f>VLOOKUP(E425,표준용어사전!$C$2:$D$494, 2, FALSE)</f>
        <v>명V20</v>
      </c>
      <c r="J425" s="28" t="s">
        <v>718</v>
      </c>
      <c r="K425" s="29" t="s">
        <v>986</v>
      </c>
      <c r="L425" s="55" t="s">
        <v>571</v>
      </c>
      <c r="M425" s="29" t="s">
        <v>727</v>
      </c>
      <c r="N425" s="10" t="s">
        <v>75</v>
      </c>
      <c r="O425" s="9"/>
      <c r="P425" s="9" t="s">
        <v>76</v>
      </c>
      <c r="Q425" s="28"/>
      <c r="R425" s="29"/>
      <c r="S425" s="9"/>
      <c r="T425" s="9"/>
      <c r="U425" s="9" t="s">
        <v>75</v>
      </c>
      <c r="V425" s="9" t="s">
        <v>75</v>
      </c>
      <c r="W425" s="9"/>
    </row>
    <row r="426" spans="1:23" s="12" customFormat="1">
      <c r="A426" s="46" t="s">
        <v>572</v>
      </c>
      <c r="B426" s="28" t="s">
        <v>1333</v>
      </c>
      <c r="C426" s="28" t="s">
        <v>2330</v>
      </c>
      <c r="D426" s="9" t="s">
        <v>677</v>
      </c>
      <c r="E426" s="28" t="s">
        <v>92</v>
      </c>
      <c r="F426" s="28" t="s">
        <v>15</v>
      </c>
      <c r="G426" s="28" t="s">
        <v>15</v>
      </c>
      <c r="H426" s="28" t="s">
        <v>701</v>
      </c>
      <c r="I426" s="28" t="str">
        <f>VLOOKUP(E426,표준용어사전!$C$2:$D$494, 2, FALSE)</f>
        <v>연월일시분초TS</v>
      </c>
      <c r="J426" s="28" t="s">
        <v>719</v>
      </c>
      <c r="K426" s="29" t="s">
        <v>571</v>
      </c>
      <c r="L426" s="55" t="s">
        <v>571</v>
      </c>
      <c r="M426" s="29" t="s">
        <v>726</v>
      </c>
      <c r="N426" s="10" t="s">
        <v>75</v>
      </c>
      <c r="O426" s="9"/>
      <c r="P426" s="9" t="s">
        <v>76</v>
      </c>
      <c r="Q426" s="28"/>
      <c r="R426" s="29"/>
      <c r="S426" s="9"/>
      <c r="T426" s="9"/>
      <c r="U426" s="9" t="s">
        <v>75</v>
      </c>
      <c r="V426" s="9" t="s">
        <v>75</v>
      </c>
      <c r="W426" s="9"/>
    </row>
    <row r="427" spans="1:23" s="12" customFormat="1">
      <c r="A427" s="46" t="s">
        <v>572</v>
      </c>
      <c r="B427" s="28" t="s">
        <v>1333</v>
      </c>
      <c r="C427" s="28" t="s">
        <v>2330</v>
      </c>
      <c r="D427" s="9" t="s">
        <v>677</v>
      </c>
      <c r="E427" s="28" t="s">
        <v>93</v>
      </c>
      <c r="F427" s="28" t="s">
        <v>370</v>
      </c>
      <c r="G427" s="28" t="s">
        <v>370</v>
      </c>
      <c r="H427" s="28" t="s">
        <v>701</v>
      </c>
      <c r="I427" s="28" t="str">
        <f>VLOOKUP(E427,표준용어사전!$C$2:$D$494, 2, FALSE)</f>
        <v>명V20</v>
      </c>
      <c r="J427" s="28" t="s">
        <v>718</v>
      </c>
      <c r="K427" s="29" t="s">
        <v>986</v>
      </c>
      <c r="L427" s="55" t="s">
        <v>571</v>
      </c>
      <c r="M427" s="29" t="s">
        <v>727</v>
      </c>
      <c r="N427" s="10" t="s">
        <v>75</v>
      </c>
      <c r="O427" s="9"/>
      <c r="P427" s="9" t="s">
        <v>76</v>
      </c>
      <c r="Q427" s="28"/>
      <c r="R427" s="29"/>
      <c r="S427" s="9"/>
      <c r="T427" s="9"/>
      <c r="U427" s="9" t="s">
        <v>75</v>
      </c>
      <c r="V427" s="9" t="s">
        <v>75</v>
      </c>
      <c r="W427" s="9"/>
    </row>
    <row r="428" spans="1:23" s="12" customFormat="1">
      <c r="A428" s="46" t="s">
        <v>572</v>
      </c>
      <c r="B428" s="28" t="s">
        <v>1331</v>
      </c>
      <c r="C428" s="28" t="s">
        <v>2330</v>
      </c>
      <c r="D428" s="9" t="s">
        <v>2610</v>
      </c>
      <c r="E428" s="28" t="s">
        <v>2516</v>
      </c>
      <c r="F428" s="28" t="s">
        <v>564</v>
      </c>
      <c r="G428" s="28" t="s">
        <v>564</v>
      </c>
      <c r="H428" s="28" t="s">
        <v>361</v>
      </c>
      <c r="I428" s="28" t="str">
        <f>VLOOKUP(E428,표준용어사전!$C$2:$D$494, 2, FALSE)</f>
        <v>연월C6</v>
      </c>
      <c r="J428" s="28" t="s">
        <v>709</v>
      </c>
      <c r="K428" s="29">
        <v>6</v>
      </c>
      <c r="L428" s="55" t="s">
        <v>571</v>
      </c>
      <c r="M428" s="29" t="s">
        <v>733</v>
      </c>
      <c r="N428" s="10" t="s">
        <v>973</v>
      </c>
      <c r="O428" s="9" t="s">
        <v>73</v>
      </c>
      <c r="P428" s="9" t="s">
        <v>76</v>
      </c>
      <c r="Q428" s="28"/>
      <c r="R428" s="29"/>
      <c r="S428" s="9"/>
      <c r="T428" s="9"/>
      <c r="U428" s="9" t="s">
        <v>75</v>
      </c>
      <c r="V428" s="9" t="s">
        <v>75</v>
      </c>
      <c r="W428" s="9"/>
    </row>
    <row r="429" spans="1:23" s="12" customFormat="1">
      <c r="A429" s="46" t="s">
        <v>572</v>
      </c>
      <c r="B429" s="28" t="s">
        <v>1331</v>
      </c>
      <c r="C429" s="28" t="s">
        <v>2330</v>
      </c>
      <c r="D429" s="9" t="s">
        <v>2610</v>
      </c>
      <c r="E429" s="28" t="s">
        <v>2517</v>
      </c>
      <c r="F429" s="28" t="s">
        <v>514</v>
      </c>
      <c r="G429" s="28" t="s">
        <v>514</v>
      </c>
      <c r="H429" s="28" t="s">
        <v>361</v>
      </c>
      <c r="I429" s="28" t="str">
        <f>VLOOKUP(E429,표준용어사전!$C$2:$D$494, 2, FALSE)</f>
        <v>코드V50</v>
      </c>
      <c r="J429" s="28" t="s">
        <v>718</v>
      </c>
      <c r="K429" s="29">
        <v>50</v>
      </c>
      <c r="L429" s="55" t="s">
        <v>571</v>
      </c>
      <c r="M429" s="29" t="s">
        <v>720</v>
      </c>
      <c r="N429" s="29" t="s">
        <v>973</v>
      </c>
      <c r="O429" s="9" t="s">
        <v>74</v>
      </c>
      <c r="P429" s="9" t="s">
        <v>76</v>
      </c>
      <c r="Q429" s="28"/>
      <c r="R429" s="29"/>
      <c r="S429" s="9"/>
      <c r="T429" s="9"/>
      <c r="U429" s="9" t="s">
        <v>75</v>
      </c>
      <c r="V429" s="9" t="s">
        <v>75</v>
      </c>
      <c r="W429" s="9"/>
    </row>
    <row r="430" spans="1:23" s="12" customFormat="1">
      <c r="A430" s="46" t="s">
        <v>572</v>
      </c>
      <c r="B430" s="28" t="s">
        <v>1331</v>
      </c>
      <c r="C430" s="28" t="s">
        <v>2330</v>
      </c>
      <c r="D430" s="9" t="s">
        <v>2610</v>
      </c>
      <c r="E430" s="28" t="s">
        <v>2518</v>
      </c>
      <c r="F430" s="28" t="s">
        <v>565</v>
      </c>
      <c r="G430" s="28" t="s">
        <v>565</v>
      </c>
      <c r="H430" s="28" t="s">
        <v>361</v>
      </c>
      <c r="I430" s="28" t="str">
        <f>VLOOKUP(E430,표준용어사전!$C$2:$D$494, 2, FALSE)</f>
        <v>수N10</v>
      </c>
      <c r="J430" s="28" t="s">
        <v>748</v>
      </c>
      <c r="K430" s="29" t="s">
        <v>1061</v>
      </c>
      <c r="L430" s="55" t="s">
        <v>571</v>
      </c>
      <c r="M430" s="29" t="s">
        <v>2592</v>
      </c>
      <c r="N430" s="10" t="s">
        <v>973</v>
      </c>
      <c r="O430" s="9"/>
      <c r="P430" s="9" t="s">
        <v>76</v>
      </c>
      <c r="Q430" s="28"/>
      <c r="R430" s="29"/>
      <c r="S430" s="9"/>
      <c r="T430" s="9"/>
      <c r="U430" s="9" t="s">
        <v>75</v>
      </c>
      <c r="V430" s="9" t="s">
        <v>75</v>
      </c>
      <c r="W430" s="9"/>
    </row>
    <row r="431" spans="1:23" s="12" customFormat="1">
      <c r="A431" s="46" t="s">
        <v>572</v>
      </c>
      <c r="B431" s="28" t="s">
        <v>1331</v>
      </c>
      <c r="C431" s="28" t="s">
        <v>2330</v>
      </c>
      <c r="D431" s="9" t="s">
        <v>2610</v>
      </c>
      <c r="E431" s="28" t="s">
        <v>2519</v>
      </c>
      <c r="F431" s="28" t="s">
        <v>2272</v>
      </c>
      <c r="G431" s="28" t="s">
        <v>2272</v>
      </c>
      <c r="H431" s="28" t="s">
        <v>361</v>
      </c>
      <c r="I431" s="28" t="str">
        <f>VLOOKUP(E431,표준용어사전!$C$2:$D$494, 2, FALSE)</f>
        <v>시분초N10</v>
      </c>
      <c r="J431" s="28" t="s">
        <v>748</v>
      </c>
      <c r="K431" s="29">
        <v>10</v>
      </c>
      <c r="L431" s="55" t="s">
        <v>571</v>
      </c>
      <c r="M431" s="29" t="s">
        <v>2592</v>
      </c>
      <c r="N431" s="10" t="s">
        <v>75</v>
      </c>
      <c r="O431" s="9"/>
      <c r="P431" s="9" t="s">
        <v>76</v>
      </c>
      <c r="Q431" s="28"/>
      <c r="R431" s="29"/>
      <c r="S431" s="9"/>
      <c r="T431" s="9"/>
      <c r="U431" s="9" t="s">
        <v>75</v>
      </c>
      <c r="V431" s="9" t="s">
        <v>75</v>
      </c>
      <c r="W431" s="9"/>
    </row>
    <row r="432" spans="1:23" s="12" customFormat="1">
      <c r="A432" s="46" t="s">
        <v>572</v>
      </c>
      <c r="B432" s="28" t="s">
        <v>1331</v>
      </c>
      <c r="C432" s="28" t="s">
        <v>2330</v>
      </c>
      <c r="D432" s="9" t="s">
        <v>2610</v>
      </c>
      <c r="E432" s="28" t="s">
        <v>2274</v>
      </c>
      <c r="F432" s="28" t="s">
        <v>2273</v>
      </c>
      <c r="G432" s="28" t="s">
        <v>2273</v>
      </c>
      <c r="H432" s="28" t="s">
        <v>361</v>
      </c>
      <c r="I432" s="28" t="str">
        <f>VLOOKUP(E432,표준용어사전!$C$2:$D$494, 2, FALSE)</f>
        <v>코드V50</v>
      </c>
      <c r="J432" s="28" t="s">
        <v>718</v>
      </c>
      <c r="K432" s="29">
        <v>50</v>
      </c>
      <c r="L432" s="55" t="s">
        <v>571</v>
      </c>
      <c r="M432" s="29" t="s">
        <v>720</v>
      </c>
      <c r="N432" s="10" t="s">
        <v>973</v>
      </c>
      <c r="O432" s="9" t="s">
        <v>624</v>
      </c>
      <c r="P432" s="9" t="s">
        <v>76</v>
      </c>
      <c r="Q432" s="28"/>
      <c r="R432" s="29"/>
      <c r="S432" s="9"/>
      <c r="T432" s="9"/>
      <c r="U432" s="9" t="s">
        <v>75</v>
      </c>
      <c r="V432" s="9" t="s">
        <v>75</v>
      </c>
      <c r="W432" s="9"/>
    </row>
    <row r="433" spans="1:23" s="12" customFormat="1">
      <c r="A433" s="46" t="s">
        <v>572</v>
      </c>
      <c r="B433" s="28" t="s">
        <v>1333</v>
      </c>
      <c r="C433" s="28" t="s">
        <v>2330</v>
      </c>
      <c r="D433" s="9" t="s">
        <v>2611</v>
      </c>
      <c r="E433" s="28" t="s">
        <v>2511</v>
      </c>
      <c r="F433" s="28" t="s">
        <v>580</v>
      </c>
      <c r="G433" s="28" t="s">
        <v>580</v>
      </c>
      <c r="H433" s="28" t="s">
        <v>291</v>
      </c>
      <c r="I433" s="28" t="str">
        <f>VLOOKUP(E433,표준용어사전!$C$2:$D$494, 2, FALSE)</f>
        <v>명V20</v>
      </c>
      <c r="J433" s="28" t="s">
        <v>718</v>
      </c>
      <c r="K433" s="29" t="s">
        <v>986</v>
      </c>
      <c r="L433" s="55" t="s">
        <v>571</v>
      </c>
      <c r="M433" s="29" t="s">
        <v>727</v>
      </c>
      <c r="N433" s="10" t="s">
        <v>973</v>
      </c>
      <c r="O433" s="9" t="s">
        <v>73</v>
      </c>
      <c r="P433" s="9" t="s">
        <v>76</v>
      </c>
      <c r="Q433" s="28"/>
      <c r="R433" s="29"/>
      <c r="S433" s="9"/>
      <c r="T433" s="9"/>
      <c r="U433" s="9" t="s">
        <v>75</v>
      </c>
      <c r="V433" s="9" t="s">
        <v>75</v>
      </c>
      <c r="W433" s="9"/>
    </row>
    <row r="434" spans="1:23" s="12" customFormat="1">
      <c r="A434" s="46" t="s">
        <v>572</v>
      </c>
      <c r="B434" s="28" t="s">
        <v>1333</v>
      </c>
      <c r="C434" s="28" t="s">
        <v>2330</v>
      </c>
      <c r="D434" s="28" t="s">
        <v>2611</v>
      </c>
      <c r="E434" s="28" t="s">
        <v>2517</v>
      </c>
      <c r="F434" s="28" t="s">
        <v>514</v>
      </c>
      <c r="G434" s="28" t="s">
        <v>514</v>
      </c>
      <c r="H434" s="28" t="s">
        <v>291</v>
      </c>
      <c r="I434" s="28" t="str">
        <f>VLOOKUP(E434,표준용어사전!$C$2:$D$494, 2, FALSE)</f>
        <v>코드V50</v>
      </c>
      <c r="J434" s="28" t="s">
        <v>718</v>
      </c>
      <c r="K434" s="29">
        <v>50</v>
      </c>
      <c r="L434" s="55" t="s">
        <v>571</v>
      </c>
      <c r="M434" s="29" t="s">
        <v>720</v>
      </c>
      <c r="N434" s="10" t="s">
        <v>973</v>
      </c>
      <c r="O434" s="28"/>
      <c r="P434" s="28" t="s">
        <v>76</v>
      </c>
      <c r="Q434" s="28"/>
      <c r="R434" s="29"/>
      <c r="S434" s="28"/>
      <c r="T434" s="28"/>
      <c r="U434" s="28" t="s">
        <v>75</v>
      </c>
      <c r="V434" s="28" t="s">
        <v>75</v>
      </c>
      <c r="W434" s="28"/>
    </row>
    <row r="435" spans="1:23" s="12" customFormat="1">
      <c r="A435" s="46" t="s">
        <v>572</v>
      </c>
      <c r="B435" s="28" t="s">
        <v>1333</v>
      </c>
      <c r="C435" s="28" t="s">
        <v>2330</v>
      </c>
      <c r="D435" s="9" t="s">
        <v>2611</v>
      </c>
      <c r="E435" s="28" t="s">
        <v>2520</v>
      </c>
      <c r="F435" s="28" t="s">
        <v>595</v>
      </c>
      <c r="G435" s="28" t="s">
        <v>595</v>
      </c>
      <c r="H435" s="28" t="s">
        <v>291</v>
      </c>
      <c r="I435" s="28" t="str">
        <f>VLOOKUP(E435,표준용어사전!$C$2:$D$494, 2, FALSE)</f>
        <v>코드V50</v>
      </c>
      <c r="J435" s="28" t="s">
        <v>718</v>
      </c>
      <c r="K435" s="29">
        <v>50</v>
      </c>
      <c r="L435" s="55" t="s">
        <v>571</v>
      </c>
      <c r="M435" s="29" t="s">
        <v>720</v>
      </c>
      <c r="N435" s="10" t="s">
        <v>75</v>
      </c>
      <c r="O435" s="9"/>
      <c r="P435" s="9" t="s">
        <v>76</v>
      </c>
      <c r="Q435" s="28"/>
      <c r="R435" s="29"/>
      <c r="S435" s="9"/>
      <c r="T435" s="9"/>
      <c r="U435" s="9" t="s">
        <v>75</v>
      </c>
      <c r="V435" s="9" t="s">
        <v>75</v>
      </c>
      <c r="W435" s="9"/>
    </row>
    <row r="436" spans="1:23" s="12" customFormat="1">
      <c r="A436" s="46" t="s">
        <v>572</v>
      </c>
      <c r="B436" s="28" t="s">
        <v>1333</v>
      </c>
      <c r="C436" s="28" t="s">
        <v>2330</v>
      </c>
      <c r="D436" s="9" t="s">
        <v>2611</v>
      </c>
      <c r="E436" s="28" t="s">
        <v>2521</v>
      </c>
      <c r="F436" s="28" t="s">
        <v>515</v>
      </c>
      <c r="G436" s="28" t="s">
        <v>515</v>
      </c>
      <c r="H436" s="28" t="s">
        <v>291</v>
      </c>
      <c r="I436" s="28" t="str">
        <f>VLOOKUP(E436,표준용어사전!$C$2:$D$494, 2, FALSE)</f>
        <v>명V200</v>
      </c>
      <c r="J436" s="28" t="s">
        <v>718</v>
      </c>
      <c r="K436" s="29" t="s">
        <v>984</v>
      </c>
      <c r="L436" s="55" t="s">
        <v>571</v>
      </c>
      <c r="M436" s="29" t="s">
        <v>715</v>
      </c>
      <c r="N436" s="10" t="s">
        <v>75</v>
      </c>
      <c r="O436" s="9"/>
      <c r="P436" s="9" t="s">
        <v>76</v>
      </c>
      <c r="Q436" s="28"/>
      <c r="R436" s="29"/>
      <c r="S436" s="9"/>
      <c r="T436" s="9"/>
      <c r="U436" s="9" t="s">
        <v>75</v>
      </c>
      <c r="V436" s="9" t="s">
        <v>75</v>
      </c>
      <c r="W436" s="9"/>
    </row>
    <row r="437" spans="1:23" s="12" customFormat="1">
      <c r="A437" s="46" t="s">
        <v>572</v>
      </c>
      <c r="B437" s="28" t="s">
        <v>1333</v>
      </c>
      <c r="C437" s="28" t="s">
        <v>2330</v>
      </c>
      <c r="D437" s="9" t="s">
        <v>2611</v>
      </c>
      <c r="E437" s="28" t="s">
        <v>2522</v>
      </c>
      <c r="F437" s="28" t="s">
        <v>516</v>
      </c>
      <c r="G437" s="28" t="s">
        <v>516</v>
      </c>
      <c r="H437" s="28" t="s">
        <v>291</v>
      </c>
      <c r="I437" s="28" t="str">
        <f>VLOOKUP(E437,표준용어사전!$C$2:$D$494, 2, FALSE)</f>
        <v>명V200</v>
      </c>
      <c r="J437" s="28" t="s">
        <v>718</v>
      </c>
      <c r="K437" s="29" t="s">
        <v>984</v>
      </c>
      <c r="L437" s="55" t="s">
        <v>571</v>
      </c>
      <c r="M437" s="29" t="s">
        <v>715</v>
      </c>
      <c r="N437" s="10" t="s">
        <v>75</v>
      </c>
      <c r="O437" s="9"/>
      <c r="P437" s="9" t="s">
        <v>76</v>
      </c>
      <c r="Q437" s="28"/>
      <c r="R437" s="29"/>
      <c r="S437" s="9"/>
      <c r="T437" s="9"/>
      <c r="U437" s="9" t="s">
        <v>75</v>
      </c>
      <c r="V437" s="9" t="s">
        <v>75</v>
      </c>
      <c r="W437" s="9"/>
    </row>
    <row r="438" spans="1:23" s="12" customFormat="1">
      <c r="A438" s="46" t="s">
        <v>572</v>
      </c>
      <c r="B438" s="28" t="s">
        <v>1333</v>
      </c>
      <c r="C438" s="28" t="s">
        <v>2330</v>
      </c>
      <c r="D438" s="9" t="s">
        <v>2611</v>
      </c>
      <c r="E438" s="28" t="s">
        <v>90</v>
      </c>
      <c r="F438" s="28" t="s">
        <v>14</v>
      </c>
      <c r="G438" s="28" t="s">
        <v>14</v>
      </c>
      <c r="H438" s="28" t="s">
        <v>291</v>
      </c>
      <c r="I438" s="28" t="str">
        <f>VLOOKUP(E438,표준용어사전!$C$2:$D$494, 2, FALSE)</f>
        <v>연월일시분초TS</v>
      </c>
      <c r="J438" s="28" t="s">
        <v>719</v>
      </c>
      <c r="K438" s="29" t="s">
        <v>571</v>
      </c>
      <c r="L438" s="55" t="s">
        <v>571</v>
      </c>
      <c r="M438" s="29" t="s">
        <v>726</v>
      </c>
      <c r="N438" s="29" t="s">
        <v>973</v>
      </c>
      <c r="O438" s="9"/>
      <c r="P438" s="9" t="s">
        <v>76</v>
      </c>
      <c r="Q438" s="28"/>
      <c r="R438" s="29"/>
      <c r="S438" s="9"/>
      <c r="T438" s="9"/>
      <c r="U438" s="9" t="s">
        <v>75</v>
      </c>
      <c r="V438" s="9" t="s">
        <v>75</v>
      </c>
      <c r="W438" s="9"/>
    </row>
    <row r="439" spans="1:23" s="12" customFormat="1">
      <c r="A439" s="46" t="s">
        <v>572</v>
      </c>
      <c r="B439" s="28" t="s">
        <v>1333</v>
      </c>
      <c r="C439" s="28" t="s">
        <v>2330</v>
      </c>
      <c r="D439" s="9" t="s">
        <v>2611</v>
      </c>
      <c r="E439" s="28" t="s">
        <v>91</v>
      </c>
      <c r="F439" s="28" t="s">
        <v>369</v>
      </c>
      <c r="G439" s="28" t="s">
        <v>369</v>
      </c>
      <c r="H439" s="28" t="s">
        <v>291</v>
      </c>
      <c r="I439" s="28" t="str">
        <f>VLOOKUP(E439,표준용어사전!$C$2:$D$494, 2, FALSE)</f>
        <v>명V20</v>
      </c>
      <c r="J439" s="28" t="s">
        <v>718</v>
      </c>
      <c r="K439" s="29" t="s">
        <v>986</v>
      </c>
      <c r="L439" s="55" t="s">
        <v>571</v>
      </c>
      <c r="M439" s="29" t="s">
        <v>727</v>
      </c>
      <c r="N439" s="10" t="s">
        <v>75</v>
      </c>
      <c r="O439" s="9"/>
      <c r="P439" s="9" t="s">
        <v>76</v>
      </c>
      <c r="Q439" s="28"/>
      <c r="R439" s="29"/>
      <c r="S439" s="9"/>
      <c r="T439" s="9"/>
      <c r="U439" s="9" t="s">
        <v>75</v>
      </c>
      <c r="V439" s="9" t="s">
        <v>75</v>
      </c>
      <c r="W439" s="9"/>
    </row>
    <row r="440" spans="1:23" s="12" customFormat="1">
      <c r="A440" s="46" t="s">
        <v>572</v>
      </c>
      <c r="B440" s="28" t="s">
        <v>1333</v>
      </c>
      <c r="C440" s="28" t="s">
        <v>2330</v>
      </c>
      <c r="D440" s="9" t="s">
        <v>2611</v>
      </c>
      <c r="E440" s="28" t="s">
        <v>92</v>
      </c>
      <c r="F440" s="28" t="s">
        <v>15</v>
      </c>
      <c r="G440" s="28" t="s">
        <v>15</v>
      </c>
      <c r="H440" s="28" t="s">
        <v>291</v>
      </c>
      <c r="I440" s="28" t="str">
        <f>VLOOKUP(E440,표준용어사전!$C$2:$D$494, 2, FALSE)</f>
        <v>연월일시분초TS</v>
      </c>
      <c r="J440" s="28" t="s">
        <v>719</v>
      </c>
      <c r="K440" s="29" t="s">
        <v>571</v>
      </c>
      <c r="L440" s="55" t="s">
        <v>571</v>
      </c>
      <c r="M440" s="29" t="s">
        <v>726</v>
      </c>
      <c r="N440" s="10" t="s">
        <v>75</v>
      </c>
      <c r="O440" s="9"/>
      <c r="P440" s="9" t="s">
        <v>76</v>
      </c>
      <c r="Q440" s="28"/>
      <c r="R440" s="29"/>
      <c r="S440" s="9"/>
      <c r="T440" s="9"/>
      <c r="U440" s="9" t="s">
        <v>75</v>
      </c>
      <c r="V440" s="9" t="s">
        <v>75</v>
      </c>
      <c r="W440" s="9"/>
    </row>
    <row r="441" spans="1:23" s="12" customFormat="1">
      <c r="A441" s="46" t="s">
        <v>572</v>
      </c>
      <c r="B441" s="28" t="s">
        <v>1333</v>
      </c>
      <c r="C441" s="28" t="s">
        <v>2330</v>
      </c>
      <c r="D441" s="9" t="s">
        <v>2611</v>
      </c>
      <c r="E441" s="28" t="s">
        <v>93</v>
      </c>
      <c r="F441" s="28" t="s">
        <v>370</v>
      </c>
      <c r="G441" s="28" t="s">
        <v>370</v>
      </c>
      <c r="H441" s="28" t="s">
        <v>291</v>
      </c>
      <c r="I441" s="28" t="str">
        <f>VLOOKUP(E441,표준용어사전!$C$2:$D$494, 2, FALSE)</f>
        <v>명V20</v>
      </c>
      <c r="J441" s="28" t="s">
        <v>718</v>
      </c>
      <c r="K441" s="29" t="s">
        <v>986</v>
      </c>
      <c r="L441" s="55" t="s">
        <v>571</v>
      </c>
      <c r="M441" s="29" t="s">
        <v>727</v>
      </c>
      <c r="N441" s="10" t="s">
        <v>75</v>
      </c>
      <c r="O441" s="9"/>
      <c r="P441" s="9" t="s">
        <v>76</v>
      </c>
      <c r="Q441" s="28"/>
      <c r="R441" s="29"/>
      <c r="S441" s="9"/>
      <c r="T441" s="9"/>
      <c r="U441" s="9" t="s">
        <v>75</v>
      </c>
      <c r="V441" s="9" t="s">
        <v>75</v>
      </c>
      <c r="W441" s="9"/>
    </row>
    <row r="442" spans="1:23" s="12" customFormat="1">
      <c r="A442" s="46" t="s">
        <v>572</v>
      </c>
      <c r="B442" s="28" t="s">
        <v>2579</v>
      </c>
      <c r="C442" s="28" t="s">
        <v>2330</v>
      </c>
      <c r="D442" s="9" t="s">
        <v>2444</v>
      </c>
      <c r="E442" s="28" t="s">
        <v>2236</v>
      </c>
      <c r="F442" s="28" t="s">
        <v>1721</v>
      </c>
      <c r="G442" s="28" t="s">
        <v>1721</v>
      </c>
      <c r="H442" s="28" t="s">
        <v>2351</v>
      </c>
      <c r="I442" s="28" t="str">
        <f>VLOOKUP(E442,표준용어사전!$C$2:$D$494, 2, FALSE)</f>
        <v>명V20</v>
      </c>
      <c r="J442" s="28" t="s">
        <v>718</v>
      </c>
      <c r="K442" s="29" t="s">
        <v>986</v>
      </c>
      <c r="L442" s="55" t="s">
        <v>571</v>
      </c>
      <c r="M442" s="29" t="s">
        <v>727</v>
      </c>
      <c r="N442" s="10" t="s">
        <v>973</v>
      </c>
      <c r="O442" s="9" t="s">
        <v>73</v>
      </c>
      <c r="P442" s="9" t="s">
        <v>2734</v>
      </c>
      <c r="Q442" s="28"/>
      <c r="R442" s="29"/>
      <c r="S442" s="9"/>
      <c r="T442" s="9"/>
      <c r="U442" s="9" t="s">
        <v>75</v>
      </c>
      <c r="V442" s="9" t="s">
        <v>75</v>
      </c>
      <c r="W442" s="9"/>
    </row>
    <row r="443" spans="1:23" s="12" customFormat="1">
      <c r="A443" s="46" t="s">
        <v>572</v>
      </c>
      <c r="B443" s="28" t="s">
        <v>2579</v>
      </c>
      <c r="C443" s="28" t="s">
        <v>2330</v>
      </c>
      <c r="D443" s="9" t="s">
        <v>2444</v>
      </c>
      <c r="E443" s="28" t="s">
        <v>1819</v>
      </c>
      <c r="F443" s="28" t="s">
        <v>2271</v>
      </c>
      <c r="G443" s="28" t="s">
        <v>2271</v>
      </c>
      <c r="H443" s="28" t="s">
        <v>2351</v>
      </c>
      <c r="I443" s="28" t="str">
        <f>VLOOKUP(E443,표준용어사전!$C$2:$D$494, 2, FALSE)</f>
        <v>내용TXT</v>
      </c>
      <c r="J443" s="28" t="s">
        <v>713</v>
      </c>
      <c r="K443" s="29" t="s">
        <v>571</v>
      </c>
      <c r="L443" s="55" t="s">
        <v>571</v>
      </c>
      <c r="M443" s="29" t="s">
        <v>2590</v>
      </c>
      <c r="N443" s="10" t="s">
        <v>973</v>
      </c>
      <c r="O443" s="9"/>
      <c r="P443" s="9" t="s">
        <v>76</v>
      </c>
      <c r="Q443" s="28"/>
      <c r="R443" s="29"/>
      <c r="S443" s="9"/>
      <c r="T443" s="9"/>
      <c r="U443" s="9" t="s">
        <v>75</v>
      </c>
      <c r="V443" s="9" t="s">
        <v>75</v>
      </c>
      <c r="W443" s="9"/>
    </row>
    <row r="444" spans="1:23" s="12" customFormat="1">
      <c r="A444" s="46" t="s">
        <v>572</v>
      </c>
      <c r="B444" s="28" t="s">
        <v>2579</v>
      </c>
      <c r="C444" s="28" t="s">
        <v>2330</v>
      </c>
      <c r="D444" s="9" t="s">
        <v>2444</v>
      </c>
      <c r="E444" s="28" t="s">
        <v>1221</v>
      </c>
      <c r="F444" s="28" t="s">
        <v>1707</v>
      </c>
      <c r="G444" s="28" t="s">
        <v>1707</v>
      </c>
      <c r="H444" s="28" t="s">
        <v>2351</v>
      </c>
      <c r="I444" s="28" t="str">
        <f>VLOOKUP(E444,표준용어사전!$C$2:$D$494, 2, FALSE)</f>
        <v>명V20</v>
      </c>
      <c r="J444" s="28" t="s">
        <v>718</v>
      </c>
      <c r="K444" s="29" t="s">
        <v>986</v>
      </c>
      <c r="L444" s="55" t="s">
        <v>571</v>
      </c>
      <c r="M444" s="29" t="s">
        <v>727</v>
      </c>
      <c r="N444" s="10" t="s">
        <v>973</v>
      </c>
      <c r="O444" s="9"/>
      <c r="P444" s="9" t="s">
        <v>76</v>
      </c>
      <c r="Q444" s="28"/>
      <c r="R444" s="29"/>
      <c r="S444" s="9"/>
      <c r="T444" s="9"/>
      <c r="U444" s="9" t="s">
        <v>75</v>
      </c>
      <c r="V444" s="9" t="s">
        <v>75</v>
      </c>
      <c r="W444" s="9"/>
    </row>
    <row r="445" spans="1:23" s="12" customFormat="1">
      <c r="A445" s="46" t="s">
        <v>572</v>
      </c>
      <c r="B445" s="28" t="s">
        <v>2579</v>
      </c>
      <c r="C445" s="28" t="s">
        <v>2330</v>
      </c>
      <c r="D445" s="9" t="s">
        <v>2444</v>
      </c>
      <c r="E445" s="28" t="s">
        <v>90</v>
      </c>
      <c r="F445" s="28" t="s">
        <v>14</v>
      </c>
      <c r="G445" s="28" t="s">
        <v>14</v>
      </c>
      <c r="H445" s="28" t="s">
        <v>2351</v>
      </c>
      <c r="I445" s="28" t="str">
        <f>VLOOKUP(E445,표준용어사전!$C$2:$D$494, 2, FALSE)</f>
        <v>연월일시분초TS</v>
      </c>
      <c r="J445" s="28" t="s">
        <v>719</v>
      </c>
      <c r="K445" s="29" t="s">
        <v>571</v>
      </c>
      <c r="L445" s="55" t="s">
        <v>571</v>
      </c>
      <c r="M445" s="29" t="s">
        <v>726</v>
      </c>
      <c r="N445" s="10" t="s">
        <v>973</v>
      </c>
      <c r="O445" s="9"/>
      <c r="P445" s="9" t="s">
        <v>76</v>
      </c>
      <c r="Q445" s="28"/>
      <c r="R445" s="29"/>
      <c r="S445" s="9"/>
      <c r="T445" s="9"/>
      <c r="U445" s="9" t="s">
        <v>75</v>
      </c>
      <c r="V445" s="9" t="s">
        <v>75</v>
      </c>
      <c r="W445" s="9"/>
    </row>
    <row r="446" spans="1:23" s="12" customFormat="1">
      <c r="A446" s="46" t="s">
        <v>572</v>
      </c>
      <c r="B446" s="28" t="s">
        <v>1333</v>
      </c>
      <c r="C446" s="28" t="s">
        <v>2330</v>
      </c>
      <c r="D446" s="9" t="s">
        <v>2445</v>
      </c>
      <c r="E446" s="28" t="s">
        <v>893</v>
      </c>
      <c r="F446" s="28" t="s">
        <v>819</v>
      </c>
      <c r="G446" s="28" t="s">
        <v>819</v>
      </c>
      <c r="H446" s="28" t="s">
        <v>820</v>
      </c>
      <c r="I446" s="28" t="str">
        <f>VLOOKUP(E446,표준용어사전!$C$2:$D$494, 2, FALSE)</f>
        <v>코드V50</v>
      </c>
      <c r="J446" s="28" t="s">
        <v>718</v>
      </c>
      <c r="K446" s="29">
        <v>50</v>
      </c>
      <c r="L446" s="55" t="s">
        <v>571</v>
      </c>
      <c r="M446" s="29" t="s">
        <v>720</v>
      </c>
      <c r="N446" s="29" t="s">
        <v>973</v>
      </c>
      <c r="O446" s="9" t="s">
        <v>73</v>
      </c>
      <c r="P446" s="9" t="s">
        <v>76</v>
      </c>
      <c r="Q446" s="28"/>
      <c r="R446" s="29"/>
      <c r="S446" s="9"/>
      <c r="T446" s="9"/>
      <c r="U446" s="9" t="s">
        <v>75</v>
      </c>
      <c r="V446" s="9" t="s">
        <v>75</v>
      </c>
      <c r="W446" s="9"/>
    </row>
    <row r="447" spans="1:23" s="12" customFormat="1">
      <c r="A447" s="46" t="s">
        <v>572</v>
      </c>
      <c r="B447" s="28" t="s">
        <v>1333</v>
      </c>
      <c r="C447" s="28" t="s">
        <v>2330</v>
      </c>
      <c r="D447" s="9" t="s">
        <v>2445</v>
      </c>
      <c r="E447" s="28" t="s">
        <v>2517</v>
      </c>
      <c r="F447" s="28" t="s">
        <v>514</v>
      </c>
      <c r="G447" s="28" t="s">
        <v>514</v>
      </c>
      <c r="H447" s="28" t="s">
        <v>820</v>
      </c>
      <c r="I447" s="28" t="str">
        <f>VLOOKUP(E447,표준용어사전!$C$2:$D$494, 2, FALSE)</f>
        <v>코드V50</v>
      </c>
      <c r="J447" s="28" t="s">
        <v>718</v>
      </c>
      <c r="K447" s="29">
        <v>50</v>
      </c>
      <c r="L447" s="55" t="s">
        <v>571</v>
      </c>
      <c r="M447" s="29" t="s">
        <v>720</v>
      </c>
      <c r="N447" s="10" t="s">
        <v>973</v>
      </c>
      <c r="O447" s="9" t="s">
        <v>74</v>
      </c>
      <c r="P447" s="9" t="s">
        <v>76</v>
      </c>
      <c r="Q447" s="28"/>
      <c r="R447" s="29"/>
      <c r="S447" s="9"/>
      <c r="T447" s="9"/>
      <c r="U447" s="9" t="s">
        <v>75</v>
      </c>
      <c r="V447" s="9" t="s">
        <v>75</v>
      </c>
      <c r="W447" s="9"/>
    </row>
    <row r="448" spans="1:23" s="12" customFormat="1">
      <c r="A448" s="46" t="s">
        <v>572</v>
      </c>
      <c r="B448" s="28" t="s">
        <v>1333</v>
      </c>
      <c r="C448" s="28" t="s">
        <v>2330</v>
      </c>
      <c r="D448" s="9" t="s">
        <v>2445</v>
      </c>
      <c r="E448" s="28" t="s">
        <v>894</v>
      </c>
      <c r="F448" s="28" t="s">
        <v>1544</v>
      </c>
      <c r="G448" s="28" t="s">
        <v>1544</v>
      </c>
      <c r="H448" s="28" t="s">
        <v>820</v>
      </c>
      <c r="I448" s="28" t="str">
        <f>VLOOKUP(E448,표준용어사전!$C$2:$D$494, 2, FALSE)</f>
        <v>내용V1000</v>
      </c>
      <c r="J448" s="28" t="s">
        <v>718</v>
      </c>
      <c r="K448" s="29">
        <v>1000</v>
      </c>
      <c r="L448" s="55" t="s">
        <v>571</v>
      </c>
      <c r="M448" s="29" t="s">
        <v>2594</v>
      </c>
      <c r="N448" s="10" t="s">
        <v>75</v>
      </c>
      <c r="O448" s="9"/>
      <c r="P448" s="9" t="s">
        <v>76</v>
      </c>
      <c r="Q448" s="28"/>
      <c r="R448" s="29"/>
      <c r="S448" s="9"/>
      <c r="T448" s="9"/>
      <c r="U448" s="9" t="s">
        <v>75</v>
      </c>
      <c r="V448" s="9" t="s">
        <v>75</v>
      </c>
      <c r="W448" s="9"/>
    </row>
    <row r="449" spans="1:23" s="12" customFormat="1">
      <c r="A449" s="46" t="s">
        <v>711</v>
      </c>
      <c r="B449" s="28" t="s">
        <v>1333</v>
      </c>
      <c r="C449" s="28" t="s">
        <v>2330</v>
      </c>
      <c r="D449" s="9" t="s">
        <v>2612</v>
      </c>
      <c r="E449" s="28" t="s">
        <v>2523</v>
      </c>
      <c r="F449" s="28" t="s">
        <v>2297</v>
      </c>
      <c r="G449" s="28" t="s">
        <v>2297</v>
      </c>
      <c r="H449" s="28" t="s">
        <v>2352</v>
      </c>
      <c r="I449" s="28" t="str">
        <f>VLOOKUP(E449,표준용어사전!$C$2:$D$494, 2, FALSE)</f>
        <v>번호I</v>
      </c>
      <c r="J449" s="28" t="s">
        <v>717</v>
      </c>
      <c r="K449" s="29" t="s">
        <v>571</v>
      </c>
      <c r="L449" s="55" t="s">
        <v>571</v>
      </c>
      <c r="M449" s="29" t="s">
        <v>2591</v>
      </c>
      <c r="N449" s="10" t="s">
        <v>973</v>
      </c>
      <c r="O449" s="9" t="s">
        <v>73</v>
      </c>
      <c r="P449" s="9" t="s">
        <v>76</v>
      </c>
      <c r="Q449" s="28"/>
      <c r="R449" s="29"/>
      <c r="S449" s="9"/>
      <c r="T449" s="9"/>
      <c r="U449" s="9" t="s">
        <v>75</v>
      </c>
      <c r="V449" s="9" t="s">
        <v>75</v>
      </c>
      <c r="W449" s="9"/>
    </row>
    <row r="450" spans="1:23" s="12" customFormat="1">
      <c r="A450" s="46" t="s">
        <v>711</v>
      </c>
      <c r="B450" s="28" t="s">
        <v>1333</v>
      </c>
      <c r="C450" s="28" t="s">
        <v>2330</v>
      </c>
      <c r="D450" s="9" t="s">
        <v>2612</v>
      </c>
      <c r="E450" s="28" t="s">
        <v>246</v>
      </c>
      <c r="F450" s="28" t="s">
        <v>17</v>
      </c>
      <c r="G450" s="28" t="s">
        <v>17</v>
      </c>
      <c r="H450" s="28" t="s">
        <v>2352</v>
      </c>
      <c r="I450" s="28" t="str">
        <f>VLOOKUP(E450,표준용어사전!$C$2:$D$494, 2, FALSE)</f>
        <v>명V20</v>
      </c>
      <c r="J450" s="28" t="s">
        <v>718</v>
      </c>
      <c r="K450" s="29" t="s">
        <v>986</v>
      </c>
      <c r="L450" s="55" t="s">
        <v>571</v>
      </c>
      <c r="M450" s="29" t="s">
        <v>727</v>
      </c>
      <c r="N450" s="10" t="s">
        <v>973</v>
      </c>
      <c r="O450" s="9"/>
      <c r="P450" s="9" t="s">
        <v>76</v>
      </c>
      <c r="Q450" s="28"/>
      <c r="R450" s="29"/>
      <c r="S450" s="9"/>
      <c r="T450" s="9"/>
      <c r="U450" s="9" t="s">
        <v>75</v>
      </c>
      <c r="V450" s="9" t="s">
        <v>75</v>
      </c>
      <c r="W450" s="9"/>
    </row>
    <row r="451" spans="1:23" s="12" customFormat="1">
      <c r="A451" s="46" t="s">
        <v>711</v>
      </c>
      <c r="B451" s="28" t="s">
        <v>1333</v>
      </c>
      <c r="C451" s="28" t="s">
        <v>2330</v>
      </c>
      <c r="D451" s="9" t="s">
        <v>2612</v>
      </c>
      <c r="E451" s="28" t="s">
        <v>2295</v>
      </c>
      <c r="F451" s="28" t="s">
        <v>2294</v>
      </c>
      <c r="G451" s="28" t="s">
        <v>2294</v>
      </c>
      <c r="H451" s="28" t="s">
        <v>2352</v>
      </c>
      <c r="I451" s="28" t="str">
        <f>VLOOKUP(E451,표준용어사전!$C$2:$D$494, 2, FALSE)</f>
        <v>명V50</v>
      </c>
      <c r="J451" s="28" t="s">
        <v>718</v>
      </c>
      <c r="K451" s="29">
        <v>50</v>
      </c>
      <c r="L451" s="55" t="s">
        <v>571</v>
      </c>
      <c r="M451" s="29" t="s">
        <v>720</v>
      </c>
      <c r="N451" s="10" t="s">
        <v>973</v>
      </c>
      <c r="O451" s="9"/>
      <c r="P451" s="9" t="s">
        <v>76</v>
      </c>
      <c r="Q451" s="28"/>
      <c r="R451" s="29"/>
      <c r="S451" s="9"/>
      <c r="T451" s="9"/>
      <c r="U451" s="9" t="s">
        <v>75</v>
      </c>
      <c r="V451" s="9" t="s">
        <v>75</v>
      </c>
      <c r="W451" s="9"/>
    </row>
    <row r="452" spans="1:23" s="12" customFormat="1">
      <c r="A452" s="46" t="s">
        <v>711</v>
      </c>
      <c r="B452" s="28" t="s">
        <v>1333</v>
      </c>
      <c r="C452" s="28" t="s">
        <v>2330</v>
      </c>
      <c r="D452" s="9" t="s">
        <v>2612</v>
      </c>
      <c r="E452" s="28" t="s">
        <v>268</v>
      </c>
      <c r="F452" s="28" t="s">
        <v>500</v>
      </c>
      <c r="G452" s="28" t="s">
        <v>500</v>
      </c>
      <c r="H452" s="28" t="s">
        <v>2352</v>
      </c>
      <c r="I452" s="28" t="str">
        <f>VLOOKUP(E452,표준용어사전!$C$2:$D$494, 2, FALSE)</f>
        <v>코드C1</v>
      </c>
      <c r="J452" s="28" t="s">
        <v>709</v>
      </c>
      <c r="K452" s="29">
        <v>1</v>
      </c>
      <c r="L452" s="55" t="s">
        <v>571</v>
      </c>
      <c r="M452" s="29" t="s">
        <v>722</v>
      </c>
      <c r="N452" s="10" t="s">
        <v>75</v>
      </c>
      <c r="O452" s="9"/>
      <c r="P452" s="9" t="s">
        <v>76</v>
      </c>
      <c r="Q452" s="28"/>
      <c r="R452" s="29"/>
      <c r="S452" s="9"/>
      <c r="T452" s="9"/>
      <c r="U452" s="9" t="s">
        <v>75</v>
      </c>
      <c r="V452" s="9" t="s">
        <v>75</v>
      </c>
      <c r="W452" s="9"/>
    </row>
    <row r="453" spans="1:23" s="12" customFormat="1">
      <c r="A453" s="46" t="s">
        <v>711</v>
      </c>
      <c r="B453" s="28" t="s">
        <v>1333</v>
      </c>
      <c r="C453" s="28" t="s">
        <v>2330</v>
      </c>
      <c r="D453" s="9" t="s">
        <v>2612</v>
      </c>
      <c r="E453" s="28" t="s">
        <v>252</v>
      </c>
      <c r="F453" s="28" t="s">
        <v>77</v>
      </c>
      <c r="G453" s="28" t="s">
        <v>77</v>
      </c>
      <c r="H453" s="28" t="s">
        <v>2352</v>
      </c>
      <c r="I453" s="28" t="str">
        <f>VLOOKUP(E453,표준용어사전!$C$2:$D$494, 2, FALSE)</f>
        <v>내용TXT</v>
      </c>
      <c r="J453" s="28" t="s">
        <v>713</v>
      </c>
      <c r="K453" s="29" t="s">
        <v>571</v>
      </c>
      <c r="L453" s="55" t="s">
        <v>571</v>
      </c>
      <c r="M453" s="29" t="s">
        <v>2590</v>
      </c>
      <c r="N453" s="10" t="s">
        <v>75</v>
      </c>
      <c r="O453" s="9"/>
      <c r="P453" s="9" t="s">
        <v>76</v>
      </c>
      <c r="Q453" s="28"/>
      <c r="R453" s="29"/>
      <c r="S453" s="9"/>
      <c r="T453" s="9"/>
      <c r="U453" s="9" t="s">
        <v>75</v>
      </c>
      <c r="V453" s="9" t="s">
        <v>75</v>
      </c>
      <c r="W453" s="9"/>
    </row>
    <row r="454" spans="1:23" s="12" customFormat="1">
      <c r="A454" s="46" t="s">
        <v>711</v>
      </c>
      <c r="B454" s="28" t="s">
        <v>1333</v>
      </c>
      <c r="C454" s="28" t="s">
        <v>2330</v>
      </c>
      <c r="D454" s="9" t="s">
        <v>2612</v>
      </c>
      <c r="E454" s="28" t="s">
        <v>90</v>
      </c>
      <c r="F454" s="28" t="s">
        <v>14</v>
      </c>
      <c r="G454" s="28" t="s">
        <v>14</v>
      </c>
      <c r="H454" s="28" t="s">
        <v>2352</v>
      </c>
      <c r="I454" s="28" t="str">
        <f>VLOOKUP(E454,표준용어사전!$C$2:$D$494, 2, FALSE)</f>
        <v>연월일시분초TS</v>
      </c>
      <c r="J454" s="28" t="s">
        <v>719</v>
      </c>
      <c r="K454" s="29" t="s">
        <v>571</v>
      </c>
      <c r="L454" s="55" t="s">
        <v>571</v>
      </c>
      <c r="M454" s="29" t="s">
        <v>726</v>
      </c>
      <c r="N454" s="10" t="s">
        <v>973</v>
      </c>
      <c r="O454" s="9"/>
      <c r="P454" s="9" t="s">
        <v>76</v>
      </c>
      <c r="Q454" s="28"/>
      <c r="R454" s="29"/>
      <c r="S454" s="9"/>
      <c r="T454" s="9"/>
      <c r="U454" s="9" t="s">
        <v>75</v>
      </c>
      <c r="V454" s="9" t="s">
        <v>75</v>
      </c>
      <c r="W454" s="9"/>
    </row>
    <row r="455" spans="1:23" s="12" customFormat="1">
      <c r="A455" s="46" t="s">
        <v>711</v>
      </c>
      <c r="B455" s="28" t="s">
        <v>1333</v>
      </c>
      <c r="C455" s="28" t="s">
        <v>2330</v>
      </c>
      <c r="D455" s="9" t="s">
        <v>2612</v>
      </c>
      <c r="E455" s="28" t="s">
        <v>91</v>
      </c>
      <c r="F455" s="28" t="s">
        <v>369</v>
      </c>
      <c r="G455" s="28" t="s">
        <v>369</v>
      </c>
      <c r="H455" s="28" t="s">
        <v>2352</v>
      </c>
      <c r="I455" s="28" t="str">
        <f>VLOOKUP(E455,표준용어사전!$C$2:$D$494, 2, FALSE)</f>
        <v>명V20</v>
      </c>
      <c r="J455" s="28" t="s">
        <v>718</v>
      </c>
      <c r="K455" s="29" t="s">
        <v>986</v>
      </c>
      <c r="L455" s="55" t="s">
        <v>571</v>
      </c>
      <c r="M455" s="29" t="s">
        <v>727</v>
      </c>
      <c r="N455" s="10" t="s">
        <v>75</v>
      </c>
      <c r="O455" s="9"/>
      <c r="P455" s="9" t="s">
        <v>76</v>
      </c>
      <c r="Q455" s="28"/>
      <c r="R455" s="29"/>
      <c r="S455" s="9"/>
      <c r="T455" s="9"/>
      <c r="U455" s="9" t="s">
        <v>75</v>
      </c>
      <c r="V455" s="9" t="s">
        <v>75</v>
      </c>
      <c r="W455" s="9"/>
    </row>
    <row r="456" spans="1:23" s="12" customFormat="1">
      <c r="A456" s="46" t="s">
        <v>711</v>
      </c>
      <c r="B456" s="28" t="s">
        <v>1333</v>
      </c>
      <c r="C456" s="28" t="s">
        <v>2330</v>
      </c>
      <c r="D456" s="9" t="s">
        <v>2612</v>
      </c>
      <c r="E456" s="28" t="s">
        <v>92</v>
      </c>
      <c r="F456" s="28" t="s">
        <v>15</v>
      </c>
      <c r="G456" s="28" t="s">
        <v>15</v>
      </c>
      <c r="H456" s="28" t="s">
        <v>2352</v>
      </c>
      <c r="I456" s="28" t="str">
        <f>VLOOKUP(E456,표준용어사전!$C$2:$D$494, 2, FALSE)</f>
        <v>연월일시분초TS</v>
      </c>
      <c r="J456" s="28" t="s">
        <v>719</v>
      </c>
      <c r="K456" s="29" t="s">
        <v>571</v>
      </c>
      <c r="L456" s="55" t="s">
        <v>571</v>
      </c>
      <c r="M456" s="29" t="s">
        <v>726</v>
      </c>
      <c r="N456" s="10" t="s">
        <v>75</v>
      </c>
      <c r="O456" s="9"/>
      <c r="P456" s="9" t="s">
        <v>76</v>
      </c>
      <c r="Q456" s="28"/>
      <c r="R456" s="29"/>
      <c r="S456" s="9"/>
      <c r="T456" s="9"/>
      <c r="U456" s="9" t="s">
        <v>75</v>
      </c>
      <c r="V456" s="9" t="s">
        <v>75</v>
      </c>
      <c r="W456" s="9"/>
    </row>
    <row r="457" spans="1:23" s="12" customFormat="1">
      <c r="A457" s="46" t="s">
        <v>711</v>
      </c>
      <c r="B457" s="28" t="s">
        <v>1333</v>
      </c>
      <c r="C457" s="28" t="s">
        <v>2330</v>
      </c>
      <c r="D457" s="9" t="s">
        <v>2612</v>
      </c>
      <c r="E457" s="28" t="s">
        <v>93</v>
      </c>
      <c r="F457" s="28" t="s">
        <v>370</v>
      </c>
      <c r="G457" s="28" t="s">
        <v>370</v>
      </c>
      <c r="H457" s="28" t="s">
        <v>2352</v>
      </c>
      <c r="I457" s="28" t="str">
        <f>VLOOKUP(E457,표준용어사전!$C$2:$D$494, 2, FALSE)</f>
        <v>명V20</v>
      </c>
      <c r="J457" s="28" t="s">
        <v>718</v>
      </c>
      <c r="K457" s="29" t="s">
        <v>986</v>
      </c>
      <c r="L457" s="55" t="s">
        <v>571</v>
      </c>
      <c r="M457" s="29" t="s">
        <v>727</v>
      </c>
      <c r="N457" s="10" t="s">
        <v>75</v>
      </c>
      <c r="O457" s="9"/>
      <c r="P457" s="9" t="s">
        <v>76</v>
      </c>
      <c r="Q457" s="28"/>
      <c r="R457" s="29"/>
      <c r="S457" s="9"/>
      <c r="T457" s="9"/>
      <c r="U457" s="9" t="s">
        <v>75</v>
      </c>
      <c r="V457" s="9" t="s">
        <v>75</v>
      </c>
      <c r="W457" s="9"/>
    </row>
    <row r="458" spans="1:23" s="12" customFormat="1">
      <c r="A458" s="46" t="s">
        <v>711</v>
      </c>
      <c r="B458" s="28" t="s">
        <v>1333</v>
      </c>
      <c r="C458" s="28" t="s">
        <v>2330</v>
      </c>
      <c r="D458" s="9" t="s">
        <v>2446</v>
      </c>
      <c r="E458" s="28" t="s">
        <v>89</v>
      </c>
      <c r="F458" s="28" t="s">
        <v>501</v>
      </c>
      <c r="G458" s="28" t="s">
        <v>501</v>
      </c>
      <c r="H458" s="28" t="s">
        <v>2353</v>
      </c>
      <c r="I458" s="28" t="str">
        <f>VLOOKUP(E458,표준용어사전!$C$2:$D$494, 2, FALSE)</f>
        <v>명V20</v>
      </c>
      <c r="J458" s="28" t="s">
        <v>718</v>
      </c>
      <c r="K458" s="29" t="s">
        <v>986</v>
      </c>
      <c r="L458" s="55" t="s">
        <v>571</v>
      </c>
      <c r="M458" s="29" t="s">
        <v>727</v>
      </c>
      <c r="N458" s="10" t="s">
        <v>973</v>
      </c>
      <c r="O458" s="9" t="s">
        <v>73</v>
      </c>
      <c r="P458" s="9" t="s">
        <v>76</v>
      </c>
      <c r="Q458" s="28"/>
      <c r="R458" s="29"/>
      <c r="S458" s="9"/>
      <c r="T458" s="9"/>
      <c r="U458" s="9" t="s">
        <v>75</v>
      </c>
      <c r="V458" s="9" t="s">
        <v>75</v>
      </c>
      <c r="W458" s="9"/>
    </row>
    <row r="459" spans="1:23" s="12" customFormat="1">
      <c r="A459" s="46" t="s">
        <v>711</v>
      </c>
      <c r="B459" s="28" t="s">
        <v>1333</v>
      </c>
      <c r="C459" s="28" t="s">
        <v>2330</v>
      </c>
      <c r="D459" s="9" t="s">
        <v>2446</v>
      </c>
      <c r="E459" s="28" t="s">
        <v>2295</v>
      </c>
      <c r="F459" s="28" t="s">
        <v>2294</v>
      </c>
      <c r="G459" s="28" t="s">
        <v>2294</v>
      </c>
      <c r="H459" s="28" t="s">
        <v>2353</v>
      </c>
      <c r="I459" s="28" t="str">
        <f>VLOOKUP(E459,표준용어사전!$C$2:$D$494, 2, FALSE)</f>
        <v>명V50</v>
      </c>
      <c r="J459" s="28" t="s">
        <v>718</v>
      </c>
      <c r="K459" s="29">
        <v>50</v>
      </c>
      <c r="L459" s="55" t="s">
        <v>571</v>
      </c>
      <c r="M459" s="29" t="s">
        <v>720</v>
      </c>
      <c r="N459" s="29" t="s">
        <v>973</v>
      </c>
      <c r="O459" s="9" t="s">
        <v>74</v>
      </c>
      <c r="P459" s="9" t="s">
        <v>76</v>
      </c>
      <c r="Q459" s="28"/>
      <c r="R459" s="29"/>
      <c r="S459" s="9"/>
      <c r="T459" s="9"/>
      <c r="U459" s="9" t="s">
        <v>75</v>
      </c>
      <c r="V459" s="9" t="s">
        <v>75</v>
      </c>
      <c r="W459" s="9"/>
    </row>
    <row r="460" spans="1:23" s="12" customFormat="1">
      <c r="A460" s="46" t="s">
        <v>711</v>
      </c>
      <c r="B460" s="28" t="s">
        <v>1333</v>
      </c>
      <c r="C460" s="28" t="s">
        <v>2330</v>
      </c>
      <c r="D460" s="9" t="s">
        <v>2446</v>
      </c>
      <c r="E460" s="28" t="s">
        <v>90</v>
      </c>
      <c r="F460" s="31" t="s">
        <v>14</v>
      </c>
      <c r="G460" s="31" t="s">
        <v>14</v>
      </c>
      <c r="H460" s="28" t="s">
        <v>2353</v>
      </c>
      <c r="I460" s="28" t="str">
        <f>VLOOKUP(E460,표준용어사전!$C$2:$D$494, 2, FALSE)</f>
        <v>연월일시분초TS</v>
      </c>
      <c r="J460" s="28" t="s">
        <v>719</v>
      </c>
      <c r="K460" s="29" t="s">
        <v>571</v>
      </c>
      <c r="L460" s="55" t="s">
        <v>571</v>
      </c>
      <c r="M460" s="29" t="s">
        <v>726</v>
      </c>
      <c r="N460" s="10" t="s">
        <v>973</v>
      </c>
      <c r="O460" s="9"/>
      <c r="P460" s="9" t="s">
        <v>76</v>
      </c>
      <c r="Q460" s="28"/>
      <c r="R460" s="29"/>
      <c r="S460" s="9"/>
      <c r="T460" s="9"/>
      <c r="U460" s="9" t="s">
        <v>75</v>
      </c>
      <c r="V460" s="9" t="s">
        <v>75</v>
      </c>
      <c r="W460" s="9"/>
    </row>
    <row r="461" spans="1:23" s="12" customFormat="1">
      <c r="A461" s="46" t="s">
        <v>711</v>
      </c>
      <c r="B461" s="28" t="s">
        <v>1333</v>
      </c>
      <c r="C461" s="28" t="s">
        <v>2330</v>
      </c>
      <c r="D461" s="9" t="s">
        <v>2446</v>
      </c>
      <c r="E461" s="28" t="s">
        <v>91</v>
      </c>
      <c r="F461" s="31" t="s">
        <v>369</v>
      </c>
      <c r="G461" s="31" t="s">
        <v>369</v>
      </c>
      <c r="H461" s="28" t="s">
        <v>2353</v>
      </c>
      <c r="I461" s="28" t="str">
        <f>VLOOKUP(E461,표준용어사전!$C$2:$D$494, 2, FALSE)</f>
        <v>명V20</v>
      </c>
      <c r="J461" s="28" t="s">
        <v>718</v>
      </c>
      <c r="K461" s="29" t="s">
        <v>986</v>
      </c>
      <c r="L461" s="55" t="s">
        <v>571</v>
      </c>
      <c r="M461" s="29" t="s">
        <v>727</v>
      </c>
      <c r="N461" s="10" t="s">
        <v>75</v>
      </c>
      <c r="O461" s="9"/>
      <c r="P461" s="9" t="s">
        <v>76</v>
      </c>
      <c r="Q461" s="28"/>
      <c r="R461" s="29"/>
      <c r="S461" s="9"/>
      <c r="T461" s="9"/>
      <c r="U461" s="9" t="s">
        <v>75</v>
      </c>
      <c r="V461" s="9" t="s">
        <v>75</v>
      </c>
      <c r="W461" s="9"/>
    </row>
    <row r="462" spans="1:23" s="12" customFormat="1">
      <c r="A462" s="46" t="s">
        <v>711</v>
      </c>
      <c r="B462" s="28" t="s">
        <v>1333</v>
      </c>
      <c r="C462" s="28" t="s">
        <v>2330</v>
      </c>
      <c r="D462" s="9" t="s">
        <v>2446</v>
      </c>
      <c r="E462" s="28" t="s">
        <v>92</v>
      </c>
      <c r="F462" s="31" t="s">
        <v>15</v>
      </c>
      <c r="G462" s="31" t="s">
        <v>15</v>
      </c>
      <c r="H462" s="28" t="s">
        <v>2353</v>
      </c>
      <c r="I462" s="28" t="str">
        <f>VLOOKUP(E462,표준용어사전!$C$2:$D$494, 2, FALSE)</f>
        <v>연월일시분초TS</v>
      </c>
      <c r="J462" s="28" t="s">
        <v>719</v>
      </c>
      <c r="K462" s="29" t="s">
        <v>571</v>
      </c>
      <c r="L462" s="55" t="s">
        <v>571</v>
      </c>
      <c r="M462" s="29" t="s">
        <v>726</v>
      </c>
      <c r="N462" s="10" t="s">
        <v>75</v>
      </c>
      <c r="O462" s="9"/>
      <c r="P462" s="9" t="s">
        <v>76</v>
      </c>
      <c r="Q462" s="28"/>
      <c r="R462" s="29"/>
      <c r="S462" s="9"/>
      <c r="T462" s="9"/>
      <c r="U462" s="9" t="s">
        <v>75</v>
      </c>
      <c r="V462" s="9" t="s">
        <v>75</v>
      </c>
      <c r="W462" s="9"/>
    </row>
    <row r="463" spans="1:23" s="12" customFormat="1">
      <c r="A463" s="46" t="s">
        <v>711</v>
      </c>
      <c r="B463" s="28" t="s">
        <v>1333</v>
      </c>
      <c r="C463" s="28" t="s">
        <v>2330</v>
      </c>
      <c r="D463" s="9" t="s">
        <v>2446</v>
      </c>
      <c r="E463" s="28" t="s">
        <v>93</v>
      </c>
      <c r="F463" s="31" t="s">
        <v>370</v>
      </c>
      <c r="G463" s="31" t="s">
        <v>370</v>
      </c>
      <c r="H463" s="28" t="s">
        <v>2353</v>
      </c>
      <c r="I463" s="28" t="str">
        <f>VLOOKUP(E463,표준용어사전!$C$2:$D$494, 2, FALSE)</f>
        <v>명V20</v>
      </c>
      <c r="J463" s="28" t="s">
        <v>718</v>
      </c>
      <c r="K463" s="29" t="s">
        <v>986</v>
      </c>
      <c r="L463" s="55" t="s">
        <v>571</v>
      </c>
      <c r="M463" s="29" t="s">
        <v>727</v>
      </c>
      <c r="N463" s="10" t="s">
        <v>75</v>
      </c>
      <c r="O463" s="9"/>
      <c r="P463" s="9" t="s">
        <v>76</v>
      </c>
      <c r="Q463" s="28"/>
      <c r="R463" s="29"/>
      <c r="S463" s="9"/>
      <c r="T463" s="9"/>
      <c r="U463" s="9" t="s">
        <v>75</v>
      </c>
      <c r="V463" s="9" t="s">
        <v>75</v>
      </c>
      <c r="W463" s="9"/>
    </row>
    <row r="464" spans="1:23" s="12" customFormat="1">
      <c r="A464" s="46" t="s">
        <v>711</v>
      </c>
      <c r="B464" s="28" t="s">
        <v>1333</v>
      </c>
      <c r="C464" s="28" t="s">
        <v>2330</v>
      </c>
      <c r="D464" s="9" t="s">
        <v>2447</v>
      </c>
      <c r="E464" s="28" t="s">
        <v>2295</v>
      </c>
      <c r="F464" s="31" t="s">
        <v>2294</v>
      </c>
      <c r="G464" s="31" t="s">
        <v>2294</v>
      </c>
      <c r="H464" s="31" t="s">
        <v>2354</v>
      </c>
      <c r="I464" s="28" t="str">
        <f>VLOOKUP(E464,표준용어사전!$C$2:$D$494, 2, FALSE)</f>
        <v>명V50</v>
      </c>
      <c r="J464" s="28" t="s">
        <v>718</v>
      </c>
      <c r="K464" s="29">
        <v>50</v>
      </c>
      <c r="L464" s="55" t="s">
        <v>571</v>
      </c>
      <c r="M464" s="29" t="s">
        <v>720</v>
      </c>
      <c r="N464" s="29" t="s">
        <v>973</v>
      </c>
      <c r="O464" s="9" t="s">
        <v>73</v>
      </c>
      <c r="P464" s="9" t="s">
        <v>76</v>
      </c>
      <c r="Q464" s="28"/>
      <c r="R464" s="29"/>
      <c r="S464" s="9"/>
      <c r="T464" s="9"/>
      <c r="U464" s="9" t="s">
        <v>75</v>
      </c>
      <c r="V464" s="9" t="s">
        <v>75</v>
      </c>
      <c r="W464" s="9"/>
    </row>
    <row r="465" spans="1:23" s="12" customFormat="1">
      <c r="A465" s="46" t="s">
        <v>711</v>
      </c>
      <c r="B465" s="28" t="s">
        <v>1333</v>
      </c>
      <c r="C465" s="28" t="s">
        <v>2330</v>
      </c>
      <c r="D465" s="9" t="s">
        <v>2447</v>
      </c>
      <c r="E465" s="28" t="s">
        <v>2041</v>
      </c>
      <c r="F465" s="31" t="s">
        <v>2040</v>
      </c>
      <c r="G465" s="31" t="s">
        <v>2040</v>
      </c>
      <c r="H465" s="31" t="s">
        <v>2354</v>
      </c>
      <c r="I465" s="28" t="str">
        <f>VLOOKUP(E465,표준용어사전!$C$2:$D$494, 2, FALSE)</f>
        <v>내용V2000</v>
      </c>
      <c r="J465" s="28" t="s">
        <v>718</v>
      </c>
      <c r="K465" s="29">
        <v>2000</v>
      </c>
      <c r="L465" s="55" t="s">
        <v>571</v>
      </c>
      <c r="M465" s="29" t="s">
        <v>728</v>
      </c>
      <c r="N465" s="29" t="s">
        <v>75</v>
      </c>
      <c r="O465" s="9"/>
      <c r="P465" s="9" t="s">
        <v>76</v>
      </c>
      <c r="Q465" s="28"/>
      <c r="R465" s="29"/>
      <c r="S465" s="9"/>
      <c r="T465" s="9"/>
      <c r="U465" s="9" t="s">
        <v>75</v>
      </c>
      <c r="V465" s="9" t="s">
        <v>75</v>
      </c>
      <c r="W465" s="9"/>
    </row>
    <row r="466" spans="1:23" s="12" customFormat="1">
      <c r="A466" s="46" t="s">
        <v>711</v>
      </c>
      <c r="B466" s="28" t="s">
        <v>1333</v>
      </c>
      <c r="C466" s="28" t="s">
        <v>2330</v>
      </c>
      <c r="D466" s="9" t="s">
        <v>2447</v>
      </c>
      <c r="E466" s="28" t="s">
        <v>2524</v>
      </c>
      <c r="F466" s="31" t="s">
        <v>2043</v>
      </c>
      <c r="G466" s="31" t="s">
        <v>2043</v>
      </c>
      <c r="H466" s="31" t="s">
        <v>2354</v>
      </c>
      <c r="I466" s="28" t="str">
        <f>VLOOKUP(E466,표준용어사전!$C$2:$D$494, 2, FALSE)</f>
        <v>명TXT</v>
      </c>
      <c r="J466" s="28" t="s">
        <v>713</v>
      </c>
      <c r="K466" s="29" t="s">
        <v>571</v>
      </c>
      <c r="L466" s="55" t="s">
        <v>571</v>
      </c>
      <c r="M466" s="29" t="s">
        <v>2590</v>
      </c>
      <c r="N466" s="29" t="s">
        <v>75</v>
      </c>
      <c r="O466" s="9"/>
      <c r="P466" s="9" t="s">
        <v>76</v>
      </c>
      <c r="Q466" s="28"/>
      <c r="R466" s="29"/>
      <c r="S466" s="9"/>
      <c r="T466" s="9"/>
      <c r="U466" s="9" t="s">
        <v>75</v>
      </c>
      <c r="V466" s="9" t="s">
        <v>75</v>
      </c>
      <c r="W466" s="9"/>
    </row>
    <row r="467" spans="1:23" s="12" customFormat="1">
      <c r="A467" s="46" t="s">
        <v>711</v>
      </c>
      <c r="B467" s="28" t="s">
        <v>1333</v>
      </c>
      <c r="C467" s="28" t="s">
        <v>2330</v>
      </c>
      <c r="D467" s="9" t="s">
        <v>2447</v>
      </c>
      <c r="E467" s="28" t="s">
        <v>2525</v>
      </c>
      <c r="F467" s="31" t="s">
        <v>2047</v>
      </c>
      <c r="G467" s="31" t="s">
        <v>2047</v>
      </c>
      <c r="H467" s="31" t="s">
        <v>2354</v>
      </c>
      <c r="I467" s="28" t="str">
        <f>VLOOKUP(E467,표준용어사전!$C$2:$D$494, 2, FALSE)</f>
        <v>내용TXT</v>
      </c>
      <c r="J467" s="28" t="s">
        <v>713</v>
      </c>
      <c r="K467" s="29" t="s">
        <v>571</v>
      </c>
      <c r="L467" s="55" t="s">
        <v>571</v>
      </c>
      <c r="M467" s="29" t="s">
        <v>2590</v>
      </c>
      <c r="N467" s="10" t="s">
        <v>75</v>
      </c>
      <c r="O467" s="9"/>
      <c r="P467" s="9" t="s">
        <v>76</v>
      </c>
      <c r="Q467" s="28"/>
      <c r="R467" s="29"/>
      <c r="S467" s="9"/>
      <c r="T467" s="9"/>
      <c r="U467" s="9" t="s">
        <v>75</v>
      </c>
      <c r="V467" s="9" t="s">
        <v>75</v>
      </c>
      <c r="W467" s="9"/>
    </row>
    <row r="468" spans="1:23" s="12" customFormat="1">
      <c r="A468" s="46" t="s">
        <v>711</v>
      </c>
      <c r="B468" s="28" t="s">
        <v>1333</v>
      </c>
      <c r="C468" s="28" t="s">
        <v>2330</v>
      </c>
      <c r="D468" s="9" t="s">
        <v>2447</v>
      </c>
      <c r="E468" s="28" t="s">
        <v>2526</v>
      </c>
      <c r="F468" s="31" t="s">
        <v>2230</v>
      </c>
      <c r="G468" s="31" t="s">
        <v>2230</v>
      </c>
      <c r="H468" s="31" t="s">
        <v>2354</v>
      </c>
      <c r="I468" s="28" t="str">
        <f>VLOOKUP(E468,표준용어사전!$C$2:$D$494, 2, FALSE)</f>
        <v>연도C4</v>
      </c>
      <c r="J468" s="28" t="s">
        <v>709</v>
      </c>
      <c r="K468" s="29">
        <v>4</v>
      </c>
      <c r="L468" s="55" t="s">
        <v>571</v>
      </c>
      <c r="M468" s="29" t="s">
        <v>1352</v>
      </c>
      <c r="N468" s="10" t="s">
        <v>75</v>
      </c>
      <c r="O468" s="9"/>
      <c r="P468" s="9" t="s">
        <v>76</v>
      </c>
      <c r="Q468" s="28"/>
      <c r="R468" s="29"/>
      <c r="S468" s="9"/>
      <c r="T468" s="9"/>
      <c r="U468" s="9" t="s">
        <v>75</v>
      </c>
      <c r="V468" s="9" t="s">
        <v>75</v>
      </c>
      <c r="W468" s="9"/>
    </row>
    <row r="469" spans="1:23" s="12" customFormat="1">
      <c r="A469" s="46" t="s">
        <v>711</v>
      </c>
      <c r="B469" s="28" t="s">
        <v>1333</v>
      </c>
      <c r="C469" s="28" t="s">
        <v>2330</v>
      </c>
      <c r="D469" s="9" t="s">
        <v>2447</v>
      </c>
      <c r="E469" s="28" t="s">
        <v>2527</v>
      </c>
      <c r="F469" s="31" t="s">
        <v>2044</v>
      </c>
      <c r="G469" s="31" t="s">
        <v>2044</v>
      </c>
      <c r="H469" s="31" t="s">
        <v>2354</v>
      </c>
      <c r="I469" s="28" t="str">
        <f>VLOOKUP(E469,표준용어사전!$C$2:$D$494, 2, FALSE)</f>
        <v>주소V2000</v>
      </c>
      <c r="J469" s="28" t="s">
        <v>718</v>
      </c>
      <c r="K469" s="29">
        <v>2000</v>
      </c>
      <c r="L469" s="55" t="s">
        <v>571</v>
      </c>
      <c r="M469" s="29" t="s">
        <v>728</v>
      </c>
      <c r="N469" s="29" t="s">
        <v>75</v>
      </c>
      <c r="O469" s="9"/>
      <c r="P469" s="9" t="s">
        <v>76</v>
      </c>
      <c r="Q469" s="28"/>
      <c r="R469" s="29"/>
      <c r="S469" s="9"/>
      <c r="T469" s="9"/>
      <c r="U469" s="9" t="s">
        <v>75</v>
      </c>
      <c r="V469" s="9" t="s">
        <v>75</v>
      </c>
      <c r="W469" s="9"/>
    </row>
    <row r="470" spans="1:23" s="12" customFormat="1">
      <c r="A470" s="46" t="s">
        <v>711</v>
      </c>
      <c r="B470" s="28" t="s">
        <v>1333</v>
      </c>
      <c r="C470" s="28" t="s">
        <v>2330</v>
      </c>
      <c r="D470" s="9" t="s">
        <v>2447</v>
      </c>
      <c r="E470" s="28" t="s">
        <v>90</v>
      </c>
      <c r="F470" s="31" t="s">
        <v>14</v>
      </c>
      <c r="G470" s="31" t="s">
        <v>14</v>
      </c>
      <c r="H470" s="31" t="s">
        <v>2354</v>
      </c>
      <c r="I470" s="28" t="str">
        <f>VLOOKUP(E470,표준용어사전!$C$2:$D$494, 2, FALSE)</f>
        <v>연월일시분초TS</v>
      </c>
      <c r="J470" s="28" t="s">
        <v>719</v>
      </c>
      <c r="K470" s="29" t="s">
        <v>571</v>
      </c>
      <c r="L470" s="55" t="s">
        <v>571</v>
      </c>
      <c r="M470" s="29" t="s">
        <v>726</v>
      </c>
      <c r="N470" s="10" t="s">
        <v>973</v>
      </c>
      <c r="O470" s="9"/>
      <c r="P470" s="9" t="s">
        <v>76</v>
      </c>
      <c r="Q470" s="28"/>
      <c r="R470" s="29"/>
      <c r="S470" s="9"/>
      <c r="T470" s="9"/>
      <c r="U470" s="9" t="s">
        <v>75</v>
      </c>
      <c r="V470" s="9" t="s">
        <v>75</v>
      </c>
      <c r="W470" s="9"/>
    </row>
    <row r="471" spans="1:23" s="12" customFormat="1">
      <c r="A471" s="46" t="s">
        <v>711</v>
      </c>
      <c r="B471" s="28" t="s">
        <v>1333</v>
      </c>
      <c r="C471" s="28" t="s">
        <v>2330</v>
      </c>
      <c r="D471" s="9" t="s">
        <v>2447</v>
      </c>
      <c r="E471" s="28" t="s">
        <v>91</v>
      </c>
      <c r="F471" s="31" t="s">
        <v>369</v>
      </c>
      <c r="G471" s="31" t="s">
        <v>369</v>
      </c>
      <c r="H471" s="31" t="s">
        <v>2354</v>
      </c>
      <c r="I471" s="28" t="str">
        <f>VLOOKUP(E471,표준용어사전!$C$2:$D$494, 2, FALSE)</f>
        <v>명V20</v>
      </c>
      <c r="J471" s="28" t="s">
        <v>718</v>
      </c>
      <c r="K471" s="29" t="s">
        <v>986</v>
      </c>
      <c r="L471" s="55" t="s">
        <v>571</v>
      </c>
      <c r="M471" s="29" t="s">
        <v>727</v>
      </c>
      <c r="N471" s="10" t="s">
        <v>75</v>
      </c>
      <c r="O471" s="9"/>
      <c r="P471" s="9" t="s">
        <v>76</v>
      </c>
      <c r="Q471" s="28"/>
      <c r="R471" s="29"/>
      <c r="S471" s="9"/>
      <c r="T471" s="9"/>
      <c r="U471" s="9" t="s">
        <v>75</v>
      </c>
      <c r="V471" s="9" t="s">
        <v>75</v>
      </c>
      <c r="W471" s="9"/>
    </row>
    <row r="472" spans="1:23" s="12" customFormat="1">
      <c r="A472" s="46" t="s">
        <v>711</v>
      </c>
      <c r="B472" s="28" t="s">
        <v>1333</v>
      </c>
      <c r="C472" s="28" t="s">
        <v>2330</v>
      </c>
      <c r="D472" s="9" t="s">
        <v>2447</v>
      </c>
      <c r="E472" s="28" t="s">
        <v>92</v>
      </c>
      <c r="F472" s="31" t="s">
        <v>15</v>
      </c>
      <c r="G472" s="31" t="s">
        <v>15</v>
      </c>
      <c r="H472" s="31" t="s">
        <v>2354</v>
      </c>
      <c r="I472" s="28" t="str">
        <f>VLOOKUP(E472,표준용어사전!$C$2:$D$494, 2, FALSE)</f>
        <v>연월일시분초TS</v>
      </c>
      <c r="J472" s="28" t="s">
        <v>719</v>
      </c>
      <c r="K472" s="29" t="s">
        <v>571</v>
      </c>
      <c r="L472" s="55" t="s">
        <v>571</v>
      </c>
      <c r="M472" s="29" t="s">
        <v>726</v>
      </c>
      <c r="N472" s="10" t="s">
        <v>75</v>
      </c>
      <c r="O472" s="9"/>
      <c r="P472" s="9" t="s">
        <v>76</v>
      </c>
      <c r="Q472" s="28"/>
      <c r="R472" s="29"/>
      <c r="S472" s="9"/>
      <c r="T472" s="9"/>
      <c r="U472" s="9" t="s">
        <v>75</v>
      </c>
      <c r="V472" s="9" t="s">
        <v>75</v>
      </c>
      <c r="W472" s="9"/>
    </row>
    <row r="473" spans="1:23" s="12" customFormat="1">
      <c r="A473" s="46" t="s">
        <v>711</v>
      </c>
      <c r="B473" s="28" t="s">
        <v>1333</v>
      </c>
      <c r="C473" s="28" t="s">
        <v>2330</v>
      </c>
      <c r="D473" s="9" t="s">
        <v>2447</v>
      </c>
      <c r="E473" s="28" t="s">
        <v>93</v>
      </c>
      <c r="F473" s="31" t="s">
        <v>370</v>
      </c>
      <c r="G473" s="31" t="s">
        <v>370</v>
      </c>
      <c r="H473" s="31" t="s">
        <v>2354</v>
      </c>
      <c r="I473" s="28" t="str">
        <f>VLOOKUP(E473,표준용어사전!$C$2:$D$494, 2, FALSE)</f>
        <v>명V20</v>
      </c>
      <c r="J473" s="28" t="s">
        <v>718</v>
      </c>
      <c r="K473" s="29" t="s">
        <v>986</v>
      </c>
      <c r="L473" s="55" t="s">
        <v>571</v>
      </c>
      <c r="M473" s="29" t="s">
        <v>727</v>
      </c>
      <c r="N473" s="10" t="s">
        <v>75</v>
      </c>
      <c r="O473" s="9"/>
      <c r="P473" s="9" t="s">
        <v>76</v>
      </c>
      <c r="Q473" s="28"/>
      <c r="R473" s="29"/>
      <c r="S473" s="9"/>
      <c r="T473" s="9"/>
      <c r="U473" s="9" t="s">
        <v>75</v>
      </c>
      <c r="V473" s="9" t="s">
        <v>75</v>
      </c>
      <c r="W473" s="9"/>
    </row>
    <row r="474" spans="1:23" s="12" customFormat="1">
      <c r="A474" s="46" t="s">
        <v>711</v>
      </c>
      <c r="B474" s="28" t="s">
        <v>1333</v>
      </c>
      <c r="C474" s="28" t="s">
        <v>740</v>
      </c>
      <c r="D474" s="28" t="s">
        <v>2447</v>
      </c>
      <c r="E474" s="28" t="s">
        <v>2671</v>
      </c>
      <c r="F474" s="31" t="s">
        <v>2695</v>
      </c>
      <c r="G474" s="31" t="s">
        <v>2695</v>
      </c>
      <c r="H474" s="31" t="s">
        <v>2354</v>
      </c>
      <c r="I474" s="28" t="str">
        <f>VLOOKUP(E474,표준용어사전!$C$2:$D$494, 2, FALSE)</f>
        <v>여부C1</v>
      </c>
      <c r="J474" s="28" t="s">
        <v>709</v>
      </c>
      <c r="K474" s="29" t="s">
        <v>2668</v>
      </c>
      <c r="L474" s="55" t="s">
        <v>571</v>
      </c>
      <c r="M474" s="29" t="s">
        <v>722</v>
      </c>
      <c r="N474" s="29" t="s">
        <v>973</v>
      </c>
      <c r="O474" s="28"/>
      <c r="P474" s="28" t="s">
        <v>76</v>
      </c>
      <c r="Q474" s="28"/>
      <c r="R474" s="29"/>
      <c r="S474" s="28"/>
      <c r="T474" s="28" t="s">
        <v>2669</v>
      </c>
      <c r="U474" s="28" t="s">
        <v>75</v>
      </c>
      <c r="V474" s="28" t="s">
        <v>75</v>
      </c>
      <c r="W474" s="28"/>
    </row>
    <row r="475" spans="1:23" s="12" customFormat="1">
      <c r="A475" s="46" t="s">
        <v>711</v>
      </c>
      <c r="B475" s="28" t="s">
        <v>1333</v>
      </c>
      <c r="C475" s="28" t="s">
        <v>740</v>
      </c>
      <c r="D475" s="28" t="s">
        <v>2447</v>
      </c>
      <c r="E475" s="58" t="s">
        <v>2533</v>
      </c>
      <c r="F475" s="56" t="s">
        <v>2689</v>
      </c>
      <c r="G475" s="56" t="s">
        <v>2689</v>
      </c>
      <c r="H475" s="31" t="s">
        <v>2354</v>
      </c>
      <c r="I475" s="28" t="str">
        <f>VLOOKUP(E475,표준용어사전!$C$2:$D$494, 2, FALSE)</f>
        <v>여부C1</v>
      </c>
      <c r="J475" s="28" t="s">
        <v>709</v>
      </c>
      <c r="K475" s="29" t="s">
        <v>2668</v>
      </c>
      <c r="L475" s="55" t="s">
        <v>571</v>
      </c>
      <c r="M475" s="29" t="s">
        <v>722</v>
      </c>
      <c r="N475" s="29" t="s">
        <v>973</v>
      </c>
      <c r="O475" s="28"/>
      <c r="P475" s="28" t="s">
        <v>76</v>
      </c>
      <c r="Q475" s="28"/>
      <c r="R475" s="29"/>
      <c r="S475" s="28"/>
      <c r="T475" s="28" t="s">
        <v>2669</v>
      </c>
      <c r="U475" s="28" t="s">
        <v>75</v>
      </c>
      <c r="V475" s="28" t="s">
        <v>75</v>
      </c>
      <c r="W475" s="28"/>
    </row>
    <row r="476" spans="1:23" s="12" customFormat="1">
      <c r="A476" s="46" t="s">
        <v>711</v>
      </c>
      <c r="B476" s="28" t="s">
        <v>1333</v>
      </c>
      <c r="C476" s="28" t="s">
        <v>2330</v>
      </c>
      <c r="D476" s="9" t="s">
        <v>2613</v>
      </c>
      <c r="E476" s="28" t="s">
        <v>2528</v>
      </c>
      <c r="F476" s="31" t="s">
        <v>2296</v>
      </c>
      <c r="G476" s="31" t="s">
        <v>2296</v>
      </c>
      <c r="H476" s="31" t="s">
        <v>2355</v>
      </c>
      <c r="I476" s="28" t="str">
        <f>VLOOKUP(E476,표준용어사전!$C$2:$D$494, 2, FALSE)</f>
        <v>번호I</v>
      </c>
      <c r="J476" s="28" t="s">
        <v>717</v>
      </c>
      <c r="K476" s="29" t="s">
        <v>571</v>
      </c>
      <c r="L476" s="55" t="s">
        <v>571</v>
      </c>
      <c r="M476" s="29" t="s">
        <v>2591</v>
      </c>
      <c r="N476" s="29" t="s">
        <v>973</v>
      </c>
      <c r="O476" s="9" t="s">
        <v>73</v>
      </c>
      <c r="P476" s="9" t="s">
        <v>76</v>
      </c>
      <c r="Q476" s="28"/>
      <c r="R476" s="29"/>
      <c r="S476" s="9"/>
      <c r="T476" s="9"/>
      <c r="U476" s="9" t="s">
        <v>75</v>
      </c>
      <c r="V476" s="9" t="s">
        <v>75</v>
      </c>
      <c r="W476" s="9"/>
    </row>
    <row r="477" spans="1:23" s="12" customFormat="1">
      <c r="A477" s="46" t="s">
        <v>711</v>
      </c>
      <c r="B477" s="28" t="s">
        <v>1333</v>
      </c>
      <c r="C477" s="28" t="s">
        <v>2330</v>
      </c>
      <c r="D477" s="28" t="s">
        <v>2613</v>
      </c>
      <c r="E477" s="28" t="s">
        <v>246</v>
      </c>
      <c r="F477" s="31" t="s">
        <v>17</v>
      </c>
      <c r="G477" s="31" t="s">
        <v>17</v>
      </c>
      <c r="H477" s="31" t="s">
        <v>2355</v>
      </c>
      <c r="I477" s="28" t="str">
        <f>VLOOKUP(E477,표준용어사전!$C$2:$D$494, 2, FALSE)</f>
        <v>명V20</v>
      </c>
      <c r="J477" s="28" t="s">
        <v>718</v>
      </c>
      <c r="K477" s="29" t="s">
        <v>986</v>
      </c>
      <c r="L477" s="55" t="s">
        <v>571</v>
      </c>
      <c r="M477" s="29" t="s">
        <v>727</v>
      </c>
      <c r="N477" s="29" t="s">
        <v>973</v>
      </c>
      <c r="O477" s="28"/>
      <c r="P477" s="28" t="s">
        <v>76</v>
      </c>
      <c r="Q477" s="28"/>
      <c r="R477" s="29"/>
      <c r="S477" s="28"/>
      <c r="T477" s="28"/>
      <c r="U477" s="9" t="s">
        <v>75</v>
      </c>
      <c r="V477" s="9" t="s">
        <v>75</v>
      </c>
      <c r="W477" s="28"/>
    </row>
    <row r="478" spans="1:23" s="12" customFormat="1">
      <c r="A478" s="46" t="s">
        <v>711</v>
      </c>
      <c r="B478" s="28" t="s">
        <v>1333</v>
      </c>
      <c r="C478" s="28" t="s">
        <v>2330</v>
      </c>
      <c r="D478" s="28" t="s">
        <v>2613</v>
      </c>
      <c r="E478" s="28" t="s">
        <v>89</v>
      </c>
      <c r="F478" s="31" t="s">
        <v>501</v>
      </c>
      <c r="G478" s="31" t="s">
        <v>501</v>
      </c>
      <c r="H478" s="31" t="s">
        <v>2355</v>
      </c>
      <c r="I478" s="28" t="str">
        <f>VLOOKUP(E478,표준용어사전!$C$2:$D$494, 2, FALSE)</f>
        <v>명V20</v>
      </c>
      <c r="J478" s="28" t="s">
        <v>718</v>
      </c>
      <c r="K478" s="29" t="s">
        <v>986</v>
      </c>
      <c r="L478" s="55" t="s">
        <v>571</v>
      </c>
      <c r="M478" s="29" t="s">
        <v>727</v>
      </c>
      <c r="N478" s="29" t="s">
        <v>973</v>
      </c>
      <c r="O478" s="9"/>
      <c r="P478" s="28" t="s">
        <v>76</v>
      </c>
      <c r="Q478" s="28"/>
      <c r="R478" s="29"/>
      <c r="S478" s="28"/>
      <c r="T478" s="28"/>
      <c r="U478" s="9" t="s">
        <v>75</v>
      </c>
      <c r="V478" s="9" t="s">
        <v>75</v>
      </c>
      <c r="W478" s="28"/>
    </row>
    <row r="479" spans="1:23" s="12" customFormat="1">
      <c r="A479" s="46" t="s">
        <v>711</v>
      </c>
      <c r="B479" s="28" t="s">
        <v>1333</v>
      </c>
      <c r="C479" s="28" t="s">
        <v>2330</v>
      </c>
      <c r="D479" s="28" t="s">
        <v>2613</v>
      </c>
      <c r="E479" s="28" t="s">
        <v>268</v>
      </c>
      <c r="F479" s="31" t="s">
        <v>500</v>
      </c>
      <c r="G479" s="31" t="s">
        <v>500</v>
      </c>
      <c r="H479" s="31" t="s">
        <v>2355</v>
      </c>
      <c r="I479" s="28" t="str">
        <f>VLOOKUP(E479,표준용어사전!$C$2:$D$494, 2, FALSE)</f>
        <v>코드C1</v>
      </c>
      <c r="J479" s="28" t="s">
        <v>709</v>
      </c>
      <c r="K479" s="29">
        <v>1</v>
      </c>
      <c r="L479" s="55" t="s">
        <v>571</v>
      </c>
      <c r="M479" s="29" t="s">
        <v>722</v>
      </c>
      <c r="N479" s="29" t="s">
        <v>75</v>
      </c>
      <c r="O479" s="28"/>
      <c r="P479" s="28" t="s">
        <v>76</v>
      </c>
      <c r="Q479" s="28"/>
      <c r="R479" s="29"/>
      <c r="S479" s="28"/>
      <c r="T479" s="28"/>
      <c r="U479" s="9" t="s">
        <v>75</v>
      </c>
      <c r="V479" s="9" t="s">
        <v>75</v>
      </c>
      <c r="W479" s="28"/>
    </row>
    <row r="480" spans="1:23" s="12" customFormat="1">
      <c r="A480" s="46" t="s">
        <v>711</v>
      </c>
      <c r="B480" s="28" t="s">
        <v>1333</v>
      </c>
      <c r="C480" s="28" t="s">
        <v>2330</v>
      </c>
      <c r="D480" s="28" t="s">
        <v>2613</v>
      </c>
      <c r="E480" s="28" t="s">
        <v>252</v>
      </c>
      <c r="F480" s="31" t="s">
        <v>77</v>
      </c>
      <c r="G480" s="31" t="s">
        <v>77</v>
      </c>
      <c r="H480" s="31" t="s">
        <v>2355</v>
      </c>
      <c r="I480" s="28" t="str">
        <f>VLOOKUP(E480,표준용어사전!$C$2:$D$494, 2, FALSE)</f>
        <v>내용TXT</v>
      </c>
      <c r="J480" s="28" t="s">
        <v>713</v>
      </c>
      <c r="K480" s="29" t="s">
        <v>571</v>
      </c>
      <c r="L480" s="55" t="s">
        <v>571</v>
      </c>
      <c r="M480" s="29" t="s">
        <v>2590</v>
      </c>
      <c r="N480" s="29" t="s">
        <v>75</v>
      </c>
      <c r="O480" s="28"/>
      <c r="P480" s="28" t="s">
        <v>76</v>
      </c>
      <c r="Q480" s="28"/>
      <c r="R480" s="29"/>
      <c r="S480" s="28"/>
      <c r="T480" s="28"/>
      <c r="U480" s="9" t="s">
        <v>75</v>
      </c>
      <c r="V480" s="9" t="s">
        <v>75</v>
      </c>
      <c r="W480" s="28"/>
    </row>
    <row r="481" spans="1:23" s="12" customFormat="1">
      <c r="A481" s="46" t="s">
        <v>711</v>
      </c>
      <c r="B481" s="28" t="s">
        <v>1333</v>
      </c>
      <c r="C481" s="28" t="s">
        <v>2330</v>
      </c>
      <c r="D481" s="28" t="s">
        <v>2613</v>
      </c>
      <c r="E481" s="28" t="s">
        <v>90</v>
      </c>
      <c r="F481" s="31" t="s">
        <v>14</v>
      </c>
      <c r="G481" s="31" t="s">
        <v>14</v>
      </c>
      <c r="H481" s="31" t="s">
        <v>2355</v>
      </c>
      <c r="I481" s="28" t="str">
        <f>VLOOKUP(E481,표준용어사전!$C$2:$D$494, 2, FALSE)</f>
        <v>연월일시분초TS</v>
      </c>
      <c r="J481" s="28" t="s">
        <v>719</v>
      </c>
      <c r="K481" s="29" t="s">
        <v>571</v>
      </c>
      <c r="L481" s="55" t="s">
        <v>571</v>
      </c>
      <c r="M481" s="29" t="s">
        <v>726</v>
      </c>
      <c r="N481" s="29" t="s">
        <v>973</v>
      </c>
      <c r="O481" s="28"/>
      <c r="P481" s="28" t="s">
        <v>76</v>
      </c>
      <c r="Q481" s="28"/>
      <c r="R481" s="29"/>
      <c r="S481" s="28"/>
      <c r="T481" s="28"/>
      <c r="U481" s="9" t="s">
        <v>75</v>
      </c>
      <c r="V481" s="9" t="s">
        <v>75</v>
      </c>
      <c r="W481" s="28"/>
    </row>
    <row r="482" spans="1:23" s="12" customFormat="1">
      <c r="A482" s="46" t="s">
        <v>711</v>
      </c>
      <c r="B482" s="28" t="s">
        <v>1333</v>
      </c>
      <c r="C482" s="28" t="s">
        <v>2330</v>
      </c>
      <c r="D482" s="28" t="s">
        <v>2613</v>
      </c>
      <c r="E482" s="28" t="s">
        <v>91</v>
      </c>
      <c r="F482" s="31" t="s">
        <v>369</v>
      </c>
      <c r="G482" s="31" t="s">
        <v>369</v>
      </c>
      <c r="H482" s="31" t="s">
        <v>2355</v>
      </c>
      <c r="I482" s="28" t="str">
        <f>VLOOKUP(E482,표준용어사전!$C$2:$D$494, 2, FALSE)</f>
        <v>명V20</v>
      </c>
      <c r="J482" s="28" t="s">
        <v>718</v>
      </c>
      <c r="K482" s="29" t="s">
        <v>986</v>
      </c>
      <c r="L482" s="55" t="s">
        <v>571</v>
      </c>
      <c r="M482" s="29" t="s">
        <v>727</v>
      </c>
      <c r="N482" s="29" t="s">
        <v>75</v>
      </c>
      <c r="O482" s="28"/>
      <c r="P482" s="28" t="s">
        <v>76</v>
      </c>
      <c r="Q482" s="28"/>
      <c r="R482" s="29"/>
      <c r="S482" s="28"/>
      <c r="T482" s="28"/>
      <c r="U482" s="9" t="s">
        <v>75</v>
      </c>
      <c r="V482" s="9" t="s">
        <v>75</v>
      </c>
      <c r="W482" s="28"/>
    </row>
    <row r="483" spans="1:23" s="12" customFormat="1">
      <c r="A483" s="46" t="s">
        <v>711</v>
      </c>
      <c r="B483" s="28" t="s">
        <v>1333</v>
      </c>
      <c r="C483" s="28" t="s">
        <v>2330</v>
      </c>
      <c r="D483" s="28" t="s">
        <v>2613</v>
      </c>
      <c r="E483" s="28" t="s">
        <v>92</v>
      </c>
      <c r="F483" s="31" t="s">
        <v>15</v>
      </c>
      <c r="G483" s="31" t="s">
        <v>15</v>
      </c>
      <c r="H483" s="31" t="s">
        <v>2355</v>
      </c>
      <c r="I483" s="28" t="str">
        <f>VLOOKUP(E483,표준용어사전!$C$2:$D$494, 2, FALSE)</f>
        <v>연월일시분초TS</v>
      </c>
      <c r="J483" s="28" t="s">
        <v>719</v>
      </c>
      <c r="K483" s="29" t="s">
        <v>571</v>
      </c>
      <c r="L483" s="55" t="s">
        <v>571</v>
      </c>
      <c r="M483" s="29" t="s">
        <v>726</v>
      </c>
      <c r="N483" s="29" t="s">
        <v>75</v>
      </c>
      <c r="O483" s="28"/>
      <c r="P483" s="28" t="s">
        <v>76</v>
      </c>
      <c r="Q483" s="28"/>
      <c r="R483" s="29"/>
      <c r="S483" s="28"/>
      <c r="T483" s="9"/>
      <c r="U483" s="9" t="s">
        <v>75</v>
      </c>
      <c r="V483" s="9" t="s">
        <v>75</v>
      </c>
      <c r="W483" s="28"/>
    </row>
    <row r="484" spans="1:23" s="12" customFormat="1">
      <c r="A484" s="46" t="s">
        <v>711</v>
      </c>
      <c r="B484" s="28" t="s">
        <v>1333</v>
      </c>
      <c r="C484" s="28" t="s">
        <v>2330</v>
      </c>
      <c r="D484" s="28" t="s">
        <v>2613</v>
      </c>
      <c r="E484" s="28" t="s">
        <v>93</v>
      </c>
      <c r="F484" s="31" t="s">
        <v>370</v>
      </c>
      <c r="G484" s="31" t="s">
        <v>370</v>
      </c>
      <c r="H484" s="31" t="s">
        <v>2355</v>
      </c>
      <c r="I484" s="28" t="str">
        <f>VLOOKUP(E484,표준용어사전!$C$2:$D$494, 2, FALSE)</f>
        <v>명V20</v>
      </c>
      <c r="J484" s="28" t="s">
        <v>718</v>
      </c>
      <c r="K484" s="29" t="s">
        <v>986</v>
      </c>
      <c r="L484" s="55" t="s">
        <v>571</v>
      </c>
      <c r="M484" s="29" t="s">
        <v>727</v>
      </c>
      <c r="N484" s="29" t="s">
        <v>75</v>
      </c>
      <c r="O484" s="28"/>
      <c r="P484" s="28" t="s">
        <v>76</v>
      </c>
      <c r="Q484" s="28"/>
      <c r="R484" s="29"/>
      <c r="S484" s="28"/>
      <c r="T484" s="28"/>
      <c r="U484" s="9" t="s">
        <v>75</v>
      </c>
      <c r="V484" s="9" t="s">
        <v>75</v>
      </c>
      <c r="W484" s="28"/>
    </row>
    <row r="485" spans="1:23" s="12" customFormat="1">
      <c r="A485" s="46" t="s">
        <v>711</v>
      </c>
      <c r="B485" s="28" t="s">
        <v>1333</v>
      </c>
      <c r="C485" s="28" t="s">
        <v>2330</v>
      </c>
      <c r="D485" s="28" t="s">
        <v>2448</v>
      </c>
      <c r="E485" s="28" t="s">
        <v>2036</v>
      </c>
      <c r="F485" s="31" t="s">
        <v>457</v>
      </c>
      <c r="G485" s="31" t="s">
        <v>457</v>
      </c>
      <c r="H485" s="31" t="s">
        <v>1910</v>
      </c>
      <c r="I485" s="28" t="str">
        <f>VLOOKUP(E485,표준용어사전!$C$2:$D$494, 2, FALSE)</f>
        <v>번호I</v>
      </c>
      <c r="J485" s="28" t="s">
        <v>717</v>
      </c>
      <c r="K485" s="29" t="s">
        <v>571</v>
      </c>
      <c r="L485" s="55" t="s">
        <v>571</v>
      </c>
      <c r="M485" s="29" t="s">
        <v>2591</v>
      </c>
      <c r="N485" s="29" t="s">
        <v>973</v>
      </c>
      <c r="O485" s="28" t="s">
        <v>73</v>
      </c>
      <c r="P485" s="28" t="s">
        <v>76</v>
      </c>
      <c r="Q485" s="28"/>
      <c r="R485" s="29"/>
      <c r="S485" s="28"/>
      <c r="T485" s="9"/>
      <c r="U485" s="9" t="s">
        <v>75</v>
      </c>
      <c r="V485" s="9" t="s">
        <v>75</v>
      </c>
      <c r="W485" s="28"/>
    </row>
    <row r="486" spans="1:23" s="12" customFormat="1">
      <c r="A486" s="46" t="s">
        <v>711</v>
      </c>
      <c r="B486" s="28" t="s">
        <v>1333</v>
      </c>
      <c r="C486" s="28" t="s">
        <v>2330</v>
      </c>
      <c r="D486" s="28" t="s">
        <v>2448</v>
      </c>
      <c r="E486" s="28" t="s">
        <v>2295</v>
      </c>
      <c r="F486" s="31" t="s">
        <v>2294</v>
      </c>
      <c r="G486" s="31" t="s">
        <v>2294</v>
      </c>
      <c r="H486" s="31" t="s">
        <v>1910</v>
      </c>
      <c r="I486" s="28" t="str">
        <f>VLOOKUP(E486,표준용어사전!$C$2:$D$494, 2, FALSE)</f>
        <v>명V50</v>
      </c>
      <c r="J486" s="28" t="s">
        <v>718</v>
      </c>
      <c r="K486" s="29">
        <v>50</v>
      </c>
      <c r="L486" s="55" t="s">
        <v>571</v>
      </c>
      <c r="M486" s="29" t="s">
        <v>720</v>
      </c>
      <c r="N486" s="29" t="s">
        <v>973</v>
      </c>
      <c r="O486" s="28" t="s">
        <v>74</v>
      </c>
      <c r="P486" s="28" t="s">
        <v>76</v>
      </c>
      <c r="Q486" s="28"/>
      <c r="R486" s="29"/>
      <c r="S486" s="28"/>
      <c r="T486" s="28"/>
      <c r="U486" s="9" t="s">
        <v>75</v>
      </c>
      <c r="V486" s="9" t="s">
        <v>75</v>
      </c>
      <c r="W486" s="28"/>
    </row>
    <row r="487" spans="1:23" s="12" customFormat="1">
      <c r="A487" s="46" t="s">
        <v>711</v>
      </c>
      <c r="B487" s="28" t="s">
        <v>1333</v>
      </c>
      <c r="C487" s="28" t="s">
        <v>2330</v>
      </c>
      <c r="D487" s="28" t="s">
        <v>2448</v>
      </c>
      <c r="E487" s="28" t="s">
        <v>2037</v>
      </c>
      <c r="F487" s="31" t="s">
        <v>479</v>
      </c>
      <c r="G487" s="31" t="s">
        <v>479</v>
      </c>
      <c r="H487" s="31" t="s">
        <v>1910</v>
      </c>
      <c r="I487" s="28" t="str">
        <f>VLOOKUP(E487,표준용어사전!$C$2:$D$494, 2, FALSE)</f>
        <v>명TXT</v>
      </c>
      <c r="J487" s="28" t="s">
        <v>713</v>
      </c>
      <c r="K487" s="29" t="s">
        <v>571</v>
      </c>
      <c r="L487" s="55" t="s">
        <v>571</v>
      </c>
      <c r="M487" s="29" t="s">
        <v>2590</v>
      </c>
      <c r="N487" s="29" t="s">
        <v>75</v>
      </c>
      <c r="O487" s="28"/>
      <c r="P487" s="28" t="s">
        <v>76</v>
      </c>
      <c r="Q487" s="28"/>
      <c r="R487" s="29"/>
      <c r="S487" s="28"/>
      <c r="T487" s="28"/>
      <c r="U487" s="9" t="s">
        <v>75</v>
      </c>
      <c r="V487" s="9" t="s">
        <v>75</v>
      </c>
      <c r="W487" s="28"/>
    </row>
    <row r="488" spans="1:23" s="12" customFormat="1">
      <c r="A488" s="46" t="s">
        <v>711</v>
      </c>
      <c r="B488" s="28" t="s">
        <v>1333</v>
      </c>
      <c r="C488" s="28" t="s">
        <v>2330</v>
      </c>
      <c r="D488" s="28" t="s">
        <v>2448</v>
      </c>
      <c r="E488" s="28" t="s">
        <v>90</v>
      </c>
      <c r="F488" s="31" t="s">
        <v>14</v>
      </c>
      <c r="G488" s="31" t="s">
        <v>14</v>
      </c>
      <c r="H488" s="31" t="s">
        <v>1910</v>
      </c>
      <c r="I488" s="28" t="str">
        <f>VLOOKUP(E488,표준용어사전!$C$2:$D$494, 2, FALSE)</f>
        <v>연월일시분초TS</v>
      </c>
      <c r="J488" s="28" t="s">
        <v>719</v>
      </c>
      <c r="K488" s="29" t="s">
        <v>571</v>
      </c>
      <c r="L488" s="55" t="s">
        <v>571</v>
      </c>
      <c r="M488" s="29" t="s">
        <v>726</v>
      </c>
      <c r="N488" s="29" t="s">
        <v>973</v>
      </c>
      <c r="O488" s="28"/>
      <c r="P488" s="28" t="s">
        <v>76</v>
      </c>
      <c r="Q488" s="28"/>
      <c r="R488" s="29"/>
      <c r="S488" s="28"/>
      <c r="T488" s="9"/>
      <c r="U488" s="9" t="s">
        <v>75</v>
      </c>
      <c r="V488" s="9" t="s">
        <v>75</v>
      </c>
      <c r="W488" s="9"/>
    </row>
    <row r="489" spans="1:23" s="12" customFormat="1">
      <c r="A489" s="46" t="s">
        <v>711</v>
      </c>
      <c r="B489" s="28" t="s">
        <v>1333</v>
      </c>
      <c r="C489" s="28" t="s">
        <v>2330</v>
      </c>
      <c r="D489" s="28" t="s">
        <v>2448</v>
      </c>
      <c r="E489" s="28" t="s">
        <v>91</v>
      </c>
      <c r="F489" s="31" t="s">
        <v>369</v>
      </c>
      <c r="G489" s="31" t="s">
        <v>369</v>
      </c>
      <c r="H489" s="31" t="s">
        <v>1910</v>
      </c>
      <c r="I489" s="28" t="str">
        <f>VLOOKUP(E489,표준용어사전!$C$2:$D$494, 2, FALSE)</f>
        <v>명V20</v>
      </c>
      <c r="J489" s="28" t="s">
        <v>718</v>
      </c>
      <c r="K489" s="29" t="s">
        <v>986</v>
      </c>
      <c r="L489" s="55" t="s">
        <v>571</v>
      </c>
      <c r="M489" s="29" t="s">
        <v>727</v>
      </c>
      <c r="N489" s="29" t="s">
        <v>75</v>
      </c>
      <c r="O489" s="28"/>
      <c r="P489" s="28" t="s">
        <v>76</v>
      </c>
      <c r="Q489" s="28"/>
      <c r="R489" s="29"/>
      <c r="S489" s="28"/>
      <c r="T489" s="28"/>
      <c r="U489" s="9" t="s">
        <v>75</v>
      </c>
      <c r="V489" s="9" t="s">
        <v>75</v>
      </c>
      <c r="W489" s="28"/>
    </row>
    <row r="490" spans="1:23" s="12" customFormat="1">
      <c r="A490" s="46" t="s">
        <v>711</v>
      </c>
      <c r="B490" s="28" t="s">
        <v>1333</v>
      </c>
      <c r="C490" s="28" t="s">
        <v>2330</v>
      </c>
      <c r="D490" s="28" t="s">
        <v>2448</v>
      </c>
      <c r="E490" s="28" t="s">
        <v>92</v>
      </c>
      <c r="F490" s="31" t="s">
        <v>15</v>
      </c>
      <c r="G490" s="31" t="s">
        <v>15</v>
      </c>
      <c r="H490" s="31" t="s">
        <v>1910</v>
      </c>
      <c r="I490" s="28" t="str">
        <f>VLOOKUP(E490,표준용어사전!$C$2:$D$494, 2, FALSE)</f>
        <v>연월일시분초TS</v>
      </c>
      <c r="J490" s="28" t="s">
        <v>719</v>
      </c>
      <c r="K490" s="29" t="s">
        <v>571</v>
      </c>
      <c r="L490" s="55" t="s">
        <v>571</v>
      </c>
      <c r="M490" s="29" t="s">
        <v>726</v>
      </c>
      <c r="N490" s="29" t="s">
        <v>75</v>
      </c>
      <c r="O490" s="28"/>
      <c r="P490" s="28" t="s">
        <v>76</v>
      </c>
      <c r="Q490" s="28"/>
      <c r="R490" s="29"/>
      <c r="S490" s="28"/>
      <c r="T490" s="9"/>
      <c r="U490" s="9" t="s">
        <v>75</v>
      </c>
      <c r="V490" s="9" t="s">
        <v>75</v>
      </c>
      <c r="W490" s="28"/>
    </row>
    <row r="491" spans="1:23" s="12" customFormat="1">
      <c r="A491" s="46" t="s">
        <v>711</v>
      </c>
      <c r="B491" s="28" t="s">
        <v>1333</v>
      </c>
      <c r="C491" s="28" t="s">
        <v>2330</v>
      </c>
      <c r="D491" s="28" t="s">
        <v>2448</v>
      </c>
      <c r="E491" s="28" t="s">
        <v>93</v>
      </c>
      <c r="F491" s="31" t="s">
        <v>370</v>
      </c>
      <c r="G491" s="31" t="s">
        <v>370</v>
      </c>
      <c r="H491" s="31" t="s">
        <v>1910</v>
      </c>
      <c r="I491" s="28" t="str">
        <f>VLOOKUP(E491,표준용어사전!$C$2:$D$494, 2, FALSE)</f>
        <v>명V20</v>
      </c>
      <c r="J491" s="28" t="s">
        <v>718</v>
      </c>
      <c r="K491" s="29" t="s">
        <v>986</v>
      </c>
      <c r="L491" s="55" t="s">
        <v>571</v>
      </c>
      <c r="M491" s="29" t="s">
        <v>727</v>
      </c>
      <c r="N491" s="29" t="s">
        <v>75</v>
      </c>
      <c r="O491" s="28"/>
      <c r="P491" s="28" t="s">
        <v>76</v>
      </c>
      <c r="Q491" s="28"/>
      <c r="R491" s="29"/>
      <c r="S491" s="28"/>
      <c r="T491" s="9"/>
      <c r="U491" s="9" t="s">
        <v>75</v>
      </c>
      <c r="V491" s="9" t="s">
        <v>75</v>
      </c>
      <c r="W491" s="28"/>
    </row>
    <row r="492" spans="1:23" s="12" customFormat="1">
      <c r="A492" s="46" t="s">
        <v>711</v>
      </c>
      <c r="B492" s="28" t="s">
        <v>1333</v>
      </c>
      <c r="C492" s="28" t="s">
        <v>2330</v>
      </c>
      <c r="D492" s="28" t="s">
        <v>2449</v>
      </c>
      <c r="E492" s="28" t="s">
        <v>2034</v>
      </c>
      <c r="F492" s="31" t="s">
        <v>458</v>
      </c>
      <c r="G492" s="31" t="s">
        <v>458</v>
      </c>
      <c r="H492" s="31" t="s">
        <v>1914</v>
      </c>
      <c r="I492" s="28" t="str">
        <f>VLOOKUP(E492,표준용어사전!$C$2:$D$494, 2, FALSE)</f>
        <v>번호I</v>
      </c>
      <c r="J492" s="28" t="s">
        <v>717</v>
      </c>
      <c r="K492" s="29" t="s">
        <v>571</v>
      </c>
      <c r="L492" s="55" t="s">
        <v>571</v>
      </c>
      <c r="M492" s="29" t="s">
        <v>2591</v>
      </c>
      <c r="N492" s="29" t="s">
        <v>973</v>
      </c>
      <c r="O492" s="28" t="s">
        <v>73</v>
      </c>
      <c r="P492" s="28" t="s">
        <v>76</v>
      </c>
      <c r="Q492" s="28"/>
      <c r="R492" s="29"/>
      <c r="S492" s="28"/>
      <c r="T492" s="28"/>
      <c r="U492" s="9" t="s">
        <v>75</v>
      </c>
      <c r="V492" s="9" t="s">
        <v>75</v>
      </c>
      <c r="W492" s="28"/>
    </row>
    <row r="493" spans="1:23" s="12" customFormat="1">
      <c r="A493" s="46" t="s">
        <v>711</v>
      </c>
      <c r="B493" s="28" t="s">
        <v>1333</v>
      </c>
      <c r="C493" s="28" t="s">
        <v>2330</v>
      </c>
      <c r="D493" s="28" t="s">
        <v>2449</v>
      </c>
      <c r="E493" s="28" t="s">
        <v>2295</v>
      </c>
      <c r="F493" s="31" t="s">
        <v>2294</v>
      </c>
      <c r="G493" s="31" t="s">
        <v>2294</v>
      </c>
      <c r="H493" s="31" t="s">
        <v>1914</v>
      </c>
      <c r="I493" s="28" t="str">
        <f>VLOOKUP(E493,표준용어사전!$C$2:$D$494, 2, FALSE)</f>
        <v>명V50</v>
      </c>
      <c r="J493" s="28" t="s">
        <v>718</v>
      </c>
      <c r="K493" s="29">
        <v>50</v>
      </c>
      <c r="L493" s="55" t="s">
        <v>571</v>
      </c>
      <c r="M493" s="29" t="s">
        <v>720</v>
      </c>
      <c r="N493" s="29" t="s">
        <v>973</v>
      </c>
      <c r="O493" s="28" t="s">
        <v>74</v>
      </c>
      <c r="P493" s="28" t="s">
        <v>76</v>
      </c>
      <c r="Q493" s="28"/>
      <c r="R493" s="29"/>
      <c r="S493" s="28"/>
      <c r="T493" s="28"/>
      <c r="U493" s="9" t="s">
        <v>75</v>
      </c>
      <c r="V493" s="9" t="s">
        <v>75</v>
      </c>
      <c r="W493" s="28"/>
    </row>
    <row r="494" spans="1:23" s="12" customFormat="1">
      <c r="A494" s="46" t="s">
        <v>711</v>
      </c>
      <c r="B494" s="28" t="s">
        <v>1333</v>
      </c>
      <c r="C494" s="28" t="s">
        <v>2330</v>
      </c>
      <c r="D494" s="28" t="s">
        <v>2449</v>
      </c>
      <c r="E494" s="28" t="s">
        <v>2035</v>
      </c>
      <c r="F494" s="31" t="s">
        <v>749</v>
      </c>
      <c r="G494" s="31" t="s">
        <v>749</v>
      </c>
      <c r="H494" s="31" t="s">
        <v>1914</v>
      </c>
      <c r="I494" s="28" t="str">
        <f>VLOOKUP(E494,표준용어사전!$C$2:$D$494, 2, FALSE)</f>
        <v>명TXT</v>
      </c>
      <c r="J494" s="28" t="s">
        <v>713</v>
      </c>
      <c r="K494" s="29" t="s">
        <v>571</v>
      </c>
      <c r="L494" s="55" t="s">
        <v>571</v>
      </c>
      <c r="M494" s="29" t="s">
        <v>2590</v>
      </c>
      <c r="N494" s="29" t="s">
        <v>75</v>
      </c>
      <c r="O494" s="28"/>
      <c r="P494" s="28" t="s">
        <v>76</v>
      </c>
      <c r="Q494" s="28"/>
      <c r="R494" s="29"/>
      <c r="S494" s="28"/>
      <c r="T494" s="9"/>
      <c r="U494" s="9" t="s">
        <v>75</v>
      </c>
      <c r="V494" s="9" t="s">
        <v>75</v>
      </c>
      <c r="W494" s="28"/>
    </row>
    <row r="495" spans="1:23" s="12" customFormat="1">
      <c r="A495" s="46" t="s">
        <v>711</v>
      </c>
      <c r="B495" s="28" t="s">
        <v>1333</v>
      </c>
      <c r="C495" s="28" t="s">
        <v>2330</v>
      </c>
      <c r="D495" s="28" t="s">
        <v>2449</v>
      </c>
      <c r="E495" s="28" t="s">
        <v>90</v>
      </c>
      <c r="F495" s="31" t="s">
        <v>14</v>
      </c>
      <c r="G495" s="31" t="s">
        <v>14</v>
      </c>
      <c r="H495" s="31" t="s">
        <v>1914</v>
      </c>
      <c r="I495" s="28" t="str">
        <f>VLOOKUP(E495,표준용어사전!$C$2:$D$494, 2, FALSE)</f>
        <v>연월일시분초TS</v>
      </c>
      <c r="J495" s="28" t="s">
        <v>719</v>
      </c>
      <c r="K495" s="29" t="s">
        <v>571</v>
      </c>
      <c r="L495" s="55" t="s">
        <v>571</v>
      </c>
      <c r="M495" s="29" t="s">
        <v>726</v>
      </c>
      <c r="N495" s="29" t="s">
        <v>973</v>
      </c>
      <c r="O495" s="28"/>
      <c r="P495" s="28" t="s">
        <v>76</v>
      </c>
      <c r="Q495" s="28"/>
      <c r="R495" s="29"/>
      <c r="S495" s="28"/>
      <c r="T495" s="28"/>
      <c r="U495" s="9" t="s">
        <v>75</v>
      </c>
      <c r="V495" s="9" t="s">
        <v>75</v>
      </c>
      <c r="W495" s="28"/>
    </row>
    <row r="496" spans="1:23" s="12" customFormat="1">
      <c r="A496" s="46" t="s">
        <v>711</v>
      </c>
      <c r="B496" s="28" t="s">
        <v>1333</v>
      </c>
      <c r="C496" s="28" t="s">
        <v>2330</v>
      </c>
      <c r="D496" s="28" t="s">
        <v>2449</v>
      </c>
      <c r="E496" s="28" t="s">
        <v>91</v>
      </c>
      <c r="F496" s="31" t="s">
        <v>369</v>
      </c>
      <c r="G496" s="31" t="s">
        <v>369</v>
      </c>
      <c r="H496" s="31" t="s">
        <v>1914</v>
      </c>
      <c r="I496" s="28" t="str">
        <f>VLOOKUP(E496,표준용어사전!$C$2:$D$494, 2, FALSE)</f>
        <v>명V20</v>
      </c>
      <c r="J496" s="28" t="s">
        <v>718</v>
      </c>
      <c r="K496" s="29" t="s">
        <v>986</v>
      </c>
      <c r="L496" s="55" t="s">
        <v>571</v>
      </c>
      <c r="M496" s="29" t="s">
        <v>727</v>
      </c>
      <c r="N496" s="29" t="s">
        <v>75</v>
      </c>
      <c r="O496" s="28"/>
      <c r="P496" s="28" t="s">
        <v>76</v>
      </c>
      <c r="Q496" s="28"/>
      <c r="R496" s="29"/>
      <c r="S496" s="28"/>
      <c r="T496" s="28"/>
      <c r="U496" s="9" t="s">
        <v>75</v>
      </c>
      <c r="V496" s="9" t="s">
        <v>75</v>
      </c>
      <c r="W496" s="28"/>
    </row>
    <row r="497" spans="1:23" s="12" customFormat="1">
      <c r="A497" s="46" t="s">
        <v>711</v>
      </c>
      <c r="B497" s="28" t="s">
        <v>1333</v>
      </c>
      <c r="C497" s="28" t="s">
        <v>2330</v>
      </c>
      <c r="D497" s="28" t="s">
        <v>2449</v>
      </c>
      <c r="E497" s="28" t="s">
        <v>92</v>
      </c>
      <c r="F497" s="31" t="s">
        <v>15</v>
      </c>
      <c r="G497" s="31" t="s">
        <v>15</v>
      </c>
      <c r="H497" s="31" t="s">
        <v>1914</v>
      </c>
      <c r="I497" s="28" t="str">
        <f>VLOOKUP(E497,표준용어사전!$C$2:$D$494, 2, FALSE)</f>
        <v>연월일시분초TS</v>
      </c>
      <c r="J497" s="28" t="s">
        <v>719</v>
      </c>
      <c r="K497" s="29" t="s">
        <v>571</v>
      </c>
      <c r="L497" s="55" t="s">
        <v>571</v>
      </c>
      <c r="M497" s="29" t="s">
        <v>726</v>
      </c>
      <c r="N497" s="29" t="s">
        <v>75</v>
      </c>
      <c r="O497" s="28"/>
      <c r="P497" s="28" t="s">
        <v>76</v>
      </c>
      <c r="Q497" s="28"/>
      <c r="R497" s="29"/>
      <c r="S497" s="28"/>
      <c r="T497" s="28"/>
      <c r="U497" s="9" t="s">
        <v>75</v>
      </c>
      <c r="V497" s="9" t="s">
        <v>75</v>
      </c>
      <c r="W497" s="28"/>
    </row>
    <row r="498" spans="1:23" s="12" customFormat="1">
      <c r="A498" s="46" t="s">
        <v>711</v>
      </c>
      <c r="B498" s="28" t="s">
        <v>1333</v>
      </c>
      <c r="C498" s="28" t="s">
        <v>2330</v>
      </c>
      <c r="D498" s="28" t="s">
        <v>2449</v>
      </c>
      <c r="E498" s="28" t="s">
        <v>93</v>
      </c>
      <c r="F498" s="31" t="s">
        <v>370</v>
      </c>
      <c r="G498" s="31" t="s">
        <v>370</v>
      </c>
      <c r="H498" s="31" t="s">
        <v>1914</v>
      </c>
      <c r="I498" s="28" t="str">
        <f>VLOOKUP(E498,표준용어사전!$C$2:$D$494, 2, FALSE)</f>
        <v>명V20</v>
      </c>
      <c r="J498" s="28" t="s">
        <v>718</v>
      </c>
      <c r="K498" s="29" t="s">
        <v>986</v>
      </c>
      <c r="L498" s="55" t="s">
        <v>571</v>
      </c>
      <c r="M498" s="29" t="s">
        <v>727</v>
      </c>
      <c r="N498" s="29" t="s">
        <v>75</v>
      </c>
      <c r="O498" s="28"/>
      <c r="P498" s="28" t="s">
        <v>76</v>
      </c>
      <c r="Q498" s="28"/>
      <c r="R498" s="29"/>
      <c r="S498" s="28"/>
      <c r="T498" s="28"/>
      <c r="U498" s="9" t="s">
        <v>75</v>
      </c>
      <c r="V498" s="9" t="s">
        <v>75</v>
      </c>
      <c r="W498" s="9"/>
    </row>
    <row r="499" spans="1:23" s="12" customFormat="1">
      <c r="A499" s="46" t="s">
        <v>711</v>
      </c>
      <c r="B499" s="28" t="s">
        <v>1333</v>
      </c>
      <c r="C499" s="28" t="s">
        <v>740</v>
      </c>
      <c r="D499" s="28" t="s">
        <v>2674</v>
      </c>
      <c r="E499" s="28" t="s">
        <v>2295</v>
      </c>
      <c r="F499" s="31" t="s">
        <v>2294</v>
      </c>
      <c r="G499" s="31" t="s">
        <v>2681</v>
      </c>
      <c r="H499" s="31" t="s">
        <v>2675</v>
      </c>
      <c r="I499" s="28" t="str">
        <f>VLOOKUP(E499,표준용어사전!$C$2:$D$494, 2, FALSE)</f>
        <v>명V50</v>
      </c>
      <c r="J499" s="28" t="s">
        <v>718</v>
      </c>
      <c r="K499" s="29">
        <v>50</v>
      </c>
      <c r="L499" s="55" t="s">
        <v>571</v>
      </c>
      <c r="M499" s="29" t="s">
        <v>720</v>
      </c>
      <c r="N499" s="29" t="s">
        <v>973</v>
      </c>
      <c r="O499" s="28" t="s">
        <v>73</v>
      </c>
      <c r="P499" s="28" t="s">
        <v>76</v>
      </c>
      <c r="Q499" s="28"/>
      <c r="R499" s="29"/>
      <c r="S499" s="28"/>
      <c r="T499" s="28"/>
      <c r="U499" s="28" t="s">
        <v>75</v>
      </c>
      <c r="V499" s="28" t="s">
        <v>75</v>
      </c>
      <c r="W499" s="28"/>
    </row>
    <row r="500" spans="1:23" s="12" customFormat="1">
      <c r="A500" s="46" t="s">
        <v>711</v>
      </c>
      <c r="B500" s="28" t="s">
        <v>1333</v>
      </c>
      <c r="C500" s="28" t="s">
        <v>740</v>
      </c>
      <c r="D500" s="28" t="s">
        <v>2674</v>
      </c>
      <c r="E500" s="28" t="s">
        <v>2512</v>
      </c>
      <c r="F500" s="31" t="s">
        <v>2682</v>
      </c>
      <c r="G500" s="31" t="s">
        <v>2207</v>
      </c>
      <c r="H500" s="31" t="s">
        <v>2675</v>
      </c>
      <c r="I500" s="28" t="str">
        <f>VLOOKUP(E500,표준용어사전!$C$2:$D$494, 2, FALSE)</f>
        <v>코드C4</v>
      </c>
      <c r="J500" s="56" t="s">
        <v>2676</v>
      </c>
      <c r="K500" s="29">
        <v>4</v>
      </c>
      <c r="L500" s="55" t="s">
        <v>571</v>
      </c>
      <c r="M500" s="29" t="s">
        <v>929</v>
      </c>
      <c r="N500" s="29" t="s">
        <v>973</v>
      </c>
      <c r="O500" s="28" t="s">
        <v>74</v>
      </c>
      <c r="P500" s="28" t="s">
        <v>76</v>
      </c>
      <c r="Q500" s="28"/>
      <c r="R500" s="29"/>
      <c r="S500" s="28"/>
      <c r="T500" s="28"/>
      <c r="U500" s="28" t="s">
        <v>75</v>
      </c>
      <c r="V500" s="28" t="s">
        <v>75</v>
      </c>
      <c r="W500" s="28"/>
    </row>
    <row r="501" spans="1:23" s="12" customFormat="1">
      <c r="A501" s="46" t="s">
        <v>711</v>
      </c>
      <c r="B501" s="28" t="s">
        <v>1333</v>
      </c>
      <c r="C501" s="28" t="s">
        <v>740</v>
      </c>
      <c r="D501" s="28" t="s">
        <v>2674</v>
      </c>
      <c r="E501" s="28" t="s">
        <v>2511</v>
      </c>
      <c r="F501" s="31" t="s">
        <v>2683</v>
      </c>
      <c r="G501" s="31" t="s">
        <v>580</v>
      </c>
      <c r="H501" s="31" t="s">
        <v>2675</v>
      </c>
      <c r="I501" s="28" t="str">
        <f>VLOOKUP(E501,표준용어사전!$C$2:$D$494, 2, FALSE)</f>
        <v>명V20</v>
      </c>
      <c r="J501" s="28" t="s">
        <v>718</v>
      </c>
      <c r="K501" s="29">
        <v>20</v>
      </c>
      <c r="L501" s="55" t="s">
        <v>571</v>
      </c>
      <c r="M501" s="29" t="s">
        <v>727</v>
      </c>
      <c r="N501" s="29" t="s">
        <v>973</v>
      </c>
      <c r="O501" s="28" t="s">
        <v>2679</v>
      </c>
      <c r="P501" s="28" t="s">
        <v>76</v>
      </c>
      <c r="Q501" s="28"/>
      <c r="R501" s="29"/>
      <c r="S501" s="28"/>
      <c r="T501" s="28"/>
      <c r="U501" s="28" t="s">
        <v>75</v>
      </c>
      <c r="V501" s="28" t="s">
        <v>75</v>
      </c>
      <c r="W501" s="28"/>
    </row>
    <row r="502" spans="1:23" s="12" customFormat="1">
      <c r="A502" s="46" t="s">
        <v>711</v>
      </c>
      <c r="B502" s="28" t="s">
        <v>1333</v>
      </c>
      <c r="C502" s="28" t="s">
        <v>740</v>
      </c>
      <c r="D502" s="28" t="s">
        <v>2674</v>
      </c>
      <c r="E502" s="28" t="s">
        <v>90</v>
      </c>
      <c r="F502" s="31" t="s">
        <v>14</v>
      </c>
      <c r="G502" s="31" t="s">
        <v>14</v>
      </c>
      <c r="H502" s="31" t="s">
        <v>2675</v>
      </c>
      <c r="I502" s="28" t="str">
        <f>VLOOKUP(E502,표준용어사전!$C$2:$D$494, 2, FALSE)</f>
        <v>연월일시분초TS</v>
      </c>
      <c r="J502" s="56" t="s">
        <v>2677</v>
      </c>
      <c r="K502" s="29" t="s">
        <v>2678</v>
      </c>
      <c r="L502" s="55" t="s">
        <v>571</v>
      </c>
      <c r="M502" s="29" t="s">
        <v>726</v>
      </c>
      <c r="N502" s="29" t="s">
        <v>973</v>
      </c>
      <c r="O502" s="28"/>
      <c r="P502" s="28" t="s">
        <v>76</v>
      </c>
      <c r="Q502" s="28"/>
      <c r="R502" s="29"/>
      <c r="S502" s="28"/>
      <c r="T502" s="28" t="s">
        <v>2680</v>
      </c>
      <c r="U502" s="28" t="s">
        <v>75</v>
      </c>
      <c r="V502" s="28" t="s">
        <v>75</v>
      </c>
      <c r="W502" s="28"/>
    </row>
    <row r="503" spans="1:23" s="12" customFormat="1">
      <c r="A503" s="46" t="s">
        <v>711</v>
      </c>
      <c r="B503" s="28" t="s">
        <v>1333</v>
      </c>
      <c r="C503" s="28" t="s">
        <v>740</v>
      </c>
      <c r="D503" s="28" t="s">
        <v>2674</v>
      </c>
      <c r="E503" s="28" t="s">
        <v>91</v>
      </c>
      <c r="F503" s="31" t="s">
        <v>369</v>
      </c>
      <c r="G503" s="31" t="s">
        <v>369</v>
      </c>
      <c r="H503" s="31" t="s">
        <v>2675</v>
      </c>
      <c r="I503" s="28" t="str">
        <f>VLOOKUP(E503,표준용어사전!$C$2:$D$494, 2, FALSE)</f>
        <v>명V20</v>
      </c>
      <c r="J503" s="28" t="s">
        <v>718</v>
      </c>
      <c r="K503" s="29">
        <v>20</v>
      </c>
      <c r="L503" s="55" t="s">
        <v>571</v>
      </c>
      <c r="M503" s="29" t="s">
        <v>727</v>
      </c>
      <c r="N503" s="29" t="s">
        <v>75</v>
      </c>
      <c r="O503" s="28"/>
      <c r="P503" s="28" t="s">
        <v>76</v>
      </c>
      <c r="Q503" s="28"/>
      <c r="R503" s="29"/>
      <c r="S503" s="28"/>
      <c r="T503" s="28"/>
      <c r="U503" s="28" t="s">
        <v>75</v>
      </c>
      <c r="V503" s="28" t="s">
        <v>75</v>
      </c>
      <c r="W503" s="28"/>
    </row>
    <row r="504" spans="1:23" s="12" customFormat="1">
      <c r="A504" s="46" t="s">
        <v>711</v>
      </c>
      <c r="B504" s="28" t="s">
        <v>1333</v>
      </c>
      <c r="C504" s="28" t="s">
        <v>740</v>
      </c>
      <c r="D504" s="28" t="s">
        <v>2674</v>
      </c>
      <c r="E504" s="28" t="s">
        <v>92</v>
      </c>
      <c r="F504" s="31" t="s">
        <v>15</v>
      </c>
      <c r="G504" s="31" t="s">
        <v>15</v>
      </c>
      <c r="H504" s="31" t="s">
        <v>2675</v>
      </c>
      <c r="I504" s="28" t="str">
        <f>VLOOKUP(E504,표준용어사전!$C$2:$D$494, 2, FALSE)</f>
        <v>연월일시분초TS</v>
      </c>
      <c r="J504" s="56" t="s">
        <v>2677</v>
      </c>
      <c r="K504" s="29" t="s">
        <v>2678</v>
      </c>
      <c r="L504" s="55" t="s">
        <v>571</v>
      </c>
      <c r="M504" s="29" t="s">
        <v>726</v>
      </c>
      <c r="N504" s="29" t="s">
        <v>75</v>
      </c>
      <c r="O504" s="28"/>
      <c r="P504" s="28" t="s">
        <v>76</v>
      </c>
      <c r="Q504" s="28"/>
      <c r="R504" s="29"/>
      <c r="S504" s="28"/>
      <c r="T504" s="28"/>
      <c r="U504" s="28" t="s">
        <v>75</v>
      </c>
      <c r="V504" s="28" t="s">
        <v>75</v>
      </c>
      <c r="W504" s="28"/>
    </row>
    <row r="505" spans="1:23" s="12" customFormat="1">
      <c r="A505" s="46" t="s">
        <v>711</v>
      </c>
      <c r="B505" s="28" t="s">
        <v>1333</v>
      </c>
      <c r="C505" s="28" t="s">
        <v>740</v>
      </c>
      <c r="D505" s="28" t="s">
        <v>2674</v>
      </c>
      <c r="E505" s="28" t="s">
        <v>93</v>
      </c>
      <c r="F505" s="31" t="s">
        <v>370</v>
      </c>
      <c r="G505" s="31" t="s">
        <v>370</v>
      </c>
      <c r="H505" s="31" t="s">
        <v>2675</v>
      </c>
      <c r="I505" s="28" t="str">
        <f>VLOOKUP(E505,표준용어사전!$C$2:$D$494, 2, FALSE)</f>
        <v>명V20</v>
      </c>
      <c r="J505" s="28" t="s">
        <v>718</v>
      </c>
      <c r="K505" s="29">
        <v>20</v>
      </c>
      <c r="L505" s="55" t="s">
        <v>571</v>
      </c>
      <c r="M505" s="29" t="s">
        <v>727</v>
      </c>
      <c r="N505" s="29" t="s">
        <v>75</v>
      </c>
      <c r="O505" s="28"/>
      <c r="P505" s="28" t="s">
        <v>76</v>
      </c>
      <c r="Q505" s="28"/>
      <c r="R505" s="29"/>
      <c r="S505" s="28"/>
      <c r="T505" s="28"/>
      <c r="U505" s="28" t="s">
        <v>75</v>
      </c>
      <c r="V505" s="28" t="s">
        <v>75</v>
      </c>
      <c r="W505" s="28"/>
    </row>
    <row r="506" spans="1:23" s="12" customFormat="1">
      <c r="A506" s="46" t="s">
        <v>711</v>
      </c>
      <c r="B506" s="28" t="s">
        <v>1333</v>
      </c>
      <c r="C506" s="28" t="s">
        <v>740</v>
      </c>
      <c r="D506" s="28" t="s">
        <v>2674</v>
      </c>
      <c r="E506" s="28" t="s">
        <v>2673</v>
      </c>
      <c r="F506" s="31" t="s">
        <v>2672</v>
      </c>
      <c r="G506" s="31" t="s">
        <v>2672</v>
      </c>
      <c r="H506" s="31" t="s">
        <v>2675</v>
      </c>
      <c r="I506" s="28" t="str">
        <f>VLOOKUP(E506,표준용어사전!$C$2:$D$494, 2, FALSE)</f>
        <v>수N10,3</v>
      </c>
      <c r="J506" s="56" t="s">
        <v>748</v>
      </c>
      <c r="K506" s="29">
        <v>10</v>
      </c>
      <c r="L506" s="55">
        <v>3</v>
      </c>
      <c r="M506" s="29" t="s">
        <v>2593</v>
      </c>
      <c r="N506" s="29" t="s">
        <v>75</v>
      </c>
      <c r="O506" s="28"/>
      <c r="P506" s="28" t="s">
        <v>76</v>
      </c>
      <c r="Q506" s="28"/>
      <c r="R506" s="29"/>
      <c r="S506" s="28"/>
      <c r="T506" s="28"/>
      <c r="U506" s="28" t="s">
        <v>75</v>
      </c>
      <c r="V506" s="28" t="s">
        <v>75</v>
      </c>
      <c r="W506" s="28"/>
    </row>
    <row r="507" spans="1:23" s="12" customFormat="1">
      <c r="A507" s="46" t="s">
        <v>711</v>
      </c>
      <c r="B507" s="28" t="s">
        <v>1333</v>
      </c>
      <c r="C507" s="28" t="s">
        <v>2330</v>
      </c>
      <c r="D507" s="9" t="s">
        <v>2614</v>
      </c>
      <c r="E507" s="28" t="s">
        <v>2293</v>
      </c>
      <c r="F507" s="31" t="s">
        <v>2292</v>
      </c>
      <c r="G507" s="31" t="s">
        <v>2292</v>
      </c>
      <c r="H507" s="31" t="s">
        <v>2356</v>
      </c>
      <c r="I507" s="28" t="str">
        <f>VLOOKUP(E507,표준용어사전!$C$2:$D$494, 2, FALSE)</f>
        <v>번호I</v>
      </c>
      <c r="J507" s="28" t="s">
        <v>717</v>
      </c>
      <c r="K507" s="29" t="s">
        <v>571</v>
      </c>
      <c r="L507" s="55" t="s">
        <v>571</v>
      </c>
      <c r="M507" s="29" t="s">
        <v>2591</v>
      </c>
      <c r="N507" s="10" t="s">
        <v>973</v>
      </c>
      <c r="O507" s="9" t="s">
        <v>73</v>
      </c>
      <c r="P507" s="9" t="s">
        <v>76</v>
      </c>
      <c r="Q507" s="28"/>
      <c r="R507" s="29"/>
      <c r="S507" s="9"/>
      <c r="T507" s="9"/>
      <c r="U507" s="9" t="s">
        <v>75</v>
      </c>
      <c r="V507" s="9" t="s">
        <v>75</v>
      </c>
      <c r="W507" s="9"/>
    </row>
    <row r="508" spans="1:23" s="12" customFormat="1">
      <c r="A508" s="46" t="s">
        <v>711</v>
      </c>
      <c r="B508" s="28" t="s">
        <v>1333</v>
      </c>
      <c r="C508" s="28" t="s">
        <v>2330</v>
      </c>
      <c r="D508" s="9" t="s">
        <v>2614</v>
      </c>
      <c r="E508" s="28" t="s">
        <v>246</v>
      </c>
      <c r="F508" s="31" t="s">
        <v>17</v>
      </c>
      <c r="G508" s="31" t="s">
        <v>17</v>
      </c>
      <c r="H508" s="31" t="s">
        <v>2356</v>
      </c>
      <c r="I508" s="28" t="str">
        <f>VLOOKUP(E508,표준용어사전!$C$2:$D$494, 2, FALSE)</f>
        <v>명V20</v>
      </c>
      <c r="J508" s="28" t="s">
        <v>718</v>
      </c>
      <c r="K508" s="29" t="s">
        <v>986</v>
      </c>
      <c r="L508" s="55" t="s">
        <v>571</v>
      </c>
      <c r="M508" s="29" t="s">
        <v>727</v>
      </c>
      <c r="N508" s="10" t="s">
        <v>973</v>
      </c>
      <c r="O508" s="9"/>
      <c r="P508" s="9" t="s">
        <v>76</v>
      </c>
      <c r="Q508" s="28"/>
      <c r="R508" s="29"/>
      <c r="S508" s="9"/>
      <c r="T508" s="9"/>
      <c r="U508" s="9" t="s">
        <v>75</v>
      </c>
      <c r="V508" s="9" t="s">
        <v>75</v>
      </c>
      <c r="W508" s="9"/>
    </row>
    <row r="509" spans="1:23" s="12" customFormat="1">
      <c r="A509" s="46" t="s">
        <v>711</v>
      </c>
      <c r="B509" s="28" t="s">
        <v>1333</v>
      </c>
      <c r="C509" s="28" t="s">
        <v>2330</v>
      </c>
      <c r="D509" s="9" t="s">
        <v>2614</v>
      </c>
      <c r="E509" s="28" t="s">
        <v>2276</v>
      </c>
      <c r="F509" s="31" t="s">
        <v>1850</v>
      </c>
      <c r="G509" s="31" t="s">
        <v>1850</v>
      </c>
      <c r="H509" s="31" t="s">
        <v>2356</v>
      </c>
      <c r="I509" s="28" t="str">
        <f>VLOOKUP(E509,표준용어사전!$C$2:$D$494, 2, FALSE)</f>
        <v>번호V50</v>
      </c>
      <c r="J509" s="28" t="s">
        <v>718</v>
      </c>
      <c r="K509" s="29">
        <v>50</v>
      </c>
      <c r="L509" s="55" t="s">
        <v>571</v>
      </c>
      <c r="M509" s="29" t="s">
        <v>720</v>
      </c>
      <c r="N509" s="10" t="s">
        <v>973</v>
      </c>
      <c r="O509" s="9"/>
      <c r="P509" s="9" t="s">
        <v>76</v>
      </c>
      <c r="Q509" s="28"/>
      <c r="R509" s="29"/>
      <c r="S509" s="9"/>
      <c r="T509" s="9"/>
      <c r="U509" s="9" t="s">
        <v>75</v>
      </c>
      <c r="V509" s="9" t="s">
        <v>75</v>
      </c>
      <c r="W509" s="9"/>
    </row>
    <row r="510" spans="1:23" s="12" customFormat="1">
      <c r="A510" s="46" t="s">
        <v>711</v>
      </c>
      <c r="B510" s="28" t="s">
        <v>1333</v>
      </c>
      <c r="C510" s="28" t="s">
        <v>2330</v>
      </c>
      <c r="D510" s="9" t="s">
        <v>2614</v>
      </c>
      <c r="E510" s="28" t="s">
        <v>89</v>
      </c>
      <c r="F510" s="31" t="s">
        <v>501</v>
      </c>
      <c r="G510" s="31" t="s">
        <v>501</v>
      </c>
      <c r="H510" s="31" t="s">
        <v>2356</v>
      </c>
      <c r="I510" s="28" t="str">
        <f>VLOOKUP(E510,표준용어사전!$C$2:$D$494, 2, FALSE)</f>
        <v>명V20</v>
      </c>
      <c r="J510" s="28" t="s">
        <v>718</v>
      </c>
      <c r="K510" s="29" t="s">
        <v>986</v>
      </c>
      <c r="L510" s="55" t="s">
        <v>571</v>
      </c>
      <c r="M510" s="29" t="s">
        <v>727</v>
      </c>
      <c r="N510" s="10" t="s">
        <v>973</v>
      </c>
      <c r="O510" s="9"/>
      <c r="P510" s="9" t="s">
        <v>76</v>
      </c>
      <c r="Q510" s="28"/>
      <c r="R510" s="29"/>
      <c r="S510" s="9"/>
      <c r="T510" s="9"/>
      <c r="U510" s="9" t="s">
        <v>75</v>
      </c>
      <c r="V510" s="9" t="s">
        <v>75</v>
      </c>
      <c r="W510" s="9"/>
    </row>
    <row r="511" spans="1:23" s="12" customFormat="1">
      <c r="A511" s="46" t="s">
        <v>711</v>
      </c>
      <c r="B511" s="28" t="s">
        <v>1333</v>
      </c>
      <c r="C511" s="28" t="s">
        <v>2330</v>
      </c>
      <c r="D511" s="9" t="s">
        <v>2614</v>
      </c>
      <c r="E511" s="28" t="s">
        <v>2289</v>
      </c>
      <c r="F511" s="31" t="s">
        <v>2423</v>
      </c>
      <c r="G511" s="31" t="s">
        <v>2423</v>
      </c>
      <c r="H511" s="31" t="s">
        <v>2356</v>
      </c>
      <c r="I511" s="28" t="str">
        <f>VLOOKUP(E511,표준용어사전!$C$2:$D$494, 2, FALSE)</f>
        <v>코드C1</v>
      </c>
      <c r="J511" s="28" t="s">
        <v>709</v>
      </c>
      <c r="K511" s="29">
        <v>1</v>
      </c>
      <c r="L511" s="55" t="s">
        <v>571</v>
      </c>
      <c r="M511" s="29" t="s">
        <v>722</v>
      </c>
      <c r="N511" s="10" t="s">
        <v>973</v>
      </c>
      <c r="O511" s="9"/>
      <c r="P511" s="9" t="s">
        <v>76</v>
      </c>
      <c r="Q511" s="28"/>
      <c r="R511" s="29"/>
      <c r="S511" s="9"/>
      <c r="T511" s="9"/>
      <c r="U511" s="9" t="s">
        <v>75</v>
      </c>
      <c r="V511" s="9" t="s">
        <v>75</v>
      </c>
      <c r="W511" s="9"/>
    </row>
    <row r="512" spans="1:23" s="12" customFormat="1">
      <c r="A512" s="46" t="s">
        <v>711</v>
      </c>
      <c r="B512" s="28" t="s">
        <v>1333</v>
      </c>
      <c r="C512" s="28" t="s">
        <v>2330</v>
      </c>
      <c r="D512" s="9" t="s">
        <v>2614</v>
      </c>
      <c r="E512" s="28" t="s">
        <v>268</v>
      </c>
      <c r="F512" s="31" t="s">
        <v>500</v>
      </c>
      <c r="G512" s="31" t="s">
        <v>500</v>
      </c>
      <c r="H512" s="31" t="s">
        <v>2356</v>
      </c>
      <c r="I512" s="28" t="str">
        <f>VLOOKUP(E512,표준용어사전!$C$2:$D$494, 2, FALSE)</f>
        <v>코드C1</v>
      </c>
      <c r="J512" s="28" t="s">
        <v>709</v>
      </c>
      <c r="K512" s="29">
        <v>1</v>
      </c>
      <c r="L512" s="55" t="s">
        <v>571</v>
      </c>
      <c r="M512" s="29" t="s">
        <v>722</v>
      </c>
      <c r="N512" s="10" t="s">
        <v>75</v>
      </c>
      <c r="O512" s="9"/>
      <c r="P512" s="9" t="s">
        <v>76</v>
      </c>
      <c r="Q512" s="28"/>
      <c r="R512" s="29"/>
      <c r="S512" s="9"/>
      <c r="T512" s="9"/>
      <c r="U512" s="9" t="s">
        <v>75</v>
      </c>
      <c r="V512" s="9" t="s">
        <v>75</v>
      </c>
      <c r="W512" s="9"/>
    </row>
    <row r="513" spans="1:23" s="12" customFormat="1">
      <c r="A513" s="46" t="s">
        <v>711</v>
      </c>
      <c r="B513" s="28" t="s">
        <v>1333</v>
      </c>
      <c r="C513" s="28" t="s">
        <v>2330</v>
      </c>
      <c r="D513" s="9" t="s">
        <v>2614</v>
      </c>
      <c r="E513" s="28" t="s">
        <v>252</v>
      </c>
      <c r="F513" s="31" t="s">
        <v>77</v>
      </c>
      <c r="G513" s="31" t="s">
        <v>77</v>
      </c>
      <c r="H513" s="31" t="s">
        <v>2356</v>
      </c>
      <c r="I513" s="28" t="str">
        <f>VLOOKUP(E513,표준용어사전!$C$2:$D$494, 2, FALSE)</f>
        <v>내용TXT</v>
      </c>
      <c r="J513" s="28" t="s">
        <v>713</v>
      </c>
      <c r="K513" s="29" t="s">
        <v>571</v>
      </c>
      <c r="L513" s="55" t="s">
        <v>571</v>
      </c>
      <c r="M513" s="29" t="s">
        <v>2590</v>
      </c>
      <c r="N513" s="10" t="s">
        <v>75</v>
      </c>
      <c r="O513" s="9"/>
      <c r="P513" s="9" t="s">
        <v>76</v>
      </c>
      <c r="Q513" s="28"/>
      <c r="R513" s="29"/>
      <c r="S513" s="9"/>
      <c r="T513" s="9"/>
      <c r="U513" s="9" t="s">
        <v>75</v>
      </c>
      <c r="V513" s="9" t="s">
        <v>75</v>
      </c>
      <c r="W513" s="9"/>
    </row>
    <row r="514" spans="1:23" s="12" customFormat="1">
      <c r="A514" s="46" t="s">
        <v>711</v>
      </c>
      <c r="B514" s="28" t="s">
        <v>1333</v>
      </c>
      <c r="C514" s="28" t="s">
        <v>2330</v>
      </c>
      <c r="D514" s="9" t="s">
        <v>2614</v>
      </c>
      <c r="E514" s="28" t="s">
        <v>90</v>
      </c>
      <c r="F514" s="31" t="s">
        <v>14</v>
      </c>
      <c r="G514" s="31" t="s">
        <v>14</v>
      </c>
      <c r="H514" s="31" t="s">
        <v>2356</v>
      </c>
      <c r="I514" s="28" t="str">
        <f>VLOOKUP(E514,표준용어사전!$C$2:$D$494, 2, FALSE)</f>
        <v>연월일시분초TS</v>
      </c>
      <c r="J514" s="28" t="s">
        <v>719</v>
      </c>
      <c r="K514" s="29" t="s">
        <v>571</v>
      </c>
      <c r="L514" s="55" t="s">
        <v>571</v>
      </c>
      <c r="M514" s="29" t="s">
        <v>726</v>
      </c>
      <c r="N514" s="10" t="s">
        <v>973</v>
      </c>
      <c r="O514" s="9"/>
      <c r="P514" s="9" t="s">
        <v>76</v>
      </c>
      <c r="Q514" s="28"/>
      <c r="R514" s="29"/>
      <c r="S514" s="9"/>
      <c r="T514" s="9"/>
      <c r="U514" s="9" t="s">
        <v>75</v>
      </c>
      <c r="V514" s="9" t="s">
        <v>75</v>
      </c>
      <c r="W514" s="9"/>
    </row>
    <row r="515" spans="1:23" s="12" customFormat="1">
      <c r="A515" s="46" t="s">
        <v>711</v>
      </c>
      <c r="B515" s="28" t="s">
        <v>1333</v>
      </c>
      <c r="C515" s="28" t="s">
        <v>2330</v>
      </c>
      <c r="D515" s="9" t="s">
        <v>2614</v>
      </c>
      <c r="E515" s="28" t="s">
        <v>91</v>
      </c>
      <c r="F515" s="31" t="s">
        <v>369</v>
      </c>
      <c r="G515" s="31" t="s">
        <v>369</v>
      </c>
      <c r="H515" s="31" t="s">
        <v>2356</v>
      </c>
      <c r="I515" s="28" t="str">
        <f>VLOOKUP(E515,표준용어사전!$C$2:$D$494, 2, FALSE)</f>
        <v>명V20</v>
      </c>
      <c r="J515" s="28" t="s">
        <v>718</v>
      </c>
      <c r="K515" s="29" t="s">
        <v>986</v>
      </c>
      <c r="L515" s="55" t="s">
        <v>571</v>
      </c>
      <c r="M515" s="29" t="s">
        <v>727</v>
      </c>
      <c r="N515" s="10" t="s">
        <v>75</v>
      </c>
      <c r="O515" s="9"/>
      <c r="P515" s="9" t="s">
        <v>76</v>
      </c>
      <c r="Q515" s="28"/>
      <c r="R515" s="29"/>
      <c r="S515" s="9"/>
      <c r="T515" s="9"/>
      <c r="U515" s="9" t="s">
        <v>75</v>
      </c>
      <c r="V515" s="9" t="s">
        <v>75</v>
      </c>
      <c r="W515" s="9"/>
    </row>
    <row r="516" spans="1:23" s="12" customFormat="1">
      <c r="A516" s="46" t="s">
        <v>711</v>
      </c>
      <c r="B516" s="28" t="s">
        <v>1333</v>
      </c>
      <c r="C516" s="28" t="s">
        <v>2330</v>
      </c>
      <c r="D516" s="9" t="s">
        <v>2614</v>
      </c>
      <c r="E516" s="28" t="s">
        <v>92</v>
      </c>
      <c r="F516" s="31" t="s">
        <v>15</v>
      </c>
      <c r="G516" s="31" t="s">
        <v>15</v>
      </c>
      <c r="H516" s="31" t="s">
        <v>2356</v>
      </c>
      <c r="I516" s="28" t="str">
        <f>VLOOKUP(E516,표준용어사전!$C$2:$D$494, 2, FALSE)</f>
        <v>연월일시분초TS</v>
      </c>
      <c r="J516" s="28" t="s">
        <v>719</v>
      </c>
      <c r="K516" s="29" t="s">
        <v>571</v>
      </c>
      <c r="L516" s="55" t="s">
        <v>571</v>
      </c>
      <c r="M516" s="29" t="s">
        <v>726</v>
      </c>
      <c r="N516" s="29" t="s">
        <v>75</v>
      </c>
      <c r="O516" s="9"/>
      <c r="P516" s="9" t="s">
        <v>76</v>
      </c>
      <c r="Q516" s="28"/>
      <c r="R516" s="29"/>
      <c r="S516" s="9"/>
      <c r="T516" s="9"/>
      <c r="U516" s="9" t="s">
        <v>75</v>
      </c>
      <c r="V516" s="9" t="s">
        <v>75</v>
      </c>
      <c r="W516" s="9"/>
    </row>
    <row r="517" spans="1:23" s="12" customFormat="1">
      <c r="A517" s="46" t="s">
        <v>711</v>
      </c>
      <c r="B517" s="28" t="s">
        <v>1333</v>
      </c>
      <c r="C517" s="28" t="s">
        <v>2330</v>
      </c>
      <c r="D517" s="9" t="s">
        <v>2614</v>
      </c>
      <c r="E517" s="28" t="s">
        <v>93</v>
      </c>
      <c r="F517" s="31" t="s">
        <v>370</v>
      </c>
      <c r="G517" s="31" t="s">
        <v>370</v>
      </c>
      <c r="H517" s="31" t="s">
        <v>2356</v>
      </c>
      <c r="I517" s="28" t="str">
        <f>VLOOKUP(E517,표준용어사전!$C$2:$D$494, 2, FALSE)</f>
        <v>명V20</v>
      </c>
      <c r="J517" s="28" t="s">
        <v>718</v>
      </c>
      <c r="K517" s="29" t="s">
        <v>986</v>
      </c>
      <c r="L517" s="55" t="s">
        <v>571</v>
      </c>
      <c r="M517" s="29" t="s">
        <v>727</v>
      </c>
      <c r="N517" s="10" t="s">
        <v>75</v>
      </c>
      <c r="O517" s="9"/>
      <c r="P517" s="9" t="s">
        <v>76</v>
      </c>
      <c r="Q517" s="28"/>
      <c r="R517" s="29"/>
      <c r="S517" s="9"/>
      <c r="T517" s="9"/>
      <c r="U517" s="9" t="s">
        <v>75</v>
      </c>
      <c r="V517" s="9" t="s">
        <v>75</v>
      </c>
      <c r="W517" s="9"/>
    </row>
    <row r="518" spans="1:23" s="12" customFormat="1">
      <c r="A518" s="46" t="s">
        <v>711</v>
      </c>
      <c r="B518" s="28" t="s">
        <v>1333</v>
      </c>
      <c r="C518" s="28" t="s">
        <v>2330</v>
      </c>
      <c r="D518" s="9" t="s">
        <v>2450</v>
      </c>
      <c r="E518" s="28" t="s">
        <v>2276</v>
      </c>
      <c r="F518" s="31" t="s">
        <v>1850</v>
      </c>
      <c r="G518" s="31" t="s">
        <v>1850</v>
      </c>
      <c r="H518" s="31" t="s">
        <v>2357</v>
      </c>
      <c r="I518" s="28" t="str">
        <f>VLOOKUP(E518,표준용어사전!$C$2:$D$494, 2, FALSE)</f>
        <v>번호V50</v>
      </c>
      <c r="J518" s="28" t="s">
        <v>718</v>
      </c>
      <c r="K518" s="29">
        <v>50</v>
      </c>
      <c r="L518" s="55" t="s">
        <v>571</v>
      </c>
      <c r="M518" s="29" t="s">
        <v>720</v>
      </c>
      <c r="N518" s="10" t="s">
        <v>973</v>
      </c>
      <c r="O518" s="9" t="s">
        <v>73</v>
      </c>
      <c r="P518" s="9" t="s">
        <v>76</v>
      </c>
      <c r="Q518" s="28"/>
      <c r="R518" s="29"/>
      <c r="S518" s="9"/>
      <c r="T518" s="9"/>
      <c r="U518" s="9" t="s">
        <v>75</v>
      </c>
      <c r="V518" s="9" t="s">
        <v>75</v>
      </c>
      <c r="W518" s="9"/>
    </row>
    <row r="519" spans="1:23" s="12" customFormat="1">
      <c r="A519" s="46" t="s">
        <v>711</v>
      </c>
      <c r="B519" s="28" t="s">
        <v>1333</v>
      </c>
      <c r="C519" s="28" t="s">
        <v>740</v>
      </c>
      <c r="D519" s="28" t="s">
        <v>2450</v>
      </c>
      <c r="E519" s="28" t="s">
        <v>2005</v>
      </c>
      <c r="F519" s="28" t="s">
        <v>466</v>
      </c>
      <c r="G519" s="28" t="s">
        <v>466</v>
      </c>
      <c r="H519" s="31" t="s">
        <v>2357</v>
      </c>
      <c r="I519" s="28" t="str">
        <f>VLOOKUP(E519,표준용어사전!$C$2:$D$494, 2, FALSE)</f>
        <v>명V20</v>
      </c>
      <c r="J519" s="28" t="s">
        <v>718</v>
      </c>
      <c r="K519" s="29" t="s">
        <v>2684</v>
      </c>
      <c r="L519" s="55" t="s">
        <v>2678</v>
      </c>
      <c r="M519" s="29" t="s">
        <v>727</v>
      </c>
      <c r="N519" s="29" t="s">
        <v>973</v>
      </c>
      <c r="O519" s="28" t="s">
        <v>2685</v>
      </c>
      <c r="P519" s="28"/>
      <c r="Q519" s="28"/>
      <c r="R519" s="29"/>
      <c r="S519" s="28"/>
      <c r="T519" s="28"/>
      <c r="U519" s="28" t="s">
        <v>75</v>
      </c>
      <c r="V519" s="28" t="s">
        <v>75</v>
      </c>
      <c r="W519" s="28"/>
    </row>
    <row r="520" spans="1:23" s="12" customFormat="1">
      <c r="A520" s="46" t="s">
        <v>711</v>
      </c>
      <c r="B520" s="28" t="s">
        <v>1333</v>
      </c>
      <c r="C520" s="28" t="s">
        <v>2330</v>
      </c>
      <c r="D520" s="9" t="s">
        <v>2450</v>
      </c>
      <c r="E520" s="28" t="s">
        <v>2512</v>
      </c>
      <c r="F520" s="31" t="s">
        <v>2207</v>
      </c>
      <c r="G520" s="31" t="s">
        <v>2207</v>
      </c>
      <c r="H520" s="31" t="s">
        <v>2357</v>
      </c>
      <c r="I520" s="28" t="str">
        <f>VLOOKUP(E520,표준용어사전!$C$2:$D$494, 2, FALSE)</f>
        <v>코드C4</v>
      </c>
      <c r="J520" s="28" t="s">
        <v>709</v>
      </c>
      <c r="K520" s="29">
        <v>4</v>
      </c>
      <c r="L520" s="55" t="s">
        <v>571</v>
      </c>
      <c r="M520" s="29" t="s">
        <v>929</v>
      </c>
      <c r="N520" s="10" t="s">
        <v>973</v>
      </c>
      <c r="O520" s="9" t="s">
        <v>2679</v>
      </c>
      <c r="P520" s="9" t="s">
        <v>76</v>
      </c>
      <c r="Q520" s="28"/>
      <c r="R520" s="29"/>
      <c r="S520" s="9"/>
      <c r="T520" s="9"/>
      <c r="U520" s="9" t="s">
        <v>75</v>
      </c>
      <c r="V520" s="9" t="s">
        <v>75</v>
      </c>
      <c r="W520" s="9"/>
    </row>
    <row r="521" spans="1:23" s="12" customFormat="1">
      <c r="A521" s="46" t="s">
        <v>711</v>
      </c>
      <c r="B521" s="28" t="s">
        <v>1333</v>
      </c>
      <c r="C521" s="28" t="s">
        <v>2330</v>
      </c>
      <c r="D521" s="9" t="s">
        <v>2450</v>
      </c>
      <c r="E521" s="28" t="s">
        <v>2511</v>
      </c>
      <c r="F521" s="31" t="s">
        <v>580</v>
      </c>
      <c r="G521" s="31" t="s">
        <v>580</v>
      </c>
      <c r="H521" s="31" t="s">
        <v>2357</v>
      </c>
      <c r="I521" s="28" t="str">
        <f>VLOOKUP(E521,표준용어사전!$C$2:$D$494, 2, FALSE)</f>
        <v>명V20</v>
      </c>
      <c r="J521" s="28" t="s">
        <v>718</v>
      </c>
      <c r="K521" s="29" t="s">
        <v>986</v>
      </c>
      <c r="L521" s="55" t="s">
        <v>571</v>
      </c>
      <c r="M521" s="29" t="s">
        <v>727</v>
      </c>
      <c r="N521" s="10" t="s">
        <v>973</v>
      </c>
      <c r="O521" s="9" t="s">
        <v>2686</v>
      </c>
      <c r="P521" s="9" t="s">
        <v>76</v>
      </c>
      <c r="Q521" s="28"/>
      <c r="R521" s="29"/>
      <c r="S521" s="9"/>
      <c r="T521" s="9"/>
      <c r="U521" s="9" t="s">
        <v>75</v>
      </c>
      <c r="V521" s="9" t="s">
        <v>75</v>
      </c>
      <c r="W521" s="9"/>
    </row>
    <row r="522" spans="1:23" s="12" customFormat="1">
      <c r="A522" s="46" t="s">
        <v>711</v>
      </c>
      <c r="B522" s="28" t="s">
        <v>1333</v>
      </c>
      <c r="C522" s="28" t="s">
        <v>2330</v>
      </c>
      <c r="D522" s="28" t="s">
        <v>2450</v>
      </c>
      <c r="E522" s="28" t="s">
        <v>2200</v>
      </c>
      <c r="F522" s="31" t="s">
        <v>1341</v>
      </c>
      <c r="G522" s="31" t="s">
        <v>1341</v>
      </c>
      <c r="H522" s="31" t="s">
        <v>2357</v>
      </c>
      <c r="I522" s="28" t="str">
        <f>VLOOKUP(E522,표준용어사전!$C$2:$D$494, 2, FALSE)</f>
        <v>수N10,3</v>
      </c>
      <c r="J522" s="28" t="s">
        <v>748</v>
      </c>
      <c r="K522" s="29" t="s">
        <v>1061</v>
      </c>
      <c r="L522" s="55" t="s">
        <v>980</v>
      </c>
      <c r="M522" s="29" t="s">
        <v>2593</v>
      </c>
      <c r="N522" s="29" t="s">
        <v>75</v>
      </c>
      <c r="O522" s="28"/>
      <c r="P522" s="28" t="s">
        <v>76</v>
      </c>
      <c r="Q522" s="28"/>
      <c r="R522" s="29"/>
      <c r="S522" s="28"/>
      <c r="T522" s="28"/>
      <c r="U522" s="28" t="s">
        <v>75</v>
      </c>
      <c r="V522" s="28" t="s">
        <v>75</v>
      </c>
      <c r="W522" s="28"/>
    </row>
    <row r="523" spans="1:23" s="12" customFormat="1">
      <c r="A523" s="46" t="s">
        <v>711</v>
      </c>
      <c r="B523" s="28" t="s">
        <v>1333</v>
      </c>
      <c r="C523" s="28" t="s">
        <v>2330</v>
      </c>
      <c r="D523" s="9" t="s">
        <v>2450</v>
      </c>
      <c r="E523" s="28" t="s">
        <v>90</v>
      </c>
      <c r="F523" s="31" t="s">
        <v>14</v>
      </c>
      <c r="G523" s="31" t="s">
        <v>14</v>
      </c>
      <c r="H523" s="31" t="s">
        <v>2357</v>
      </c>
      <c r="I523" s="28" t="str">
        <f>VLOOKUP(E523,표준용어사전!$C$2:$D$494, 2, FALSE)</f>
        <v>연월일시분초TS</v>
      </c>
      <c r="J523" s="28" t="s">
        <v>719</v>
      </c>
      <c r="K523" s="29" t="s">
        <v>571</v>
      </c>
      <c r="L523" s="55" t="s">
        <v>571</v>
      </c>
      <c r="M523" s="29" t="s">
        <v>726</v>
      </c>
      <c r="N523" s="29" t="s">
        <v>973</v>
      </c>
      <c r="O523" s="9"/>
      <c r="P523" s="9" t="s">
        <v>76</v>
      </c>
      <c r="Q523" s="28"/>
      <c r="R523" s="29"/>
      <c r="S523" s="9"/>
      <c r="T523" s="9"/>
      <c r="U523" s="9" t="s">
        <v>75</v>
      </c>
      <c r="V523" s="9" t="s">
        <v>75</v>
      </c>
      <c r="W523" s="9"/>
    </row>
    <row r="524" spans="1:23" s="12" customFormat="1">
      <c r="A524" s="46" t="s">
        <v>711</v>
      </c>
      <c r="B524" s="28" t="s">
        <v>1333</v>
      </c>
      <c r="C524" s="28" t="s">
        <v>2330</v>
      </c>
      <c r="D524" s="9" t="s">
        <v>2450</v>
      </c>
      <c r="E524" s="28" t="s">
        <v>91</v>
      </c>
      <c r="F524" s="31" t="s">
        <v>369</v>
      </c>
      <c r="G524" s="31" t="s">
        <v>369</v>
      </c>
      <c r="H524" s="31" t="s">
        <v>2357</v>
      </c>
      <c r="I524" s="28" t="str">
        <f>VLOOKUP(E524,표준용어사전!$C$2:$D$494, 2, FALSE)</f>
        <v>명V20</v>
      </c>
      <c r="J524" s="28" t="s">
        <v>718</v>
      </c>
      <c r="K524" s="29" t="s">
        <v>986</v>
      </c>
      <c r="L524" s="55" t="s">
        <v>571</v>
      </c>
      <c r="M524" s="29" t="s">
        <v>727</v>
      </c>
      <c r="N524" s="10" t="s">
        <v>75</v>
      </c>
      <c r="O524" s="9"/>
      <c r="P524" s="9" t="s">
        <v>76</v>
      </c>
      <c r="Q524" s="28"/>
      <c r="R524" s="29"/>
      <c r="S524" s="9"/>
      <c r="T524" s="9"/>
      <c r="U524" s="9" t="s">
        <v>75</v>
      </c>
      <c r="V524" s="9" t="s">
        <v>75</v>
      </c>
      <c r="W524" s="9"/>
    </row>
    <row r="525" spans="1:23" s="12" customFormat="1">
      <c r="A525" s="46" t="s">
        <v>711</v>
      </c>
      <c r="B525" s="28" t="s">
        <v>1333</v>
      </c>
      <c r="C525" s="28" t="s">
        <v>2330</v>
      </c>
      <c r="D525" s="9" t="s">
        <v>2450</v>
      </c>
      <c r="E525" s="28" t="s">
        <v>92</v>
      </c>
      <c r="F525" s="31" t="s">
        <v>15</v>
      </c>
      <c r="G525" s="31" t="s">
        <v>15</v>
      </c>
      <c r="H525" s="31" t="s">
        <v>2357</v>
      </c>
      <c r="I525" s="28" t="str">
        <f>VLOOKUP(E525,표준용어사전!$C$2:$D$494, 2, FALSE)</f>
        <v>연월일시분초TS</v>
      </c>
      <c r="J525" s="28" t="s">
        <v>719</v>
      </c>
      <c r="K525" s="29" t="s">
        <v>571</v>
      </c>
      <c r="L525" s="55" t="s">
        <v>571</v>
      </c>
      <c r="M525" s="29" t="s">
        <v>726</v>
      </c>
      <c r="N525" s="10" t="s">
        <v>75</v>
      </c>
      <c r="O525" s="9"/>
      <c r="P525" s="9" t="s">
        <v>76</v>
      </c>
      <c r="Q525" s="28"/>
      <c r="R525" s="29"/>
      <c r="S525" s="9"/>
      <c r="T525" s="9"/>
      <c r="U525" s="9" t="s">
        <v>75</v>
      </c>
      <c r="V525" s="9" t="s">
        <v>75</v>
      </c>
      <c r="W525" s="9"/>
    </row>
    <row r="526" spans="1:23" s="12" customFormat="1">
      <c r="A526" s="46" t="s">
        <v>711</v>
      </c>
      <c r="B526" s="28" t="s">
        <v>1333</v>
      </c>
      <c r="C526" s="28" t="s">
        <v>2330</v>
      </c>
      <c r="D526" s="9" t="s">
        <v>2450</v>
      </c>
      <c r="E526" s="28" t="s">
        <v>93</v>
      </c>
      <c r="F526" s="31" t="s">
        <v>370</v>
      </c>
      <c r="G526" s="31" t="s">
        <v>370</v>
      </c>
      <c r="H526" s="31" t="s">
        <v>2357</v>
      </c>
      <c r="I526" s="28" t="str">
        <f>VLOOKUP(E526,표준용어사전!$C$2:$D$494, 2, FALSE)</f>
        <v>명V20</v>
      </c>
      <c r="J526" s="28" t="s">
        <v>718</v>
      </c>
      <c r="K526" s="29" t="s">
        <v>986</v>
      </c>
      <c r="L526" s="55" t="s">
        <v>571</v>
      </c>
      <c r="M526" s="29" t="s">
        <v>727</v>
      </c>
      <c r="N526" s="29" t="s">
        <v>75</v>
      </c>
      <c r="O526" s="9"/>
      <c r="P526" s="9" t="s">
        <v>76</v>
      </c>
      <c r="Q526" s="28"/>
      <c r="R526" s="29"/>
      <c r="S526" s="9"/>
      <c r="T526" s="9"/>
      <c r="U526" s="9" t="s">
        <v>75</v>
      </c>
      <c r="V526" s="9" t="s">
        <v>75</v>
      </c>
      <c r="W526" s="9"/>
    </row>
    <row r="527" spans="1:23" s="12" customFormat="1">
      <c r="A527" s="46" t="s">
        <v>711</v>
      </c>
      <c r="B527" s="28" t="s">
        <v>1333</v>
      </c>
      <c r="C527" s="28" t="s">
        <v>2330</v>
      </c>
      <c r="D527" s="9" t="s">
        <v>2451</v>
      </c>
      <c r="E527" s="28" t="s">
        <v>2276</v>
      </c>
      <c r="F527" s="31" t="s">
        <v>1850</v>
      </c>
      <c r="G527" s="31" t="s">
        <v>1850</v>
      </c>
      <c r="H527" s="31" t="s">
        <v>2358</v>
      </c>
      <c r="I527" s="28" t="str">
        <f>VLOOKUP(E527,표준용어사전!$C$2:$D$494, 2, FALSE)</f>
        <v>번호V50</v>
      </c>
      <c r="J527" s="28" t="s">
        <v>718</v>
      </c>
      <c r="K527" s="29">
        <v>50</v>
      </c>
      <c r="L527" s="55" t="s">
        <v>571</v>
      </c>
      <c r="M527" s="29" t="s">
        <v>720</v>
      </c>
      <c r="N527" s="10" t="s">
        <v>973</v>
      </c>
      <c r="O527" s="9" t="s">
        <v>73</v>
      </c>
      <c r="P527" s="9" t="s">
        <v>76</v>
      </c>
      <c r="Q527" s="28"/>
      <c r="R527" s="29"/>
      <c r="S527" s="9"/>
      <c r="T527" s="9"/>
      <c r="U527" s="9" t="s">
        <v>75</v>
      </c>
      <c r="V527" s="9" t="s">
        <v>75</v>
      </c>
      <c r="W527" s="9"/>
    </row>
    <row r="528" spans="1:23" s="12" customFormat="1">
      <c r="A528" s="46" t="s">
        <v>711</v>
      </c>
      <c r="B528" s="28" t="s">
        <v>1333</v>
      </c>
      <c r="C528" s="28" t="s">
        <v>2330</v>
      </c>
      <c r="D528" s="9" t="s">
        <v>2451</v>
      </c>
      <c r="E528" s="28" t="s">
        <v>89</v>
      </c>
      <c r="F528" s="31" t="s">
        <v>501</v>
      </c>
      <c r="G528" s="31" t="s">
        <v>501</v>
      </c>
      <c r="H528" s="31" t="s">
        <v>2358</v>
      </c>
      <c r="I528" s="28" t="str">
        <f>VLOOKUP(E528,표준용어사전!$C$2:$D$494, 2, FALSE)</f>
        <v>명V20</v>
      </c>
      <c r="J528" s="28" t="s">
        <v>718</v>
      </c>
      <c r="K528" s="29" t="s">
        <v>986</v>
      </c>
      <c r="L528" s="55" t="s">
        <v>571</v>
      </c>
      <c r="M528" s="29" t="s">
        <v>727</v>
      </c>
      <c r="N528" s="10" t="s">
        <v>973</v>
      </c>
      <c r="O528" s="9" t="s">
        <v>74</v>
      </c>
      <c r="P528" s="9" t="s">
        <v>76</v>
      </c>
      <c r="Q528" s="28"/>
      <c r="R528" s="29"/>
      <c r="S528" s="9"/>
      <c r="T528" s="9"/>
      <c r="U528" s="9" t="s">
        <v>75</v>
      </c>
      <c r="V528" s="9" t="s">
        <v>75</v>
      </c>
      <c r="W528" s="9"/>
    </row>
    <row r="529" spans="1:23" s="12" customFormat="1">
      <c r="A529" s="46" t="s">
        <v>711</v>
      </c>
      <c r="B529" s="28" t="s">
        <v>1333</v>
      </c>
      <c r="C529" s="28" t="s">
        <v>2330</v>
      </c>
      <c r="D529" s="9" t="s">
        <v>2451</v>
      </c>
      <c r="E529" s="28" t="s">
        <v>2005</v>
      </c>
      <c r="F529" s="31" t="s">
        <v>466</v>
      </c>
      <c r="G529" s="31" t="s">
        <v>466</v>
      </c>
      <c r="H529" s="31" t="s">
        <v>2358</v>
      </c>
      <c r="I529" s="28" t="str">
        <f>VLOOKUP(E529,표준용어사전!$C$2:$D$494, 2, FALSE)</f>
        <v>명V20</v>
      </c>
      <c r="J529" s="28" t="s">
        <v>718</v>
      </c>
      <c r="K529" s="29" t="s">
        <v>986</v>
      </c>
      <c r="L529" s="55" t="s">
        <v>571</v>
      </c>
      <c r="M529" s="29" t="s">
        <v>727</v>
      </c>
      <c r="N529" s="10" t="s">
        <v>973</v>
      </c>
      <c r="O529" s="9" t="s">
        <v>624</v>
      </c>
      <c r="P529" s="9" t="s">
        <v>76</v>
      </c>
      <c r="Q529" s="28"/>
      <c r="R529" s="29"/>
      <c r="S529" s="9"/>
      <c r="T529" s="9"/>
      <c r="U529" s="9" t="s">
        <v>75</v>
      </c>
      <c r="V529" s="9" t="s">
        <v>75</v>
      </c>
      <c r="W529" s="9"/>
    </row>
    <row r="530" spans="1:23" s="12" customFormat="1">
      <c r="A530" s="46" t="s">
        <v>711</v>
      </c>
      <c r="B530" s="28" t="s">
        <v>1333</v>
      </c>
      <c r="C530" s="28" t="s">
        <v>2330</v>
      </c>
      <c r="D530" s="9" t="s">
        <v>2451</v>
      </c>
      <c r="E530" s="28" t="s">
        <v>90</v>
      </c>
      <c r="F530" s="31" t="s">
        <v>14</v>
      </c>
      <c r="G530" s="31" t="s">
        <v>14</v>
      </c>
      <c r="H530" s="31" t="s">
        <v>2358</v>
      </c>
      <c r="I530" s="28" t="str">
        <f>VLOOKUP(E530,표준용어사전!$C$2:$D$494, 2, FALSE)</f>
        <v>연월일시분초TS</v>
      </c>
      <c r="J530" s="28" t="s">
        <v>719</v>
      </c>
      <c r="K530" s="29" t="s">
        <v>571</v>
      </c>
      <c r="L530" s="55" t="s">
        <v>571</v>
      </c>
      <c r="M530" s="29" t="s">
        <v>726</v>
      </c>
      <c r="N530" s="10" t="s">
        <v>973</v>
      </c>
      <c r="O530" s="9"/>
      <c r="P530" s="9" t="s">
        <v>76</v>
      </c>
      <c r="Q530" s="28"/>
      <c r="R530" s="29"/>
      <c r="S530" s="9"/>
      <c r="T530" s="9"/>
      <c r="U530" s="9" t="s">
        <v>75</v>
      </c>
      <c r="V530" s="9" t="s">
        <v>75</v>
      </c>
      <c r="W530" s="9"/>
    </row>
    <row r="531" spans="1:23" s="12" customFormat="1">
      <c r="A531" s="46" t="s">
        <v>711</v>
      </c>
      <c r="B531" s="28" t="s">
        <v>1333</v>
      </c>
      <c r="C531" s="28" t="s">
        <v>2330</v>
      </c>
      <c r="D531" s="9" t="s">
        <v>2451</v>
      </c>
      <c r="E531" s="28" t="s">
        <v>91</v>
      </c>
      <c r="F531" s="31" t="s">
        <v>369</v>
      </c>
      <c r="G531" s="31" t="s">
        <v>369</v>
      </c>
      <c r="H531" s="31" t="s">
        <v>2358</v>
      </c>
      <c r="I531" s="28" t="str">
        <f>VLOOKUP(E531,표준용어사전!$C$2:$D$494, 2, FALSE)</f>
        <v>명V20</v>
      </c>
      <c r="J531" s="28" t="s">
        <v>718</v>
      </c>
      <c r="K531" s="29" t="s">
        <v>986</v>
      </c>
      <c r="L531" s="55" t="s">
        <v>571</v>
      </c>
      <c r="M531" s="29" t="s">
        <v>727</v>
      </c>
      <c r="N531" s="29" t="s">
        <v>75</v>
      </c>
      <c r="O531" s="9"/>
      <c r="P531" s="9" t="s">
        <v>76</v>
      </c>
      <c r="Q531" s="28"/>
      <c r="R531" s="29"/>
      <c r="S531" s="9"/>
      <c r="T531" s="9"/>
      <c r="U531" s="9" t="s">
        <v>75</v>
      </c>
      <c r="V531" s="9" t="s">
        <v>75</v>
      </c>
      <c r="W531" s="9"/>
    </row>
    <row r="532" spans="1:23" s="12" customFormat="1">
      <c r="A532" s="46" t="s">
        <v>711</v>
      </c>
      <c r="B532" s="28" t="s">
        <v>1333</v>
      </c>
      <c r="C532" s="28" t="s">
        <v>2330</v>
      </c>
      <c r="D532" s="9" t="s">
        <v>2451</v>
      </c>
      <c r="E532" s="28" t="s">
        <v>92</v>
      </c>
      <c r="F532" s="31" t="s">
        <v>15</v>
      </c>
      <c r="G532" s="31" t="s">
        <v>15</v>
      </c>
      <c r="H532" s="31" t="s">
        <v>2358</v>
      </c>
      <c r="I532" s="28" t="str">
        <f>VLOOKUP(E532,표준용어사전!$C$2:$D$494, 2, FALSE)</f>
        <v>연월일시분초TS</v>
      </c>
      <c r="J532" s="28" t="s">
        <v>719</v>
      </c>
      <c r="K532" s="29" t="s">
        <v>571</v>
      </c>
      <c r="L532" s="55" t="s">
        <v>571</v>
      </c>
      <c r="M532" s="29" t="s">
        <v>726</v>
      </c>
      <c r="N532" s="10" t="s">
        <v>75</v>
      </c>
      <c r="O532" s="9"/>
      <c r="P532" s="9" t="s">
        <v>76</v>
      </c>
      <c r="Q532" s="28"/>
      <c r="R532" s="29"/>
      <c r="S532" s="9"/>
      <c r="T532" s="9"/>
      <c r="U532" s="9" t="s">
        <v>75</v>
      </c>
      <c r="V532" s="9" t="s">
        <v>75</v>
      </c>
      <c r="W532" s="9"/>
    </row>
    <row r="533" spans="1:23" s="12" customFormat="1">
      <c r="A533" s="46" t="s">
        <v>711</v>
      </c>
      <c r="B533" s="28" t="s">
        <v>1333</v>
      </c>
      <c r="C533" s="28" t="s">
        <v>2330</v>
      </c>
      <c r="D533" s="9" t="s">
        <v>2451</v>
      </c>
      <c r="E533" s="28" t="s">
        <v>93</v>
      </c>
      <c r="F533" s="31" t="s">
        <v>370</v>
      </c>
      <c r="G533" s="31" t="s">
        <v>370</v>
      </c>
      <c r="H533" s="31" t="s">
        <v>2358</v>
      </c>
      <c r="I533" s="28" t="str">
        <f>VLOOKUP(E533,표준용어사전!$C$2:$D$494, 2, FALSE)</f>
        <v>명V20</v>
      </c>
      <c r="J533" s="28" t="s">
        <v>718</v>
      </c>
      <c r="K533" s="29" t="s">
        <v>986</v>
      </c>
      <c r="L533" s="55" t="s">
        <v>571</v>
      </c>
      <c r="M533" s="29" t="s">
        <v>727</v>
      </c>
      <c r="N533" s="10" t="s">
        <v>75</v>
      </c>
      <c r="O533" s="9"/>
      <c r="P533" s="9" t="s">
        <v>76</v>
      </c>
      <c r="Q533" s="28"/>
      <c r="R533" s="29"/>
      <c r="S533" s="9"/>
      <c r="T533" s="9"/>
      <c r="U533" s="9" t="s">
        <v>75</v>
      </c>
      <c r="V533" s="9" t="s">
        <v>75</v>
      </c>
      <c r="W533" s="9"/>
    </row>
    <row r="534" spans="1:23" s="12" customFormat="1">
      <c r="A534" s="46" t="s">
        <v>711</v>
      </c>
      <c r="B534" s="28" t="s">
        <v>1333</v>
      </c>
      <c r="C534" s="28" t="s">
        <v>2330</v>
      </c>
      <c r="D534" s="9" t="s">
        <v>2452</v>
      </c>
      <c r="E534" s="28" t="s">
        <v>2276</v>
      </c>
      <c r="F534" s="31" t="s">
        <v>1850</v>
      </c>
      <c r="G534" s="31" t="s">
        <v>1850</v>
      </c>
      <c r="H534" s="31" t="s">
        <v>2359</v>
      </c>
      <c r="I534" s="28" t="str">
        <f>VLOOKUP(E534,표준용어사전!$C$2:$D$494, 2, FALSE)</f>
        <v>번호V50</v>
      </c>
      <c r="J534" s="28" t="s">
        <v>718</v>
      </c>
      <c r="K534" s="29">
        <v>50</v>
      </c>
      <c r="L534" s="55" t="s">
        <v>571</v>
      </c>
      <c r="M534" s="29" t="s">
        <v>720</v>
      </c>
      <c r="N534" s="10" t="s">
        <v>973</v>
      </c>
      <c r="O534" s="9" t="s">
        <v>73</v>
      </c>
      <c r="P534" s="9" t="s">
        <v>76</v>
      </c>
      <c r="Q534" s="28"/>
      <c r="R534" s="29"/>
      <c r="S534" s="9"/>
      <c r="T534" s="9"/>
      <c r="U534" s="9" t="s">
        <v>75</v>
      </c>
      <c r="V534" s="9" t="s">
        <v>75</v>
      </c>
      <c r="W534" s="9"/>
    </row>
    <row r="535" spans="1:23" s="12" customFormat="1">
      <c r="A535" s="46" t="s">
        <v>711</v>
      </c>
      <c r="B535" s="28" t="s">
        <v>1333</v>
      </c>
      <c r="C535" s="28" t="s">
        <v>2330</v>
      </c>
      <c r="D535" s="9" t="s">
        <v>2452</v>
      </c>
      <c r="E535" s="28" t="s">
        <v>2275</v>
      </c>
      <c r="F535" s="31" t="s">
        <v>1856</v>
      </c>
      <c r="G535" s="31" t="s">
        <v>1856</v>
      </c>
      <c r="H535" s="31" t="s">
        <v>2359</v>
      </c>
      <c r="I535" s="28" t="str">
        <f>VLOOKUP(E535,표준용어사전!$C$2:$D$494, 2, FALSE)</f>
        <v>번호V50</v>
      </c>
      <c r="J535" s="28" t="s">
        <v>718</v>
      </c>
      <c r="K535" s="29">
        <v>50</v>
      </c>
      <c r="L535" s="55" t="s">
        <v>571</v>
      </c>
      <c r="M535" s="29" t="s">
        <v>720</v>
      </c>
      <c r="N535" s="10" t="s">
        <v>75</v>
      </c>
      <c r="O535" s="9"/>
      <c r="P535" s="9" t="s">
        <v>76</v>
      </c>
      <c r="Q535" s="28"/>
      <c r="R535" s="29"/>
      <c r="S535" s="9"/>
      <c r="T535" s="9"/>
      <c r="U535" s="9" t="s">
        <v>75</v>
      </c>
      <c r="V535" s="9" t="s">
        <v>75</v>
      </c>
      <c r="W535" s="9"/>
    </row>
    <row r="536" spans="1:23" s="12" customFormat="1">
      <c r="A536" s="46" t="s">
        <v>711</v>
      </c>
      <c r="B536" s="28" t="s">
        <v>1333</v>
      </c>
      <c r="C536" s="28" t="s">
        <v>2330</v>
      </c>
      <c r="D536" s="9" t="s">
        <v>2452</v>
      </c>
      <c r="E536" s="28" t="s">
        <v>2277</v>
      </c>
      <c r="F536" s="31" t="s">
        <v>1859</v>
      </c>
      <c r="G536" s="31" t="s">
        <v>1859</v>
      </c>
      <c r="H536" s="31" t="s">
        <v>2359</v>
      </c>
      <c r="I536" s="28" t="str">
        <f>VLOOKUP(E536,표준용어사전!$C$2:$D$494, 2, FALSE)</f>
        <v>번호V50</v>
      </c>
      <c r="J536" s="28" t="s">
        <v>718</v>
      </c>
      <c r="K536" s="29">
        <v>50</v>
      </c>
      <c r="L536" s="55" t="s">
        <v>571</v>
      </c>
      <c r="M536" s="29" t="s">
        <v>720</v>
      </c>
      <c r="N536" s="10" t="s">
        <v>75</v>
      </c>
      <c r="O536" s="9"/>
      <c r="P536" s="9" t="s">
        <v>76</v>
      </c>
      <c r="Q536" s="28"/>
      <c r="R536" s="29"/>
      <c r="S536" s="9"/>
      <c r="T536" s="9"/>
      <c r="U536" s="9" t="s">
        <v>75</v>
      </c>
      <c r="V536" s="9" t="s">
        <v>75</v>
      </c>
      <c r="W536" s="9"/>
    </row>
    <row r="537" spans="1:23" s="12" customFormat="1">
      <c r="A537" s="46" t="s">
        <v>711</v>
      </c>
      <c r="B537" s="28" t="s">
        <v>1333</v>
      </c>
      <c r="C537" s="28" t="s">
        <v>2330</v>
      </c>
      <c r="D537" s="9" t="s">
        <v>2452</v>
      </c>
      <c r="E537" s="28" t="s">
        <v>2005</v>
      </c>
      <c r="F537" s="31" t="s">
        <v>466</v>
      </c>
      <c r="G537" s="31" t="s">
        <v>466</v>
      </c>
      <c r="H537" s="31" t="s">
        <v>2359</v>
      </c>
      <c r="I537" s="28" t="str">
        <f>VLOOKUP(E537,표준용어사전!$C$2:$D$494, 2, FALSE)</f>
        <v>명V20</v>
      </c>
      <c r="J537" s="28" t="s">
        <v>718</v>
      </c>
      <c r="K537" s="29" t="s">
        <v>986</v>
      </c>
      <c r="L537" s="55" t="s">
        <v>571</v>
      </c>
      <c r="M537" s="29" t="s">
        <v>727</v>
      </c>
      <c r="N537" s="10" t="s">
        <v>973</v>
      </c>
      <c r="O537" s="9" t="s">
        <v>74</v>
      </c>
      <c r="P537" s="9" t="s">
        <v>76</v>
      </c>
      <c r="Q537" s="28"/>
      <c r="R537" s="29"/>
      <c r="S537" s="9"/>
      <c r="T537" s="9"/>
      <c r="U537" s="9" t="s">
        <v>75</v>
      </c>
      <c r="V537" s="9" t="s">
        <v>75</v>
      </c>
      <c r="W537" s="9"/>
    </row>
    <row r="538" spans="1:23" s="12" customFormat="1">
      <c r="A538" s="46" t="s">
        <v>711</v>
      </c>
      <c r="B538" s="28" t="s">
        <v>1333</v>
      </c>
      <c r="C538" s="28" t="s">
        <v>2330</v>
      </c>
      <c r="D538" s="9" t="s">
        <v>2452</v>
      </c>
      <c r="E538" s="28" t="s">
        <v>2289</v>
      </c>
      <c r="F538" s="31" t="s">
        <v>2423</v>
      </c>
      <c r="G538" s="31" t="s">
        <v>2423</v>
      </c>
      <c r="H538" s="31" t="s">
        <v>2359</v>
      </c>
      <c r="I538" s="28" t="str">
        <f>VLOOKUP(E538,표준용어사전!$C$2:$D$494, 2, FALSE)</f>
        <v>코드C1</v>
      </c>
      <c r="J538" s="28" t="s">
        <v>709</v>
      </c>
      <c r="K538" s="29">
        <v>1</v>
      </c>
      <c r="L538" s="55" t="s">
        <v>571</v>
      </c>
      <c r="M538" s="29" t="s">
        <v>722</v>
      </c>
      <c r="N538" s="10" t="s">
        <v>75</v>
      </c>
      <c r="O538" s="9"/>
      <c r="P538" s="9" t="s">
        <v>76</v>
      </c>
      <c r="Q538" s="28"/>
      <c r="R538" s="29"/>
      <c r="S538" s="9"/>
      <c r="T538" s="9"/>
      <c r="U538" s="9" t="s">
        <v>75</v>
      </c>
      <c r="V538" s="9" t="s">
        <v>75</v>
      </c>
      <c r="W538" s="9"/>
    </row>
    <row r="539" spans="1:23" s="12" customFormat="1">
      <c r="A539" s="46" t="s">
        <v>711</v>
      </c>
      <c r="B539" s="28" t="s">
        <v>1333</v>
      </c>
      <c r="C539" s="28" t="s">
        <v>2330</v>
      </c>
      <c r="D539" s="9" t="s">
        <v>2452</v>
      </c>
      <c r="E539" s="28" t="s">
        <v>2006</v>
      </c>
      <c r="F539" s="31" t="s">
        <v>467</v>
      </c>
      <c r="G539" s="31" t="s">
        <v>467</v>
      </c>
      <c r="H539" s="31" t="s">
        <v>2359</v>
      </c>
      <c r="I539" s="28" t="str">
        <f>VLOOKUP(E539,표준용어사전!$C$2:$D$494, 2, FALSE)</f>
        <v>명TXT</v>
      </c>
      <c r="J539" s="28" t="s">
        <v>713</v>
      </c>
      <c r="K539" s="29" t="s">
        <v>571</v>
      </c>
      <c r="L539" s="55" t="s">
        <v>571</v>
      </c>
      <c r="M539" s="29" t="s">
        <v>2590</v>
      </c>
      <c r="N539" s="10" t="s">
        <v>75</v>
      </c>
      <c r="O539" s="9"/>
      <c r="P539" s="9" t="s">
        <v>76</v>
      </c>
      <c r="Q539" s="28"/>
      <c r="R539" s="29"/>
      <c r="S539" s="9"/>
      <c r="T539" s="9"/>
      <c r="U539" s="9" t="s">
        <v>75</v>
      </c>
      <c r="V539" s="9" t="s">
        <v>75</v>
      </c>
      <c r="W539" s="9"/>
    </row>
    <row r="540" spans="1:23" s="12" customFormat="1">
      <c r="A540" s="46" t="s">
        <v>711</v>
      </c>
      <c r="B540" s="28" t="s">
        <v>1333</v>
      </c>
      <c r="C540" s="28" t="s">
        <v>2330</v>
      </c>
      <c r="D540" s="9" t="s">
        <v>2452</v>
      </c>
      <c r="E540" s="28" t="s">
        <v>2529</v>
      </c>
      <c r="F540" s="31" t="s">
        <v>468</v>
      </c>
      <c r="G540" s="31" t="s">
        <v>468</v>
      </c>
      <c r="H540" s="31" t="s">
        <v>2359</v>
      </c>
      <c r="I540" s="28" t="str">
        <f>VLOOKUP(E540,표준용어사전!$C$2:$D$494, 2, FALSE)</f>
        <v>내용TXT</v>
      </c>
      <c r="J540" s="28" t="s">
        <v>713</v>
      </c>
      <c r="K540" s="29" t="s">
        <v>571</v>
      </c>
      <c r="L540" s="55" t="s">
        <v>571</v>
      </c>
      <c r="M540" s="29" t="s">
        <v>2590</v>
      </c>
      <c r="N540" s="10" t="s">
        <v>75</v>
      </c>
      <c r="O540" s="9"/>
      <c r="P540" s="9" t="s">
        <v>76</v>
      </c>
      <c r="Q540" s="28"/>
      <c r="R540" s="29"/>
      <c r="S540" s="9"/>
      <c r="T540" s="9"/>
      <c r="U540" s="9" t="s">
        <v>75</v>
      </c>
      <c r="V540" s="9" t="s">
        <v>75</v>
      </c>
      <c r="W540" s="9"/>
    </row>
    <row r="541" spans="1:23" s="12" customFormat="1">
      <c r="A541" s="46" t="s">
        <v>711</v>
      </c>
      <c r="B541" s="28" t="s">
        <v>1333</v>
      </c>
      <c r="C541" s="28" t="s">
        <v>2330</v>
      </c>
      <c r="D541" s="9" t="s">
        <v>2452</v>
      </c>
      <c r="E541" s="28" t="s">
        <v>2007</v>
      </c>
      <c r="F541" s="31" t="s">
        <v>469</v>
      </c>
      <c r="G541" s="31" t="s">
        <v>469</v>
      </c>
      <c r="H541" s="31" t="s">
        <v>2359</v>
      </c>
      <c r="I541" s="28" t="str">
        <f>VLOOKUP(E541,표준용어사전!$C$2:$D$494, 2, FALSE)</f>
        <v>내용TXT</v>
      </c>
      <c r="J541" s="28" t="s">
        <v>713</v>
      </c>
      <c r="K541" s="29" t="s">
        <v>571</v>
      </c>
      <c r="L541" s="55" t="s">
        <v>571</v>
      </c>
      <c r="M541" s="29" t="s">
        <v>2590</v>
      </c>
      <c r="N541" s="10" t="s">
        <v>75</v>
      </c>
      <c r="O541" s="9"/>
      <c r="P541" s="9" t="s">
        <v>76</v>
      </c>
      <c r="Q541" s="28"/>
      <c r="R541" s="29"/>
      <c r="S541" s="9"/>
      <c r="T541" s="9"/>
      <c r="U541" s="9" t="s">
        <v>75</v>
      </c>
      <c r="V541" s="9" t="s">
        <v>75</v>
      </c>
      <c r="W541" s="9"/>
    </row>
    <row r="542" spans="1:23" s="12" customFormat="1">
      <c r="A542" s="46" t="s">
        <v>711</v>
      </c>
      <c r="B542" s="28" t="s">
        <v>1333</v>
      </c>
      <c r="C542" s="28" t="s">
        <v>2330</v>
      </c>
      <c r="D542" s="9" t="s">
        <v>2452</v>
      </c>
      <c r="E542" s="28" t="s">
        <v>2008</v>
      </c>
      <c r="F542" s="31" t="s">
        <v>470</v>
      </c>
      <c r="G542" s="31" t="s">
        <v>470</v>
      </c>
      <c r="H542" s="31" t="s">
        <v>2359</v>
      </c>
      <c r="I542" s="28" t="str">
        <f>VLOOKUP(E542,표준용어사전!$C$2:$D$494, 2, FALSE)</f>
        <v>내용TXT</v>
      </c>
      <c r="J542" s="28" t="s">
        <v>713</v>
      </c>
      <c r="K542" s="29" t="s">
        <v>571</v>
      </c>
      <c r="L542" s="55" t="s">
        <v>571</v>
      </c>
      <c r="M542" s="29" t="s">
        <v>2590</v>
      </c>
      <c r="N542" s="10" t="s">
        <v>75</v>
      </c>
      <c r="O542" s="9"/>
      <c r="P542" s="9" t="s">
        <v>76</v>
      </c>
      <c r="Q542" s="28"/>
      <c r="R542" s="29"/>
      <c r="S542" s="9"/>
      <c r="T542" s="9"/>
      <c r="U542" s="9" t="s">
        <v>75</v>
      </c>
      <c r="V542" s="9" t="s">
        <v>75</v>
      </c>
      <c r="W542" s="9"/>
    </row>
    <row r="543" spans="1:23" s="12" customFormat="1">
      <c r="A543" s="46" t="s">
        <v>711</v>
      </c>
      <c r="B543" s="28" t="s">
        <v>1333</v>
      </c>
      <c r="C543" s="28" t="s">
        <v>2330</v>
      </c>
      <c r="D543" s="9" t="s">
        <v>2452</v>
      </c>
      <c r="E543" s="28" t="s">
        <v>2278</v>
      </c>
      <c r="F543" s="31" t="s">
        <v>1864</v>
      </c>
      <c r="G543" s="31" t="s">
        <v>1864</v>
      </c>
      <c r="H543" s="31" t="s">
        <v>2359</v>
      </c>
      <c r="I543" s="28" t="str">
        <f>VLOOKUP(E543,표준용어사전!$C$2:$D$494, 2, FALSE)</f>
        <v>내용TXT</v>
      </c>
      <c r="J543" s="28" t="s">
        <v>713</v>
      </c>
      <c r="K543" s="29" t="s">
        <v>571</v>
      </c>
      <c r="L543" s="55" t="s">
        <v>571</v>
      </c>
      <c r="M543" s="29" t="s">
        <v>2590</v>
      </c>
      <c r="N543" s="10" t="s">
        <v>75</v>
      </c>
      <c r="O543" s="9"/>
      <c r="P543" s="9" t="s">
        <v>76</v>
      </c>
      <c r="Q543" s="28"/>
      <c r="R543" s="29"/>
      <c r="S543" s="9"/>
      <c r="T543" s="9"/>
      <c r="U543" s="9" t="s">
        <v>75</v>
      </c>
      <c r="V543" s="9" t="s">
        <v>75</v>
      </c>
      <c r="W543" s="9"/>
    </row>
    <row r="544" spans="1:23" s="12" customFormat="1">
      <c r="A544" s="46" t="s">
        <v>711</v>
      </c>
      <c r="B544" s="28" t="s">
        <v>1333</v>
      </c>
      <c r="C544" s="28" t="s">
        <v>2330</v>
      </c>
      <c r="D544" s="9" t="s">
        <v>2452</v>
      </c>
      <c r="E544" s="28" t="s">
        <v>2279</v>
      </c>
      <c r="F544" s="31" t="s">
        <v>1867</v>
      </c>
      <c r="G544" s="31" t="s">
        <v>1867</v>
      </c>
      <c r="H544" s="31" t="s">
        <v>2359</v>
      </c>
      <c r="I544" s="28" t="str">
        <f>VLOOKUP(E544,표준용어사전!$C$2:$D$494, 2, FALSE)</f>
        <v>연월일C8</v>
      </c>
      <c r="J544" s="28" t="s">
        <v>709</v>
      </c>
      <c r="K544" s="29">
        <v>8</v>
      </c>
      <c r="L544" s="55" t="s">
        <v>571</v>
      </c>
      <c r="M544" s="29" t="s">
        <v>731</v>
      </c>
      <c r="N544" s="29" t="s">
        <v>75</v>
      </c>
      <c r="O544" s="9"/>
      <c r="P544" s="9" t="s">
        <v>76</v>
      </c>
      <c r="Q544" s="28"/>
      <c r="R544" s="29"/>
      <c r="S544" s="9"/>
      <c r="T544" s="9"/>
      <c r="U544" s="9" t="s">
        <v>75</v>
      </c>
      <c r="V544" s="9" t="s">
        <v>75</v>
      </c>
      <c r="W544" s="9"/>
    </row>
    <row r="545" spans="1:23" s="12" customFormat="1">
      <c r="A545" s="46" t="s">
        <v>711</v>
      </c>
      <c r="B545" s="28" t="s">
        <v>1333</v>
      </c>
      <c r="C545" s="28" t="s">
        <v>2330</v>
      </c>
      <c r="D545" s="9" t="s">
        <v>2452</v>
      </c>
      <c r="E545" s="28" t="s">
        <v>2280</v>
      </c>
      <c r="F545" s="31" t="s">
        <v>1870</v>
      </c>
      <c r="G545" s="31" t="s">
        <v>1870</v>
      </c>
      <c r="H545" s="31" t="s">
        <v>2359</v>
      </c>
      <c r="I545" s="28" t="str">
        <f>VLOOKUP(E545,표준용어사전!$C$2:$D$494, 2, FALSE)</f>
        <v>연월일C8</v>
      </c>
      <c r="J545" s="28" t="s">
        <v>709</v>
      </c>
      <c r="K545" s="29">
        <v>8</v>
      </c>
      <c r="L545" s="55" t="s">
        <v>571</v>
      </c>
      <c r="M545" s="29" t="s">
        <v>731</v>
      </c>
      <c r="N545" s="10" t="s">
        <v>75</v>
      </c>
      <c r="O545" s="9"/>
      <c r="P545" s="9" t="s">
        <v>76</v>
      </c>
      <c r="Q545" s="28"/>
      <c r="R545" s="29"/>
      <c r="S545" s="9"/>
      <c r="T545" s="9"/>
      <c r="U545" s="9" t="s">
        <v>75</v>
      </c>
      <c r="V545" s="9" t="s">
        <v>75</v>
      </c>
      <c r="W545" s="9"/>
    </row>
    <row r="546" spans="1:23" s="12" customFormat="1">
      <c r="A546" s="46" t="s">
        <v>711</v>
      </c>
      <c r="B546" s="28" t="s">
        <v>1333</v>
      </c>
      <c r="C546" s="28" t="s">
        <v>2330</v>
      </c>
      <c r="D546" s="9" t="s">
        <v>2452</v>
      </c>
      <c r="E546" s="28" t="s">
        <v>2011</v>
      </c>
      <c r="F546" s="31" t="s">
        <v>474</v>
      </c>
      <c r="G546" s="31" t="s">
        <v>474</v>
      </c>
      <c r="H546" s="31" t="s">
        <v>2359</v>
      </c>
      <c r="I546" s="28" t="str">
        <f>VLOOKUP(E546,표준용어사전!$C$2:$D$494, 2, FALSE)</f>
        <v>연월일C8</v>
      </c>
      <c r="J546" s="28" t="s">
        <v>709</v>
      </c>
      <c r="K546" s="29">
        <v>8</v>
      </c>
      <c r="L546" s="55" t="s">
        <v>571</v>
      </c>
      <c r="M546" s="29" t="s">
        <v>731</v>
      </c>
      <c r="N546" s="10" t="s">
        <v>75</v>
      </c>
      <c r="O546" s="9"/>
      <c r="P546" s="9" t="s">
        <v>76</v>
      </c>
      <c r="Q546" s="28"/>
      <c r="R546" s="29"/>
      <c r="S546" s="9"/>
      <c r="T546" s="9"/>
      <c r="U546" s="9" t="s">
        <v>75</v>
      </c>
      <c r="V546" s="9" t="s">
        <v>75</v>
      </c>
      <c r="W546" s="9"/>
    </row>
    <row r="547" spans="1:23" s="12" customFormat="1">
      <c r="A547" s="46" t="s">
        <v>711</v>
      </c>
      <c r="B547" s="28" t="s">
        <v>1333</v>
      </c>
      <c r="C547" s="28" t="s">
        <v>2330</v>
      </c>
      <c r="D547" s="9" t="s">
        <v>2452</v>
      </c>
      <c r="E547" s="28" t="s">
        <v>2013</v>
      </c>
      <c r="F547" s="31" t="s">
        <v>2012</v>
      </c>
      <c r="G547" s="31" t="s">
        <v>2012</v>
      </c>
      <c r="H547" s="31" t="s">
        <v>2359</v>
      </c>
      <c r="I547" s="28" t="str">
        <f>VLOOKUP(E547,표준용어사전!$C$2:$D$494, 2, FALSE)</f>
        <v>주소V2000</v>
      </c>
      <c r="J547" s="28" t="s">
        <v>718</v>
      </c>
      <c r="K547" s="29">
        <v>2000</v>
      </c>
      <c r="L547" s="55" t="s">
        <v>571</v>
      </c>
      <c r="M547" s="29" t="s">
        <v>728</v>
      </c>
      <c r="N547" s="10" t="s">
        <v>75</v>
      </c>
      <c r="O547" s="9"/>
      <c r="P547" s="9" t="s">
        <v>76</v>
      </c>
      <c r="Q547" s="28"/>
      <c r="R547" s="29"/>
      <c r="S547" s="9"/>
      <c r="T547" s="9"/>
      <c r="U547" s="9" t="s">
        <v>75</v>
      </c>
      <c r="V547" s="9" t="s">
        <v>75</v>
      </c>
      <c r="W547" s="9"/>
    </row>
    <row r="548" spans="1:23" s="12" customFormat="1">
      <c r="A548" s="46" t="s">
        <v>711</v>
      </c>
      <c r="B548" s="28" t="s">
        <v>1333</v>
      </c>
      <c r="C548" s="28" t="s">
        <v>2330</v>
      </c>
      <c r="D548" s="9" t="s">
        <v>2452</v>
      </c>
      <c r="E548" s="28" t="s">
        <v>2282</v>
      </c>
      <c r="F548" s="31" t="s">
        <v>2281</v>
      </c>
      <c r="G548" s="31" t="s">
        <v>2281</v>
      </c>
      <c r="H548" s="31" t="s">
        <v>2359</v>
      </c>
      <c r="I548" s="28" t="str">
        <f>VLOOKUP(E548,표준용어사전!$C$2:$D$494, 2, FALSE)</f>
        <v>명V2000</v>
      </c>
      <c r="J548" s="28" t="s">
        <v>718</v>
      </c>
      <c r="K548" s="29" t="s">
        <v>1062</v>
      </c>
      <c r="L548" s="55" t="s">
        <v>571</v>
      </c>
      <c r="M548" s="29" t="s">
        <v>728</v>
      </c>
      <c r="N548" s="10" t="s">
        <v>75</v>
      </c>
      <c r="O548" s="9"/>
      <c r="P548" s="9" t="s">
        <v>76</v>
      </c>
      <c r="Q548" s="28"/>
      <c r="R548" s="29"/>
      <c r="S548" s="9"/>
      <c r="T548" s="9"/>
      <c r="U548" s="9" t="s">
        <v>75</v>
      </c>
      <c r="V548" s="9" t="s">
        <v>75</v>
      </c>
      <c r="W548" s="9"/>
    </row>
    <row r="549" spans="1:23" s="12" customFormat="1">
      <c r="A549" s="46" t="s">
        <v>711</v>
      </c>
      <c r="B549" s="28" t="s">
        <v>1333</v>
      </c>
      <c r="C549" s="28" t="s">
        <v>2330</v>
      </c>
      <c r="D549" s="9" t="s">
        <v>2452</v>
      </c>
      <c r="E549" s="28" t="s">
        <v>2283</v>
      </c>
      <c r="F549" s="31" t="s">
        <v>1878</v>
      </c>
      <c r="G549" s="31" t="s">
        <v>1878</v>
      </c>
      <c r="H549" s="31" t="s">
        <v>2359</v>
      </c>
      <c r="I549" s="28" t="str">
        <f>VLOOKUP(E549,표준용어사전!$C$2:$D$494, 2, FALSE)</f>
        <v>명V256</v>
      </c>
      <c r="J549" s="28" t="s">
        <v>718</v>
      </c>
      <c r="K549" s="29">
        <v>256</v>
      </c>
      <c r="L549" s="55" t="s">
        <v>571</v>
      </c>
      <c r="M549" s="29" t="s">
        <v>730</v>
      </c>
      <c r="N549" s="10" t="s">
        <v>75</v>
      </c>
      <c r="O549" s="9"/>
      <c r="P549" s="9" t="s">
        <v>76</v>
      </c>
      <c r="Q549" s="28"/>
      <c r="R549" s="29"/>
      <c r="S549" s="9"/>
      <c r="T549" s="9"/>
      <c r="U549" s="9" t="s">
        <v>75</v>
      </c>
      <c r="V549" s="9" t="s">
        <v>75</v>
      </c>
      <c r="W549" s="9"/>
    </row>
    <row r="550" spans="1:23" s="12" customFormat="1">
      <c r="A550" s="46" t="s">
        <v>711</v>
      </c>
      <c r="B550" s="28" t="s">
        <v>1333</v>
      </c>
      <c r="C550" s="28" t="s">
        <v>2330</v>
      </c>
      <c r="D550" s="9" t="s">
        <v>2452</v>
      </c>
      <c r="E550" s="28" t="s">
        <v>90</v>
      </c>
      <c r="F550" s="31" t="s">
        <v>14</v>
      </c>
      <c r="G550" s="31" t="s">
        <v>14</v>
      </c>
      <c r="H550" s="31" t="s">
        <v>2359</v>
      </c>
      <c r="I550" s="28" t="str">
        <f>VLOOKUP(E550,표준용어사전!$C$2:$D$494, 2, FALSE)</f>
        <v>연월일시분초TS</v>
      </c>
      <c r="J550" s="28" t="s">
        <v>719</v>
      </c>
      <c r="K550" s="29" t="s">
        <v>571</v>
      </c>
      <c r="L550" s="55" t="s">
        <v>571</v>
      </c>
      <c r="M550" s="29" t="s">
        <v>726</v>
      </c>
      <c r="N550" s="10" t="s">
        <v>973</v>
      </c>
      <c r="O550" s="9"/>
      <c r="P550" s="9" t="s">
        <v>76</v>
      </c>
      <c r="Q550" s="28"/>
      <c r="R550" s="29"/>
      <c r="S550" s="9"/>
      <c r="T550" s="9"/>
      <c r="U550" s="9" t="s">
        <v>75</v>
      </c>
      <c r="V550" s="9" t="s">
        <v>75</v>
      </c>
      <c r="W550" s="9"/>
    </row>
    <row r="551" spans="1:23" s="12" customFormat="1">
      <c r="A551" s="46" t="s">
        <v>711</v>
      </c>
      <c r="B551" s="28" t="s">
        <v>1333</v>
      </c>
      <c r="C551" s="28" t="s">
        <v>2330</v>
      </c>
      <c r="D551" s="9" t="s">
        <v>2452</v>
      </c>
      <c r="E551" s="28" t="s">
        <v>91</v>
      </c>
      <c r="F551" s="31" t="s">
        <v>369</v>
      </c>
      <c r="G551" s="31" t="s">
        <v>369</v>
      </c>
      <c r="H551" s="31" t="s">
        <v>2359</v>
      </c>
      <c r="I551" s="28" t="str">
        <f>VLOOKUP(E551,표준용어사전!$C$2:$D$494, 2, FALSE)</f>
        <v>명V20</v>
      </c>
      <c r="J551" s="28" t="s">
        <v>718</v>
      </c>
      <c r="K551" s="29" t="s">
        <v>986</v>
      </c>
      <c r="L551" s="55" t="s">
        <v>571</v>
      </c>
      <c r="M551" s="29" t="s">
        <v>727</v>
      </c>
      <c r="N551" s="10" t="s">
        <v>75</v>
      </c>
      <c r="O551" s="9"/>
      <c r="P551" s="9" t="s">
        <v>76</v>
      </c>
      <c r="Q551" s="28"/>
      <c r="R551" s="29"/>
      <c r="S551" s="9"/>
      <c r="T551" s="9"/>
      <c r="U551" s="9" t="s">
        <v>75</v>
      </c>
      <c r="V551" s="9" t="s">
        <v>75</v>
      </c>
      <c r="W551" s="9"/>
    </row>
    <row r="552" spans="1:23" s="12" customFormat="1">
      <c r="A552" s="46" t="s">
        <v>711</v>
      </c>
      <c r="B552" s="28" t="s">
        <v>1333</v>
      </c>
      <c r="C552" s="28" t="s">
        <v>2330</v>
      </c>
      <c r="D552" s="9" t="s">
        <v>2452</v>
      </c>
      <c r="E552" s="28" t="s">
        <v>92</v>
      </c>
      <c r="F552" s="31" t="s">
        <v>15</v>
      </c>
      <c r="G552" s="31" t="s">
        <v>15</v>
      </c>
      <c r="H552" s="31" t="s">
        <v>2359</v>
      </c>
      <c r="I552" s="28" t="str">
        <f>VLOOKUP(E552,표준용어사전!$C$2:$D$494, 2, FALSE)</f>
        <v>연월일시분초TS</v>
      </c>
      <c r="J552" s="28" t="s">
        <v>719</v>
      </c>
      <c r="K552" s="29" t="s">
        <v>571</v>
      </c>
      <c r="L552" s="55" t="s">
        <v>571</v>
      </c>
      <c r="M552" s="29" t="s">
        <v>726</v>
      </c>
      <c r="N552" s="10" t="s">
        <v>75</v>
      </c>
      <c r="O552" s="9"/>
      <c r="P552" s="9" t="s">
        <v>76</v>
      </c>
      <c r="Q552" s="28"/>
      <c r="R552" s="29"/>
      <c r="S552" s="9"/>
      <c r="T552" s="9"/>
      <c r="U552" s="9" t="s">
        <v>75</v>
      </c>
      <c r="V552" s="9" t="s">
        <v>75</v>
      </c>
      <c r="W552" s="9"/>
    </row>
    <row r="553" spans="1:23" s="12" customFormat="1">
      <c r="A553" s="46" t="s">
        <v>711</v>
      </c>
      <c r="B553" s="28" t="s">
        <v>1333</v>
      </c>
      <c r="C553" s="28" t="s">
        <v>2330</v>
      </c>
      <c r="D553" s="9" t="s">
        <v>2452</v>
      </c>
      <c r="E553" s="28" t="s">
        <v>93</v>
      </c>
      <c r="F553" s="31" t="s">
        <v>370</v>
      </c>
      <c r="G553" s="31" t="s">
        <v>370</v>
      </c>
      <c r="H553" s="31" t="s">
        <v>2359</v>
      </c>
      <c r="I553" s="28" t="str">
        <f>VLOOKUP(E553,표준용어사전!$C$2:$D$494, 2, FALSE)</f>
        <v>명V20</v>
      </c>
      <c r="J553" s="28" t="s">
        <v>718</v>
      </c>
      <c r="K553" s="29" t="s">
        <v>986</v>
      </c>
      <c r="L553" s="55" t="s">
        <v>571</v>
      </c>
      <c r="M553" s="29" t="s">
        <v>727</v>
      </c>
      <c r="N553" s="10" t="s">
        <v>75</v>
      </c>
      <c r="O553" s="9"/>
      <c r="P553" s="9" t="s">
        <v>76</v>
      </c>
      <c r="Q553" s="28"/>
      <c r="R553" s="29"/>
      <c r="S553" s="9"/>
      <c r="T553" s="9"/>
      <c r="U553" s="9" t="s">
        <v>75</v>
      </c>
      <c r="V553" s="9" t="s">
        <v>75</v>
      </c>
      <c r="W553" s="9"/>
    </row>
    <row r="554" spans="1:23" s="12" customFormat="1">
      <c r="A554" s="46" t="s">
        <v>711</v>
      </c>
      <c r="B554" s="28" t="s">
        <v>1333</v>
      </c>
      <c r="C554" s="28" t="s">
        <v>740</v>
      </c>
      <c r="D554" s="28" t="s">
        <v>2452</v>
      </c>
      <c r="E554" s="28" t="s">
        <v>2017</v>
      </c>
      <c r="F554" s="31" t="s">
        <v>724</v>
      </c>
      <c r="G554" s="31" t="s">
        <v>724</v>
      </c>
      <c r="H554" s="31" t="s">
        <v>2359</v>
      </c>
      <c r="I554" s="28" t="str">
        <f>VLOOKUP(E554,표준용어사전!$C$2:$D$494, 2, FALSE)</f>
        <v>여부C1</v>
      </c>
      <c r="J554" s="28" t="s">
        <v>709</v>
      </c>
      <c r="K554" s="29" t="s">
        <v>2668</v>
      </c>
      <c r="L554" s="55" t="s">
        <v>571</v>
      </c>
      <c r="M554" s="29" t="s">
        <v>722</v>
      </c>
      <c r="N554" s="29" t="s">
        <v>973</v>
      </c>
      <c r="O554" s="28"/>
      <c r="P554" s="28" t="s">
        <v>76</v>
      </c>
      <c r="Q554" s="28"/>
      <c r="R554" s="29"/>
      <c r="S554" s="28"/>
      <c r="T554" s="28" t="s">
        <v>2670</v>
      </c>
      <c r="U554" s="28" t="s">
        <v>75</v>
      </c>
      <c r="V554" s="28" t="s">
        <v>75</v>
      </c>
      <c r="W554" s="28"/>
    </row>
    <row r="555" spans="1:23" s="12" customFormat="1">
      <c r="A555" s="46" t="s">
        <v>711</v>
      </c>
      <c r="B555" s="28" t="s">
        <v>1333</v>
      </c>
      <c r="C555" s="28" t="s">
        <v>740</v>
      </c>
      <c r="D555" s="28" t="s">
        <v>2452</v>
      </c>
      <c r="E555" s="28" t="s">
        <v>2687</v>
      </c>
      <c r="F555" s="31" t="s">
        <v>2688</v>
      </c>
      <c r="G555" s="31" t="s">
        <v>2688</v>
      </c>
      <c r="H555" s="31" t="s">
        <v>2359</v>
      </c>
      <c r="I555" s="28" t="str">
        <f>VLOOKUP(E555,표준용어사전!$C$2:$D$494, 2, FALSE)</f>
        <v>여부C1</v>
      </c>
      <c r="J555" s="28" t="s">
        <v>709</v>
      </c>
      <c r="K555" s="29" t="s">
        <v>2668</v>
      </c>
      <c r="L555" s="55" t="s">
        <v>571</v>
      </c>
      <c r="M555" s="29" t="s">
        <v>722</v>
      </c>
      <c r="N555" s="29" t="s">
        <v>973</v>
      </c>
      <c r="O555" s="28"/>
      <c r="P555" s="28" t="s">
        <v>76</v>
      </c>
      <c r="Q555" s="28"/>
      <c r="R555" s="29"/>
      <c r="S555" s="28"/>
      <c r="T555" s="28" t="s">
        <v>2670</v>
      </c>
      <c r="U555" s="28" t="s">
        <v>75</v>
      </c>
      <c r="V555" s="28" t="s">
        <v>75</v>
      </c>
      <c r="W555" s="28"/>
    </row>
    <row r="556" spans="1:23" s="12" customFormat="1">
      <c r="A556" s="46" t="s">
        <v>711</v>
      </c>
      <c r="B556" s="28" t="s">
        <v>1333</v>
      </c>
      <c r="C556" s="28" t="s">
        <v>2330</v>
      </c>
      <c r="D556" s="9" t="s">
        <v>2453</v>
      </c>
      <c r="E556" s="28" t="s">
        <v>89</v>
      </c>
      <c r="F556" s="31" t="s">
        <v>501</v>
      </c>
      <c r="G556" s="31" t="s">
        <v>501</v>
      </c>
      <c r="H556" s="31" t="s">
        <v>2360</v>
      </c>
      <c r="I556" s="28" t="str">
        <f>VLOOKUP(E556,표준용어사전!$C$2:$D$494, 2, FALSE)</f>
        <v>명V20</v>
      </c>
      <c r="J556" s="28" t="s">
        <v>718</v>
      </c>
      <c r="K556" s="29" t="s">
        <v>986</v>
      </c>
      <c r="L556" s="55" t="s">
        <v>571</v>
      </c>
      <c r="M556" s="29" t="s">
        <v>727</v>
      </c>
      <c r="N556" s="10" t="s">
        <v>973</v>
      </c>
      <c r="O556" s="9" t="s">
        <v>73</v>
      </c>
      <c r="P556" s="9" t="s">
        <v>76</v>
      </c>
      <c r="Q556" s="28"/>
      <c r="R556" s="29"/>
      <c r="S556" s="9"/>
      <c r="T556" s="9"/>
      <c r="U556" s="9" t="s">
        <v>75</v>
      </c>
      <c r="V556" s="9" t="s">
        <v>75</v>
      </c>
      <c r="W556" s="9"/>
    </row>
    <row r="557" spans="1:23" s="12" customFormat="1">
      <c r="A557" s="46" t="s">
        <v>711</v>
      </c>
      <c r="B557" s="28" t="s">
        <v>1333</v>
      </c>
      <c r="C557" s="28" t="s">
        <v>2330</v>
      </c>
      <c r="D557" s="9" t="s">
        <v>2453</v>
      </c>
      <c r="E557" s="28" t="s">
        <v>2003</v>
      </c>
      <c r="F557" s="31" t="s">
        <v>477</v>
      </c>
      <c r="G557" s="31" t="s">
        <v>477</v>
      </c>
      <c r="H557" s="31" t="s">
        <v>2360</v>
      </c>
      <c r="I557" s="28" t="str">
        <f>VLOOKUP(E557,표준용어사전!$C$2:$D$494, 2, FALSE)</f>
        <v>명V512</v>
      </c>
      <c r="J557" s="28" t="s">
        <v>718</v>
      </c>
      <c r="K557" s="29">
        <v>512</v>
      </c>
      <c r="L557" s="55" t="s">
        <v>571</v>
      </c>
      <c r="M557" s="29" t="s">
        <v>721</v>
      </c>
      <c r="N557" s="10" t="s">
        <v>973</v>
      </c>
      <c r="O557" s="9" t="s">
        <v>74</v>
      </c>
      <c r="P557" s="9" t="s">
        <v>76</v>
      </c>
      <c r="Q557" s="28"/>
      <c r="R557" s="29"/>
      <c r="S557" s="9"/>
      <c r="T557" s="9"/>
      <c r="U557" s="9" t="s">
        <v>75</v>
      </c>
      <c r="V557" s="9" t="s">
        <v>75</v>
      </c>
      <c r="W557" s="9"/>
    </row>
    <row r="558" spans="1:23" s="12" customFormat="1">
      <c r="A558" s="46" t="s">
        <v>711</v>
      </c>
      <c r="B558" s="28" t="s">
        <v>1333</v>
      </c>
      <c r="C558" s="28" t="s">
        <v>2330</v>
      </c>
      <c r="D558" s="9" t="s">
        <v>2453</v>
      </c>
      <c r="E558" s="28" t="s">
        <v>2289</v>
      </c>
      <c r="F558" s="31" t="s">
        <v>2423</v>
      </c>
      <c r="G558" s="31" t="s">
        <v>2423</v>
      </c>
      <c r="H558" s="31" t="s">
        <v>2360</v>
      </c>
      <c r="I558" s="28" t="str">
        <f>VLOOKUP(E558,표준용어사전!$C$2:$D$494, 2, FALSE)</f>
        <v>코드C1</v>
      </c>
      <c r="J558" s="28" t="s">
        <v>709</v>
      </c>
      <c r="K558" s="29">
        <v>1</v>
      </c>
      <c r="L558" s="55" t="s">
        <v>571</v>
      </c>
      <c r="M558" s="29" t="s">
        <v>722</v>
      </c>
      <c r="N558" s="10" t="s">
        <v>973</v>
      </c>
      <c r="O558" s="9" t="s">
        <v>624</v>
      </c>
      <c r="P558" s="9" t="s">
        <v>76</v>
      </c>
      <c r="Q558" s="28"/>
      <c r="R558" s="29"/>
      <c r="S558" s="9"/>
      <c r="T558" s="9"/>
      <c r="U558" s="9" t="s">
        <v>75</v>
      </c>
      <c r="V558" s="9" t="s">
        <v>75</v>
      </c>
      <c r="W558" s="9"/>
    </row>
    <row r="559" spans="1:23" s="12" customFormat="1">
      <c r="A559" s="46" t="s">
        <v>711</v>
      </c>
      <c r="B559" s="28" t="s">
        <v>1333</v>
      </c>
      <c r="C559" s="28" t="s">
        <v>2330</v>
      </c>
      <c r="D559" s="9" t="s">
        <v>2453</v>
      </c>
      <c r="E559" s="28" t="s">
        <v>2064</v>
      </c>
      <c r="F559" s="31" t="s">
        <v>2063</v>
      </c>
      <c r="G559" s="31" t="s">
        <v>2063</v>
      </c>
      <c r="H559" s="31" t="s">
        <v>2360</v>
      </c>
      <c r="I559" s="28" t="str">
        <f>VLOOKUP(E559,표준용어사전!$C$2:$D$494, 2, FALSE)</f>
        <v>번호N10</v>
      </c>
      <c r="J559" s="28" t="s">
        <v>748</v>
      </c>
      <c r="K559" s="29">
        <v>10</v>
      </c>
      <c r="L559" s="55" t="s">
        <v>571</v>
      </c>
      <c r="M559" s="29" t="s">
        <v>2592</v>
      </c>
      <c r="N559" s="10" t="s">
        <v>973</v>
      </c>
      <c r="O559" s="9" t="s">
        <v>2598</v>
      </c>
      <c r="P559" s="9" t="s">
        <v>76</v>
      </c>
      <c r="Q559" s="28"/>
      <c r="R559" s="29"/>
      <c r="S559" s="9"/>
      <c r="T559" s="9"/>
      <c r="U559" s="9" t="s">
        <v>75</v>
      </c>
      <c r="V559" s="9" t="s">
        <v>75</v>
      </c>
      <c r="W559" s="9"/>
    </row>
    <row r="560" spans="1:23" s="12" customFormat="1">
      <c r="A560" s="46" t="s">
        <v>711</v>
      </c>
      <c r="B560" s="28" t="s">
        <v>1333</v>
      </c>
      <c r="C560" s="28" t="s">
        <v>2330</v>
      </c>
      <c r="D560" s="9" t="s">
        <v>2453</v>
      </c>
      <c r="E560" s="28" t="s">
        <v>2285</v>
      </c>
      <c r="F560" s="31" t="s">
        <v>2284</v>
      </c>
      <c r="G560" s="31" t="s">
        <v>2284</v>
      </c>
      <c r="H560" s="31" t="s">
        <v>2360</v>
      </c>
      <c r="I560" s="28" t="str">
        <f>VLOOKUP(E560,표준용어사전!$C$2:$D$494, 2, FALSE)</f>
        <v>수N14</v>
      </c>
      <c r="J560" s="28" t="s">
        <v>748</v>
      </c>
      <c r="K560" s="29" t="s">
        <v>1137</v>
      </c>
      <c r="L560" s="55" t="s">
        <v>571</v>
      </c>
      <c r="M560" s="29" t="s">
        <v>776</v>
      </c>
      <c r="N560" s="10" t="s">
        <v>75</v>
      </c>
      <c r="O560" s="9"/>
      <c r="P560" s="9" t="s">
        <v>76</v>
      </c>
      <c r="Q560" s="28"/>
      <c r="R560" s="29"/>
      <c r="S560" s="9"/>
      <c r="T560" s="9"/>
      <c r="U560" s="9" t="s">
        <v>75</v>
      </c>
      <c r="V560" s="9" t="s">
        <v>75</v>
      </c>
      <c r="W560" s="9"/>
    </row>
    <row r="561" spans="1:23" s="12" customFormat="1">
      <c r="A561" s="46" t="s">
        <v>711</v>
      </c>
      <c r="B561" s="28" t="s">
        <v>1333</v>
      </c>
      <c r="C561" s="28" t="s">
        <v>2330</v>
      </c>
      <c r="D561" s="9" t="s">
        <v>2453</v>
      </c>
      <c r="E561" s="28" t="s">
        <v>2287</v>
      </c>
      <c r="F561" s="31" t="s">
        <v>2286</v>
      </c>
      <c r="G561" s="31" t="s">
        <v>2286</v>
      </c>
      <c r="H561" s="31" t="s">
        <v>2360</v>
      </c>
      <c r="I561" s="28" t="str">
        <f>VLOOKUP(E561,표준용어사전!$C$2:$D$494, 2, FALSE)</f>
        <v>내용TXT</v>
      </c>
      <c r="J561" s="28" t="s">
        <v>713</v>
      </c>
      <c r="K561" s="29" t="s">
        <v>571</v>
      </c>
      <c r="L561" s="55" t="s">
        <v>571</v>
      </c>
      <c r="M561" s="29" t="s">
        <v>2590</v>
      </c>
      <c r="N561" s="10" t="s">
        <v>75</v>
      </c>
      <c r="O561" s="9"/>
      <c r="P561" s="9" t="s">
        <v>76</v>
      </c>
      <c r="Q561" s="28"/>
      <c r="R561" s="29"/>
      <c r="S561" s="9"/>
      <c r="T561" s="9"/>
      <c r="U561" s="9" t="s">
        <v>75</v>
      </c>
      <c r="V561" s="9" t="s">
        <v>75</v>
      </c>
      <c r="W561" s="9"/>
    </row>
    <row r="562" spans="1:23" s="12" customFormat="1">
      <c r="A562" s="46" t="s">
        <v>711</v>
      </c>
      <c r="B562" s="28" t="s">
        <v>1333</v>
      </c>
      <c r="C562" s="28" t="s">
        <v>2330</v>
      </c>
      <c r="D562" s="9" t="s">
        <v>2453</v>
      </c>
      <c r="E562" s="28" t="s">
        <v>162</v>
      </c>
      <c r="F562" s="31" t="s">
        <v>421</v>
      </c>
      <c r="G562" s="31" t="s">
        <v>421</v>
      </c>
      <c r="H562" s="31" t="s">
        <v>2360</v>
      </c>
      <c r="I562" s="28" t="str">
        <f>VLOOKUP(E562,표준용어사전!$C$2:$D$494, 2, FALSE)</f>
        <v>여부C1</v>
      </c>
      <c r="J562" s="28" t="s">
        <v>709</v>
      </c>
      <c r="K562" s="29">
        <v>1</v>
      </c>
      <c r="L562" s="55" t="s">
        <v>571</v>
      </c>
      <c r="M562" s="29" t="s">
        <v>722</v>
      </c>
      <c r="N562" s="10" t="s">
        <v>75</v>
      </c>
      <c r="O562" s="9"/>
      <c r="P562" s="9" t="s">
        <v>76</v>
      </c>
      <c r="Q562" s="28"/>
      <c r="R562" s="29"/>
      <c r="S562" s="9"/>
      <c r="T562" s="9"/>
      <c r="U562" s="9" t="s">
        <v>75</v>
      </c>
      <c r="V562" s="9" t="s">
        <v>75</v>
      </c>
      <c r="W562" s="9"/>
    </row>
    <row r="563" spans="1:23" s="12" customFormat="1">
      <c r="A563" s="46" t="s">
        <v>711</v>
      </c>
      <c r="B563" s="28" t="s">
        <v>1333</v>
      </c>
      <c r="C563" s="28" t="s">
        <v>2330</v>
      </c>
      <c r="D563" s="9" t="s">
        <v>2453</v>
      </c>
      <c r="E563" s="28" t="s">
        <v>90</v>
      </c>
      <c r="F563" s="31" t="s">
        <v>14</v>
      </c>
      <c r="G563" s="31" t="s">
        <v>14</v>
      </c>
      <c r="H563" s="31" t="s">
        <v>2360</v>
      </c>
      <c r="I563" s="28" t="str">
        <f>VLOOKUP(E563,표준용어사전!$C$2:$D$494, 2, FALSE)</f>
        <v>연월일시분초TS</v>
      </c>
      <c r="J563" s="28" t="s">
        <v>719</v>
      </c>
      <c r="K563" s="29" t="s">
        <v>571</v>
      </c>
      <c r="L563" s="55" t="s">
        <v>571</v>
      </c>
      <c r="M563" s="29" t="s">
        <v>726</v>
      </c>
      <c r="N563" s="10" t="s">
        <v>973</v>
      </c>
      <c r="O563" s="9"/>
      <c r="P563" s="9" t="s">
        <v>76</v>
      </c>
      <c r="Q563" s="28"/>
      <c r="R563" s="29"/>
      <c r="S563" s="9"/>
      <c r="T563" s="9"/>
      <c r="U563" s="9" t="s">
        <v>75</v>
      </c>
      <c r="V563" s="9" t="s">
        <v>75</v>
      </c>
      <c r="W563" s="9"/>
    </row>
    <row r="564" spans="1:23" s="12" customFormat="1">
      <c r="A564" s="46" t="s">
        <v>711</v>
      </c>
      <c r="B564" s="28" t="s">
        <v>1333</v>
      </c>
      <c r="C564" s="28" t="s">
        <v>2330</v>
      </c>
      <c r="D564" s="9" t="s">
        <v>2453</v>
      </c>
      <c r="E564" s="28" t="s">
        <v>91</v>
      </c>
      <c r="F564" s="31" t="s">
        <v>369</v>
      </c>
      <c r="G564" s="31" t="s">
        <v>369</v>
      </c>
      <c r="H564" s="31" t="s">
        <v>2360</v>
      </c>
      <c r="I564" s="28" t="str">
        <f>VLOOKUP(E564,표준용어사전!$C$2:$D$494, 2, FALSE)</f>
        <v>명V20</v>
      </c>
      <c r="J564" s="28" t="s">
        <v>718</v>
      </c>
      <c r="K564" s="29" t="s">
        <v>986</v>
      </c>
      <c r="L564" s="55" t="s">
        <v>571</v>
      </c>
      <c r="M564" s="29" t="s">
        <v>727</v>
      </c>
      <c r="N564" s="10" t="s">
        <v>75</v>
      </c>
      <c r="O564" s="9"/>
      <c r="P564" s="9" t="s">
        <v>76</v>
      </c>
      <c r="Q564" s="28"/>
      <c r="R564" s="29"/>
      <c r="S564" s="9"/>
      <c r="T564" s="9"/>
      <c r="U564" s="9" t="s">
        <v>75</v>
      </c>
      <c r="V564" s="9" t="s">
        <v>75</v>
      </c>
      <c r="W564" s="9"/>
    </row>
    <row r="565" spans="1:23" s="12" customFormat="1">
      <c r="A565" s="46" t="s">
        <v>711</v>
      </c>
      <c r="B565" s="28" t="s">
        <v>1333</v>
      </c>
      <c r="C565" s="28" t="s">
        <v>2330</v>
      </c>
      <c r="D565" s="9" t="s">
        <v>2453</v>
      </c>
      <c r="E565" s="28" t="s">
        <v>92</v>
      </c>
      <c r="F565" s="31" t="s">
        <v>15</v>
      </c>
      <c r="G565" s="31" t="s">
        <v>15</v>
      </c>
      <c r="H565" s="31" t="s">
        <v>2360</v>
      </c>
      <c r="I565" s="28" t="str">
        <f>VLOOKUP(E565,표준용어사전!$C$2:$D$494, 2, FALSE)</f>
        <v>연월일시분초TS</v>
      </c>
      <c r="J565" s="28" t="s">
        <v>719</v>
      </c>
      <c r="K565" s="29" t="s">
        <v>571</v>
      </c>
      <c r="L565" s="55" t="s">
        <v>571</v>
      </c>
      <c r="M565" s="29" t="s">
        <v>726</v>
      </c>
      <c r="N565" s="10" t="s">
        <v>75</v>
      </c>
      <c r="O565" s="9"/>
      <c r="P565" s="9" t="s">
        <v>76</v>
      </c>
      <c r="Q565" s="28"/>
      <c r="R565" s="29"/>
      <c r="S565" s="9"/>
      <c r="T565" s="9"/>
      <c r="U565" s="9" t="s">
        <v>75</v>
      </c>
      <c r="V565" s="9" t="s">
        <v>75</v>
      </c>
      <c r="W565" s="9"/>
    </row>
    <row r="566" spans="1:23" s="12" customFormat="1">
      <c r="A566" s="46" t="s">
        <v>711</v>
      </c>
      <c r="B566" s="28" t="s">
        <v>1333</v>
      </c>
      <c r="C566" s="28" t="s">
        <v>2330</v>
      </c>
      <c r="D566" s="9" t="s">
        <v>2453</v>
      </c>
      <c r="E566" s="28" t="s">
        <v>93</v>
      </c>
      <c r="F566" s="31" t="s">
        <v>370</v>
      </c>
      <c r="G566" s="31" t="s">
        <v>370</v>
      </c>
      <c r="H566" s="31" t="s">
        <v>2360</v>
      </c>
      <c r="I566" s="28" t="str">
        <f>VLOOKUP(E566,표준용어사전!$C$2:$D$494, 2, FALSE)</f>
        <v>명V20</v>
      </c>
      <c r="J566" s="28" t="s">
        <v>718</v>
      </c>
      <c r="K566" s="29" t="s">
        <v>986</v>
      </c>
      <c r="L566" s="55" t="s">
        <v>571</v>
      </c>
      <c r="M566" s="29" t="s">
        <v>727</v>
      </c>
      <c r="N566" s="10" t="s">
        <v>75</v>
      </c>
      <c r="O566" s="9"/>
      <c r="P566" s="9" t="s">
        <v>76</v>
      </c>
      <c r="Q566" s="28"/>
      <c r="R566" s="29"/>
      <c r="S566" s="9"/>
      <c r="T566" s="9"/>
      <c r="U566" s="9" t="s">
        <v>75</v>
      </c>
      <c r="V566" s="9" t="s">
        <v>75</v>
      </c>
      <c r="W566" s="9"/>
    </row>
    <row r="567" spans="1:23" s="12" customFormat="1">
      <c r="A567" s="46" t="s">
        <v>711</v>
      </c>
      <c r="B567" s="28" t="s">
        <v>1333</v>
      </c>
      <c r="C567" s="28" t="s">
        <v>2330</v>
      </c>
      <c r="D567" s="9" t="s">
        <v>2615</v>
      </c>
      <c r="E567" s="28" t="s">
        <v>2291</v>
      </c>
      <c r="F567" s="31" t="s">
        <v>2290</v>
      </c>
      <c r="G567" s="31" t="s">
        <v>2290</v>
      </c>
      <c r="H567" s="31" t="s">
        <v>2361</v>
      </c>
      <c r="I567" s="28" t="str">
        <f>VLOOKUP(E567,표준용어사전!$C$2:$D$494, 2, FALSE)</f>
        <v>번호I</v>
      </c>
      <c r="J567" s="28" t="s">
        <v>717</v>
      </c>
      <c r="K567" s="29" t="s">
        <v>571</v>
      </c>
      <c r="L567" s="55" t="s">
        <v>571</v>
      </c>
      <c r="M567" s="29" t="s">
        <v>2591</v>
      </c>
      <c r="N567" s="29" t="s">
        <v>973</v>
      </c>
      <c r="O567" s="9" t="s">
        <v>73</v>
      </c>
      <c r="P567" s="9" t="s">
        <v>76</v>
      </c>
      <c r="Q567" s="28"/>
      <c r="R567" s="29"/>
      <c r="S567" s="9"/>
      <c r="T567" s="9"/>
      <c r="U567" s="9" t="s">
        <v>75</v>
      </c>
      <c r="V567" s="9" t="s">
        <v>75</v>
      </c>
      <c r="W567" s="9"/>
    </row>
    <row r="568" spans="1:23" s="12" customFormat="1">
      <c r="A568" s="46" t="s">
        <v>711</v>
      </c>
      <c r="B568" s="28" t="s">
        <v>1333</v>
      </c>
      <c r="C568" s="28" t="s">
        <v>2330</v>
      </c>
      <c r="D568" s="9" t="s">
        <v>2615</v>
      </c>
      <c r="E568" s="28" t="s">
        <v>246</v>
      </c>
      <c r="F568" s="31" t="s">
        <v>17</v>
      </c>
      <c r="G568" s="31" t="s">
        <v>17</v>
      </c>
      <c r="H568" s="31" t="s">
        <v>2361</v>
      </c>
      <c r="I568" s="28" t="str">
        <f>VLOOKUP(E568,표준용어사전!$C$2:$D$494, 2, FALSE)</f>
        <v>명V20</v>
      </c>
      <c r="J568" s="28" t="s">
        <v>718</v>
      </c>
      <c r="K568" s="29" t="s">
        <v>986</v>
      </c>
      <c r="L568" s="55" t="s">
        <v>571</v>
      </c>
      <c r="M568" s="29" t="s">
        <v>727</v>
      </c>
      <c r="N568" s="10" t="s">
        <v>973</v>
      </c>
      <c r="O568" s="9"/>
      <c r="P568" s="9" t="s">
        <v>76</v>
      </c>
      <c r="Q568" s="28"/>
      <c r="R568" s="29"/>
      <c r="S568" s="9"/>
      <c r="T568" s="9"/>
      <c r="U568" s="9" t="s">
        <v>75</v>
      </c>
      <c r="V568" s="9" t="s">
        <v>75</v>
      </c>
      <c r="W568" s="9"/>
    </row>
    <row r="569" spans="1:23" s="12" customFormat="1">
      <c r="A569" s="46" t="s">
        <v>711</v>
      </c>
      <c r="B569" s="28" t="s">
        <v>1333</v>
      </c>
      <c r="C569" s="28" t="s">
        <v>2330</v>
      </c>
      <c r="D569" s="9" t="s">
        <v>2615</v>
      </c>
      <c r="E569" s="28" t="s">
        <v>89</v>
      </c>
      <c r="F569" s="31" t="s">
        <v>501</v>
      </c>
      <c r="G569" s="31" t="s">
        <v>501</v>
      </c>
      <c r="H569" s="31" t="s">
        <v>2361</v>
      </c>
      <c r="I569" s="28" t="str">
        <f>VLOOKUP(E569,표준용어사전!$C$2:$D$494, 2, FALSE)</f>
        <v>명V20</v>
      </c>
      <c r="J569" s="28" t="s">
        <v>718</v>
      </c>
      <c r="K569" s="29" t="s">
        <v>986</v>
      </c>
      <c r="L569" s="55" t="s">
        <v>571</v>
      </c>
      <c r="M569" s="29" t="s">
        <v>727</v>
      </c>
      <c r="N569" s="10" t="s">
        <v>973</v>
      </c>
      <c r="O569" s="9"/>
      <c r="P569" s="9" t="s">
        <v>76</v>
      </c>
      <c r="Q569" s="28"/>
      <c r="R569" s="29"/>
      <c r="S569" s="9"/>
      <c r="T569" s="9"/>
      <c r="U569" s="9" t="s">
        <v>75</v>
      </c>
      <c r="V569" s="9" t="s">
        <v>75</v>
      </c>
      <c r="W569" s="9"/>
    </row>
    <row r="570" spans="1:23" s="12" customFormat="1">
      <c r="A570" s="46" t="s">
        <v>711</v>
      </c>
      <c r="B570" s="28" t="s">
        <v>1333</v>
      </c>
      <c r="C570" s="28" t="s">
        <v>2330</v>
      </c>
      <c r="D570" s="9" t="s">
        <v>2615</v>
      </c>
      <c r="E570" s="28" t="s">
        <v>2003</v>
      </c>
      <c r="F570" s="31" t="s">
        <v>477</v>
      </c>
      <c r="G570" s="31" t="s">
        <v>477</v>
      </c>
      <c r="H570" s="31" t="s">
        <v>2361</v>
      </c>
      <c r="I570" s="28" t="str">
        <f>VLOOKUP(E570,표준용어사전!$C$2:$D$494, 2, FALSE)</f>
        <v>명V512</v>
      </c>
      <c r="J570" s="28" t="s">
        <v>718</v>
      </c>
      <c r="K570" s="29">
        <v>512</v>
      </c>
      <c r="L570" s="55" t="s">
        <v>571</v>
      </c>
      <c r="M570" s="29" t="s">
        <v>721</v>
      </c>
      <c r="N570" s="10" t="s">
        <v>973</v>
      </c>
      <c r="O570" s="9"/>
      <c r="P570" s="9" t="s">
        <v>76</v>
      </c>
      <c r="Q570" s="28"/>
      <c r="R570" s="29"/>
      <c r="S570" s="9"/>
      <c r="T570" s="9"/>
      <c r="U570" s="9" t="s">
        <v>75</v>
      </c>
      <c r="V570" s="9" t="s">
        <v>75</v>
      </c>
      <c r="W570" s="9"/>
    </row>
    <row r="571" spans="1:23" s="12" customFormat="1">
      <c r="A571" s="46" t="s">
        <v>711</v>
      </c>
      <c r="B571" s="28" t="s">
        <v>1333</v>
      </c>
      <c r="C571" s="28" t="s">
        <v>2330</v>
      </c>
      <c r="D571" s="28" t="s">
        <v>2615</v>
      </c>
      <c r="E571" s="28" t="s">
        <v>2289</v>
      </c>
      <c r="F571" s="31" t="s">
        <v>2423</v>
      </c>
      <c r="G571" s="31" t="s">
        <v>2423</v>
      </c>
      <c r="H571" s="31" t="s">
        <v>2361</v>
      </c>
      <c r="I571" s="28" t="str">
        <f>VLOOKUP(E571,표준용어사전!$C$2:$D$494, 2, FALSE)</f>
        <v>코드C1</v>
      </c>
      <c r="J571" s="28" t="s">
        <v>709</v>
      </c>
      <c r="K571" s="29">
        <v>1</v>
      </c>
      <c r="L571" s="55" t="s">
        <v>571</v>
      </c>
      <c r="M571" s="29" t="s">
        <v>722</v>
      </c>
      <c r="N571" s="10" t="s">
        <v>973</v>
      </c>
      <c r="O571" s="28"/>
      <c r="P571" s="28" t="s">
        <v>76</v>
      </c>
      <c r="Q571" s="28"/>
      <c r="R571" s="29"/>
      <c r="S571" s="28"/>
      <c r="T571" s="9"/>
      <c r="U571" s="9" t="s">
        <v>75</v>
      </c>
      <c r="V571" s="9" t="s">
        <v>75</v>
      </c>
      <c r="W571" s="28"/>
    </row>
    <row r="572" spans="1:23" s="12" customFormat="1">
      <c r="A572" s="46" t="s">
        <v>711</v>
      </c>
      <c r="B572" s="28" t="s">
        <v>1333</v>
      </c>
      <c r="C572" s="28" t="s">
        <v>2330</v>
      </c>
      <c r="D572" s="28" t="s">
        <v>2615</v>
      </c>
      <c r="E572" s="28" t="s">
        <v>2064</v>
      </c>
      <c r="F572" s="31" t="s">
        <v>2063</v>
      </c>
      <c r="G572" s="31" t="s">
        <v>2063</v>
      </c>
      <c r="H572" s="31" t="s">
        <v>2361</v>
      </c>
      <c r="I572" s="28" t="str">
        <f>VLOOKUP(E572,표준용어사전!$C$2:$D$494, 2, FALSE)</f>
        <v>번호N10</v>
      </c>
      <c r="J572" s="28" t="s">
        <v>748</v>
      </c>
      <c r="K572" s="29">
        <v>10</v>
      </c>
      <c r="L572" s="55" t="s">
        <v>571</v>
      </c>
      <c r="M572" s="29" t="s">
        <v>2592</v>
      </c>
      <c r="N572" s="10" t="s">
        <v>973</v>
      </c>
      <c r="O572" s="28"/>
      <c r="P572" s="28" t="s">
        <v>76</v>
      </c>
      <c r="Q572" s="28"/>
      <c r="R572" s="29"/>
      <c r="S572" s="28"/>
      <c r="T572" s="9"/>
      <c r="U572" s="9" t="s">
        <v>75</v>
      </c>
      <c r="V572" s="9" t="s">
        <v>75</v>
      </c>
      <c r="W572" s="28"/>
    </row>
    <row r="573" spans="1:23" s="12" customFormat="1">
      <c r="A573" s="46" t="s">
        <v>711</v>
      </c>
      <c r="B573" s="28" t="s">
        <v>1333</v>
      </c>
      <c r="C573" s="28" t="s">
        <v>2330</v>
      </c>
      <c r="D573" s="28" t="s">
        <v>2615</v>
      </c>
      <c r="E573" s="28" t="s">
        <v>268</v>
      </c>
      <c r="F573" s="31" t="s">
        <v>500</v>
      </c>
      <c r="G573" s="31" t="s">
        <v>500</v>
      </c>
      <c r="H573" s="31" t="s">
        <v>2361</v>
      </c>
      <c r="I573" s="28" t="str">
        <f>VLOOKUP(E573,표준용어사전!$C$2:$D$494, 2, FALSE)</f>
        <v>코드C1</v>
      </c>
      <c r="J573" s="28" t="s">
        <v>709</v>
      </c>
      <c r="K573" s="29">
        <v>1</v>
      </c>
      <c r="L573" s="55" t="s">
        <v>571</v>
      </c>
      <c r="M573" s="29" t="s">
        <v>722</v>
      </c>
      <c r="N573" s="29" t="s">
        <v>75</v>
      </c>
      <c r="O573" s="28"/>
      <c r="P573" s="28" t="s">
        <v>76</v>
      </c>
      <c r="Q573" s="28"/>
      <c r="R573" s="29"/>
      <c r="S573" s="28"/>
      <c r="T573" s="9"/>
      <c r="U573" s="9" t="s">
        <v>75</v>
      </c>
      <c r="V573" s="9" t="s">
        <v>75</v>
      </c>
      <c r="W573" s="28"/>
    </row>
    <row r="574" spans="1:23" s="12" customFormat="1">
      <c r="A574" s="46" t="s">
        <v>711</v>
      </c>
      <c r="B574" s="28" t="s">
        <v>1333</v>
      </c>
      <c r="C574" s="28" t="s">
        <v>2330</v>
      </c>
      <c r="D574" s="28" t="s">
        <v>2615</v>
      </c>
      <c r="E574" s="28" t="s">
        <v>252</v>
      </c>
      <c r="F574" s="31" t="s">
        <v>77</v>
      </c>
      <c r="G574" s="31" t="s">
        <v>77</v>
      </c>
      <c r="H574" s="31" t="s">
        <v>2361</v>
      </c>
      <c r="I574" s="28" t="str">
        <f>VLOOKUP(E574,표준용어사전!$C$2:$D$494, 2, FALSE)</f>
        <v>내용TXT</v>
      </c>
      <c r="J574" s="28" t="s">
        <v>713</v>
      </c>
      <c r="K574" s="29" t="s">
        <v>571</v>
      </c>
      <c r="L574" s="55" t="s">
        <v>571</v>
      </c>
      <c r="M574" s="29" t="s">
        <v>2590</v>
      </c>
      <c r="N574" s="29" t="s">
        <v>75</v>
      </c>
      <c r="O574" s="28"/>
      <c r="P574" s="28" t="s">
        <v>76</v>
      </c>
      <c r="Q574" s="28"/>
      <c r="R574" s="29"/>
      <c r="S574" s="28"/>
      <c r="T574" s="9"/>
      <c r="U574" s="9" t="s">
        <v>75</v>
      </c>
      <c r="V574" s="9" t="s">
        <v>75</v>
      </c>
      <c r="W574" s="28"/>
    </row>
    <row r="575" spans="1:23" s="12" customFormat="1">
      <c r="A575" s="46" t="s">
        <v>711</v>
      </c>
      <c r="B575" s="28" t="s">
        <v>1333</v>
      </c>
      <c r="C575" s="28" t="s">
        <v>2330</v>
      </c>
      <c r="D575" s="28" t="s">
        <v>2615</v>
      </c>
      <c r="E575" s="28" t="s">
        <v>90</v>
      </c>
      <c r="F575" s="31" t="s">
        <v>14</v>
      </c>
      <c r="G575" s="31" t="s">
        <v>14</v>
      </c>
      <c r="H575" s="31" t="s">
        <v>2361</v>
      </c>
      <c r="I575" s="28" t="str">
        <f>VLOOKUP(E575,표준용어사전!$C$2:$D$494, 2, FALSE)</f>
        <v>연월일시분초TS</v>
      </c>
      <c r="J575" s="28" t="s">
        <v>719</v>
      </c>
      <c r="K575" s="29" t="s">
        <v>571</v>
      </c>
      <c r="L575" s="55" t="s">
        <v>571</v>
      </c>
      <c r="M575" s="29" t="s">
        <v>726</v>
      </c>
      <c r="N575" s="10" t="s">
        <v>973</v>
      </c>
      <c r="O575" s="28"/>
      <c r="P575" s="28" t="s">
        <v>76</v>
      </c>
      <c r="Q575" s="28"/>
      <c r="R575" s="29"/>
      <c r="S575" s="28"/>
      <c r="T575" s="9"/>
      <c r="U575" s="9" t="s">
        <v>75</v>
      </c>
      <c r="V575" s="9" t="s">
        <v>75</v>
      </c>
      <c r="W575" s="28"/>
    </row>
    <row r="576" spans="1:23" s="12" customFormat="1">
      <c r="A576" s="46" t="s">
        <v>711</v>
      </c>
      <c r="B576" s="28" t="s">
        <v>1333</v>
      </c>
      <c r="C576" s="28" t="s">
        <v>2330</v>
      </c>
      <c r="D576" s="28" t="s">
        <v>2615</v>
      </c>
      <c r="E576" s="28" t="s">
        <v>91</v>
      </c>
      <c r="F576" s="31" t="s">
        <v>369</v>
      </c>
      <c r="G576" s="31" t="s">
        <v>369</v>
      </c>
      <c r="H576" s="31" t="s">
        <v>2361</v>
      </c>
      <c r="I576" s="28" t="str">
        <f>VLOOKUP(E576,표준용어사전!$C$2:$D$494, 2, FALSE)</f>
        <v>명V20</v>
      </c>
      <c r="J576" s="28" t="s">
        <v>718</v>
      </c>
      <c r="K576" s="29" t="s">
        <v>986</v>
      </c>
      <c r="L576" s="55" t="s">
        <v>571</v>
      </c>
      <c r="M576" s="29" t="s">
        <v>727</v>
      </c>
      <c r="N576" s="29" t="s">
        <v>75</v>
      </c>
      <c r="O576" s="28"/>
      <c r="P576" s="28" t="s">
        <v>76</v>
      </c>
      <c r="Q576" s="28"/>
      <c r="R576" s="29"/>
      <c r="S576" s="28"/>
      <c r="T576" s="9"/>
      <c r="U576" s="9" t="s">
        <v>75</v>
      </c>
      <c r="V576" s="9" t="s">
        <v>75</v>
      </c>
      <c r="W576" s="28"/>
    </row>
    <row r="577" spans="1:23" s="12" customFormat="1">
      <c r="A577" s="46" t="s">
        <v>711</v>
      </c>
      <c r="B577" s="28" t="s">
        <v>1333</v>
      </c>
      <c r="C577" s="28" t="s">
        <v>2330</v>
      </c>
      <c r="D577" s="28" t="s">
        <v>2615</v>
      </c>
      <c r="E577" s="28" t="s">
        <v>92</v>
      </c>
      <c r="F577" s="31" t="s">
        <v>15</v>
      </c>
      <c r="G577" s="31" t="s">
        <v>15</v>
      </c>
      <c r="H577" s="31" t="s">
        <v>2361</v>
      </c>
      <c r="I577" s="28" t="str">
        <f>VLOOKUP(E577,표준용어사전!$C$2:$D$494, 2, FALSE)</f>
        <v>연월일시분초TS</v>
      </c>
      <c r="J577" s="28" t="s">
        <v>719</v>
      </c>
      <c r="K577" s="29" t="s">
        <v>571</v>
      </c>
      <c r="L577" s="55" t="s">
        <v>571</v>
      </c>
      <c r="M577" s="29" t="s">
        <v>726</v>
      </c>
      <c r="N577" s="29" t="s">
        <v>75</v>
      </c>
      <c r="O577" s="28"/>
      <c r="P577" s="28" t="s">
        <v>76</v>
      </c>
      <c r="Q577" s="28"/>
      <c r="R577" s="29"/>
      <c r="S577" s="28"/>
      <c r="T577" s="9"/>
      <c r="U577" s="9" t="s">
        <v>75</v>
      </c>
      <c r="V577" s="9" t="s">
        <v>75</v>
      </c>
      <c r="W577" s="28"/>
    </row>
    <row r="578" spans="1:23" s="12" customFormat="1">
      <c r="A578" s="46" t="s">
        <v>711</v>
      </c>
      <c r="B578" s="28" t="s">
        <v>1333</v>
      </c>
      <c r="C578" s="28" t="s">
        <v>2330</v>
      </c>
      <c r="D578" s="28" t="s">
        <v>2615</v>
      </c>
      <c r="E578" s="28" t="s">
        <v>93</v>
      </c>
      <c r="F578" s="31" t="s">
        <v>370</v>
      </c>
      <c r="G578" s="31" t="s">
        <v>370</v>
      </c>
      <c r="H578" s="31" t="s">
        <v>2361</v>
      </c>
      <c r="I578" s="28" t="str">
        <f>VLOOKUP(E578,표준용어사전!$C$2:$D$494, 2, FALSE)</f>
        <v>명V20</v>
      </c>
      <c r="J578" s="28" t="s">
        <v>718</v>
      </c>
      <c r="K578" s="29" t="s">
        <v>986</v>
      </c>
      <c r="L578" s="55" t="s">
        <v>571</v>
      </c>
      <c r="M578" s="29" t="s">
        <v>727</v>
      </c>
      <c r="N578" s="29" t="s">
        <v>75</v>
      </c>
      <c r="O578" s="28"/>
      <c r="P578" s="28" t="s">
        <v>76</v>
      </c>
      <c r="Q578" s="28"/>
      <c r="R578" s="29"/>
      <c r="S578" s="28"/>
      <c r="T578" s="28"/>
      <c r="U578" s="9" t="s">
        <v>75</v>
      </c>
      <c r="V578" s="9" t="s">
        <v>75</v>
      </c>
      <c r="W578" s="28"/>
    </row>
    <row r="579" spans="1:23" s="12" customFormat="1">
      <c r="A579" s="46" t="s">
        <v>572</v>
      </c>
      <c r="B579" s="28" t="s">
        <v>1333</v>
      </c>
      <c r="C579" s="28" t="s">
        <v>2330</v>
      </c>
      <c r="D579" s="28" t="s">
        <v>2616</v>
      </c>
      <c r="E579" s="28" t="s">
        <v>2530</v>
      </c>
      <c r="F579" s="31" t="s">
        <v>2054</v>
      </c>
      <c r="G579" s="31" t="s">
        <v>2054</v>
      </c>
      <c r="H579" s="31" t="s">
        <v>2362</v>
      </c>
      <c r="I579" s="28" t="str">
        <f>VLOOKUP(E579,표준용어사전!$C$2:$D$494, 2, FALSE)</f>
        <v>번호I</v>
      </c>
      <c r="J579" s="28" t="s">
        <v>717</v>
      </c>
      <c r="K579" s="29" t="s">
        <v>571</v>
      </c>
      <c r="L579" s="55" t="s">
        <v>571</v>
      </c>
      <c r="M579" s="29" t="s">
        <v>2591</v>
      </c>
      <c r="N579" s="29" t="s">
        <v>973</v>
      </c>
      <c r="O579" s="28" t="s">
        <v>73</v>
      </c>
      <c r="P579" s="28" t="s">
        <v>76</v>
      </c>
      <c r="Q579" s="28"/>
      <c r="R579" s="29"/>
      <c r="S579" s="28"/>
      <c r="T579" s="28"/>
      <c r="U579" s="9" t="s">
        <v>75</v>
      </c>
      <c r="V579" s="9" t="s">
        <v>75</v>
      </c>
      <c r="W579" s="28"/>
    </row>
    <row r="580" spans="1:23" s="12" customFormat="1">
      <c r="A580" s="46" t="s">
        <v>572</v>
      </c>
      <c r="B580" s="28" t="s">
        <v>1333</v>
      </c>
      <c r="C580" s="28" t="s">
        <v>2330</v>
      </c>
      <c r="D580" s="28" t="s">
        <v>2616</v>
      </c>
      <c r="E580" s="28" t="s">
        <v>246</v>
      </c>
      <c r="F580" s="31" t="s">
        <v>17</v>
      </c>
      <c r="G580" s="31" t="s">
        <v>17</v>
      </c>
      <c r="H580" s="31" t="s">
        <v>2362</v>
      </c>
      <c r="I580" s="28" t="str">
        <f>VLOOKUP(E580,표준용어사전!$C$2:$D$494, 2, FALSE)</f>
        <v>명V20</v>
      </c>
      <c r="J580" s="28" t="s">
        <v>718</v>
      </c>
      <c r="K580" s="29" t="s">
        <v>986</v>
      </c>
      <c r="L580" s="55" t="s">
        <v>571</v>
      </c>
      <c r="M580" s="29" t="s">
        <v>727</v>
      </c>
      <c r="N580" s="29" t="s">
        <v>973</v>
      </c>
      <c r="O580" s="28"/>
      <c r="P580" s="28" t="s">
        <v>76</v>
      </c>
      <c r="Q580" s="28"/>
      <c r="R580" s="29"/>
      <c r="S580" s="28"/>
      <c r="T580" s="28"/>
      <c r="U580" s="9" t="s">
        <v>75</v>
      </c>
      <c r="V580" s="9" t="s">
        <v>75</v>
      </c>
      <c r="W580" s="28"/>
    </row>
    <row r="581" spans="1:23" s="12" customFormat="1">
      <c r="A581" s="46" t="s">
        <v>572</v>
      </c>
      <c r="B581" s="28" t="s">
        <v>1333</v>
      </c>
      <c r="C581" s="28" t="s">
        <v>2330</v>
      </c>
      <c r="D581" s="28" t="s">
        <v>2616</v>
      </c>
      <c r="E581" s="28" t="s">
        <v>843</v>
      </c>
      <c r="F581" s="31" t="s">
        <v>2050</v>
      </c>
      <c r="G581" s="31" t="s">
        <v>2050</v>
      </c>
      <c r="H581" s="31" t="s">
        <v>2362</v>
      </c>
      <c r="I581" s="28" t="str">
        <f>VLOOKUP(E581,표준용어사전!$C$2:$D$494, 2, FALSE)</f>
        <v>명V50</v>
      </c>
      <c r="J581" s="28" t="s">
        <v>718</v>
      </c>
      <c r="K581" s="29">
        <v>50</v>
      </c>
      <c r="L581" s="55" t="s">
        <v>571</v>
      </c>
      <c r="M581" s="29" t="s">
        <v>720</v>
      </c>
      <c r="N581" s="29" t="s">
        <v>973</v>
      </c>
      <c r="O581" s="28"/>
      <c r="P581" s="28" t="s">
        <v>76</v>
      </c>
      <c r="Q581" s="28"/>
      <c r="R581" s="29"/>
      <c r="S581" s="28"/>
      <c r="T581" s="28"/>
      <c r="U581" s="9" t="s">
        <v>75</v>
      </c>
      <c r="V581" s="9" t="s">
        <v>75</v>
      </c>
      <c r="W581" s="28"/>
    </row>
    <row r="582" spans="1:23" s="12" customFormat="1">
      <c r="A582" s="46" t="s">
        <v>572</v>
      </c>
      <c r="B582" s="28" t="s">
        <v>1333</v>
      </c>
      <c r="C582" s="28" t="s">
        <v>2330</v>
      </c>
      <c r="D582" s="28" t="s">
        <v>2616</v>
      </c>
      <c r="E582" s="28" t="s">
        <v>268</v>
      </c>
      <c r="F582" s="31" t="s">
        <v>500</v>
      </c>
      <c r="G582" s="31" t="s">
        <v>500</v>
      </c>
      <c r="H582" s="31" t="s">
        <v>2362</v>
      </c>
      <c r="I582" s="28" t="str">
        <f>VLOOKUP(E582,표준용어사전!$C$2:$D$494, 2, FALSE)</f>
        <v>코드C1</v>
      </c>
      <c r="J582" s="28" t="s">
        <v>709</v>
      </c>
      <c r="K582" s="29">
        <v>1</v>
      </c>
      <c r="L582" s="55" t="s">
        <v>571</v>
      </c>
      <c r="M582" s="29" t="s">
        <v>722</v>
      </c>
      <c r="N582" s="29" t="s">
        <v>75</v>
      </c>
      <c r="O582" s="28"/>
      <c r="P582" s="28" t="s">
        <v>76</v>
      </c>
      <c r="Q582" s="28"/>
      <c r="R582" s="29"/>
      <c r="S582" s="28"/>
      <c r="T582" s="28"/>
      <c r="U582" s="9" t="s">
        <v>75</v>
      </c>
      <c r="V582" s="9" t="s">
        <v>75</v>
      </c>
      <c r="W582" s="9"/>
    </row>
    <row r="583" spans="1:23" s="12" customFormat="1">
      <c r="A583" s="46" t="s">
        <v>572</v>
      </c>
      <c r="B583" s="28" t="s">
        <v>1333</v>
      </c>
      <c r="C583" s="28" t="s">
        <v>2330</v>
      </c>
      <c r="D583" s="28" t="s">
        <v>2616</v>
      </c>
      <c r="E583" s="28" t="s">
        <v>252</v>
      </c>
      <c r="F583" s="31" t="s">
        <v>77</v>
      </c>
      <c r="G583" s="31" t="s">
        <v>77</v>
      </c>
      <c r="H583" s="31" t="s">
        <v>2362</v>
      </c>
      <c r="I583" s="28" t="str">
        <f>VLOOKUP(E583,표준용어사전!$C$2:$D$494, 2, FALSE)</f>
        <v>내용TXT</v>
      </c>
      <c r="J583" s="28" t="s">
        <v>713</v>
      </c>
      <c r="K583" s="29" t="s">
        <v>571</v>
      </c>
      <c r="L583" s="55" t="s">
        <v>571</v>
      </c>
      <c r="M583" s="29" t="s">
        <v>2590</v>
      </c>
      <c r="N583" s="29" t="s">
        <v>75</v>
      </c>
      <c r="O583" s="28"/>
      <c r="P583" s="28" t="s">
        <v>76</v>
      </c>
      <c r="Q583" s="28"/>
      <c r="R583" s="29"/>
      <c r="S583" s="28"/>
      <c r="T583" s="9"/>
      <c r="U583" s="9" t="s">
        <v>75</v>
      </c>
      <c r="V583" s="9" t="s">
        <v>75</v>
      </c>
      <c r="W583" s="28"/>
    </row>
    <row r="584" spans="1:23" s="12" customFormat="1">
      <c r="A584" s="46" t="s">
        <v>572</v>
      </c>
      <c r="B584" s="28" t="s">
        <v>1333</v>
      </c>
      <c r="C584" s="28" t="s">
        <v>2330</v>
      </c>
      <c r="D584" s="28" t="s">
        <v>2616</v>
      </c>
      <c r="E584" s="28" t="s">
        <v>90</v>
      </c>
      <c r="F584" s="31" t="s">
        <v>14</v>
      </c>
      <c r="G584" s="31" t="s">
        <v>14</v>
      </c>
      <c r="H584" s="31" t="s">
        <v>2362</v>
      </c>
      <c r="I584" s="28" t="str">
        <f>VLOOKUP(E584,표준용어사전!$C$2:$D$494, 2, FALSE)</f>
        <v>연월일시분초TS</v>
      </c>
      <c r="J584" s="28" t="s">
        <v>719</v>
      </c>
      <c r="K584" s="29" t="s">
        <v>571</v>
      </c>
      <c r="L584" s="55" t="s">
        <v>571</v>
      </c>
      <c r="M584" s="29" t="s">
        <v>726</v>
      </c>
      <c r="N584" s="29" t="s">
        <v>973</v>
      </c>
      <c r="O584" s="28"/>
      <c r="P584" s="28" t="s">
        <v>76</v>
      </c>
      <c r="Q584" s="28"/>
      <c r="R584" s="29"/>
      <c r="S584" s="28"/>
      <c r="T584" s="28"/>
      <c r="U584" s="9" t="s">
        <v>75</v>
      </c>
      <c r="V584" s="9" t="s">
        <v>75</v>
      </c>
      <c r="W584" s="28"/>
    </row>
    <row r="585" spans="1:23" s="12" customFormat="1">
      <c r="A585" s="46" t="s">
        <v>572</v>
      </c>
      <c r="B585" s="28" t="s">
        <v>1333</v>
      </c>
      <c r="C585" s="28" t="s">
        <v>2330</v>
      </c>
      <c r="D585" s="28" t="s">
        <v>2616</v>
      </c>
      <c r="E585" s="28" t="s">
        <v>91</v>
      </c>
      <c r="F585" s="31" t="s">
        <v>369</v>
      </c>
      <c r="G585" s="31" t="s">
        <v>369</v>
      </c>
      <c r="H585" s="31" t="s">
        <v>2362</v>
      </c>
      <c r="I585" s="28" t="str">
        <f>VLOOKUP(E585,표준용어사전!$C$2:$D$494, 2, FALSE)</f>
        <v>명V20</v>
      </c>
      <c r="J585" s="28" t="s">
        <v>718</v>
      </c>
      <c r="K585" s="29" t="s">
        <v>986</v>
      </c>
      <c r="L585" s="55" t="s">
        <v>571</v>
      </c>
      <c r="M585" s="29" t="s">
        <v>727</v>
      </c>
      <c r="N585" s="29" t="s">
        <v>75</v>
      </c>
      <c r="O585" s="28"/>
      <c r="P585" s="28" t="s">
        <v>76</v>
      </c>
      <c r="Q585" s="28"/>
      <c r="R585" s="29"/>
      <c r="S585" s="28"/>
      <c r="T585" s="28"/>
      <c r="U585" s="9" t="s">
        <v>75</v>
      </c>
      <c r="V585" s="9" t="s">
        <v>75</v>
      </c>
      <c r="W585" s="28"/>
    </row>
    <row r="586" spans="1:23" s="12" customFormat="1">
      <c r="A586" s="46" t="s">
        <v>572</v>
      </c>
      <c r="B586" s="28" t="s">
        <v>1333</v>
      </c>
      <c r="C586" s="28" t="s">
        <v>2330</v>
      </c>
      <c r="D586" s="28" t="s">
        <v>2616</v>
      </c>
      <c r="E586" s="28" t="s">
        <v>92</v>
      </c>
      <c r="F586" s="31" t="s">
        <v>15</v>
      </c>
      <c r="G586" s="31" t="s">
        <v>15</v>
      </c>
      <c r="H586" s="31" t="s">
        <v>2362</v>
      </c>
      <c r="I586" s="28" t="str">
        <f>VLOOKUP(E586,표준용어사전!$C$2:$D$494, 2, FALSE)</f>
        <v>연월일시분초TS</v>
      </c>
      <c r="J586" s="28" t="s">
        <v>719</v>
      </c>
      <c r="K586" s="29" t="s">
        <v>571</v>
      </c>
      <c r="L586" s="55" t="s">
        <v>571</v>
      </c>
      <c r="M586" s="29" t="s">
        <v>726</v>
      </c>
      <c r="N586" s="29" t="s">
        <v>75</v>
      </c>
      <c r="O586" s="28"/>
      <c r="P586" s="28" t="s">
        <v>76</v>
      </c>
      <c r="Q586" s="28"/>
      <c r="R586" s="29"/>
      <c r="S586" s="28"/>
      <c r="T586" s="28"/>
      <c r="U586" s="9" t="s">
        <v>75</v>
      </c>
      <c r="V586" s="9" t="s">
        <v>75</v>
      </c>
      <c r="W586" s="28"/>
    </row>
    <row r="587" spans="1:23" s="12" customFormat="1">
      <c r="A587" s="46" t="s">
        <v>572</v>
      </c>
      <c r="B587" s="28" t="s">
        <v>1333</v>
      </c>
      <c r="C587" s="28" t="s">
        <v>2330</v>
      </c>
      <c r="D587" s="28" t="s">
        <v>2616</v>
      </c>
      <c r="E587" s="28" t="s">
        <v>93</v>
      </c>
      <c r="F587" s="31" t="s">
        <v>370</v>
      </c>
      <c r="G587" s="31" t="s">
        <v>370</v>
      </c>
      <c r="H587" s="31" t="s">
        <v>2362</v>
      </c>
      <c r="I587" s="28" t="str">
        <f>VLOOKUP(E587,표준용어사전!$C$2:$D$494, 2, FALSE)</f>
        <v>명V20</v>
      </c>
      <c r="J587" s="28" t="s">
        <v>718</v>
      </c>
      <c r="K587" s="29" t="s">
        <v>986</v>
      </c>
      <c r="L587" s="55" t="s">
        <v>571</v>
      </c>
      <c r="M587" s="29" t="s">
        <v>727</v>
      </c>
      <c r="N587" s="29" t="s">
        <v>75</v>
      </c>
      <c r="O587" s="28"/>
      <c r="P587" s="28" t="s">
        <v>76</v>
      </c>
      <c r="Q587" s="28"/>
      <c r="R587" s="29"/>
      <c r="S587" s="28"/>
      <c r="T587" s="28"/>
      <c r="U587" s="9" t="s">
        <v>75</v>
      </c>
      <c r="V587" s="9" t="s">
        <v>75</v>
      </c>
      <c r="W587" s="28"/>
    </row>
    <row r="588" spans="1:23" s="12" customFormat="1">
      <c r="A588" s="46" t="s">
        <v>572</v>
      </c>
      <c r="B588" s="28" t="s">
        <v>1333</v>
      </c>
      <c r="C588" s="28" t="s">
        <v>2330</v>
      </c>
      <c r="D588" s="28" t="s">
        <v>2617</v>
      </c>
      <c r="E588" s="28" t="s">
        <v>2531</v>
      </c>
      <c r="F588" s="31" t="s">
        <v>2053</v>
      </c>
      <c r="G588" s="31" t="s">
        <v>2053</v>
      </c>
      <c r="H588" s="31" t="s">
        <v>2363</v>
      </c>
      <c r="I588" s="28" t="str">
        <f>VLOOKUP(E588,표준용어사전!$C$2:$D$494, 2, FALSE)</f>
        <v>번호I</v>
      </c>
      <c r="J588" s="28" t="s">
        <v>717</v>
      </c>
      <c r="K588" s="29" t="s">
        <v>571</v>
      </c>
      <c r="L588" s="55" t="s">
        <v>571</v>
      </c>
      <c r="M588" s="29" t="s">
        <v>2591</v>
      </c>
      <c r="N588" s="29" t="s">
        <v>973</v>
      </c>
      <c r="O588" s="28" t="s">
        <v>73</v>
      </c>
      <c r="P588" s="28" t="s">
        <v>76</v>
      </c>
      <c r="Q588" s="28"/>
      <c r="R588" s="29"/>
      <c r="S588" s="28"/>
      <c r="T588" s="28"/>
      <c r="U588" s="9" t="s">
        <v>75</v>
      </c>
      <c r="V588" s="9" t="s">
        <v>75</v>
      </c>
      <c r="W588" s="28"/>
    </row>
    <row r="589" spans="1:23" s="12" customFormat="1">
      <c r="A589" s="46" t="s">
        <v>572</v>
      </c>
      <c r="B589" s="28" t="s">
        <v>1333</v>
      </c>
      <c r="C589" s="28" t="s">
        <v>2330</v>
      </c>
      <c r="D589" s="28" t="s">
        <v>2617</v>
      </c>
      <c r="E589" s="28" t="s">
        <v>246</v>
      </c>
      <c r="F589" s="31" t="s">
        <v>17</v>
      </c>
      <c r="G589" s="31" t="s">
        <v>17</v>
      </c>
      <c r="H589" s="31" t="s">
        <v>2363</v>
      </c>
      <c r="I589" s="28" t="str">
        <f>VLOOKUP(E589,표준용어사전!$C$2:$D$494, 2, FALSE)</f>
        <v>명V20</v>
      </c>
      <c r="J589" s="28" t="s">
        <v>718</v>
      </c>
      <c r="K589" s="29" t="s">
        <v>986</v>
      </c>
      <c r="L589" s="55" t="s">
        <v>571</v>
      </c>
      <c r="M589" s="29" t="s">
        <v>727</v>
      </c>
      <c r="N589" s="29" t="s">
        <v>973</v>
      </c>
      <c r="O589" s="28"/>
      <c r="P589" s="28" t="s">
        <v>76</v>
      </c>
      <c r="Q589" s="28"/>
      <c r="R589" s="29"/>
      <c r="S589" s="28"/>
      <c r="T589" s="28"/>
      <c r="U589" s="9" t="s">
        <v>75</v>
      </c>
      <c r="V589" s="9" t="s">
        <v>75</v>
      </c>
      <c r="W589" s="28"/>
    </row>
    <row r="590" spans="1:23" s="12" customFormat="1">
      <c r="A590" s="46" t="s">
        <v>572</v>
      </c>
      <c r="B590" s="28" t="s">
        <v>1333</v>
      </c>
      <c r="C590" s="28" t="s">
        <v>2330</v>
      </c>
      <c r="D590" s="28" t="s">
        <v>2617</v>
      </c>
      <c r="E590" s="28" t="s">
        <v>89</v>
      </c>
      <c r="F590" s="31" t="s">
        <v>501</v>
      </c>
      <c r="G590" s="31" t="s">
        <v>501</v>
      </c>
      <c r="H590" s="31" t="s">
        <v>2363</v>
      </c>
      <c r="I590" s="28" t="str">
        <f>VLOOKUP(E590,표준용어사전!$C$2:$D$494, 2, FALSE)</f>
        <v>명V20</v>
      </c>
      <c r="J590" s="28" t="s">
        <v>718</v>
      </c>
      <c r="K590" s="29" t="s">
        <v>986</v>
      </c>
      <c r="L590" s="55" t="s">
        <v>571</v>
      </c>
      <c r="M590" s="29" t="s">
        <v>727</v>
      </c>
      <c r="N590" s="29" t="s">
        <v>973</v>
      </c>
      <c r="O590" s="28"/>
      <c r="P590" s="28" t="s">
        <v>76</v>
      </c>
      <c r="Q590" s="28"/>
      <c r="R590" s="29"/>
      <c r="S590" s="28"/>
      <c r="T590" s="28"/>
      <c r="U590" s="9" t="s">
        <v>75</v>
      </c>
      <c r="V590" s="9" t="s">
        <v>75</v>
      </c>
      <c r="W590" s="28"/>
    </row>
    <row r="591" spans="1:23" s="12" customFormat="1">
      <c r="A591" s="46" t="s">
        <v>572</v>
      </c>
      <c r="B591" s="28" t="s">
        <v>1333</v>
      </c>
      <c r="C591" s="28" t="s">
        <v>2330</v>
      </c>
      <c r="D591" s="28" t="s">
        <v>2617</v>
      </c>
      <c r="E591" s="28" t="s">
        <v>268</v>
      </c>
      <c r="F591" s="31" t="s">
        <v>500</v>
      </c>
      <c r="G591" s="31" t="s">
        <v>500</v>
      </c>
      <c r="H591" s="31" t="s">
        <v>2363</v>
      </c>
      <c r="I591" s="28" t="str">
        <f>VLOOKUP(E591,표준용어사전!$C$2:$D$494, 2, FALSE)</f>
        <v>코드C1</v>
      </c>
      <c r="J591" s="28" t="s">
        <v>709</v>
      </c>
      <c r="K591" s="29">
        <v>1</v>
      </c>
      <c r="L591" s="55" t="s">
        <v>571</v>
      </c>
      <c r="M591" s="29" t="s">
        <v>722</v>
      </c>
      <c r="N591" s="29" t="s">
        <v>75</v>
      </c>
      <c r="O591" s="28"/>
      <c r="P591" s="28" t="s">
        <v>76</v>
      </c>
      <c r="Q591" s="28"/>
      <c r="R591" s="29"/>
      <c r="S591" s="28"/>
      <c r="T591" s="28"/>
      <c r="U591" s="9" t="s">
        <v>75</v>
      </c>
      <c r="V591" s="9" t="s">
        <v>75</v>
      </c>
      <c r="W591" s="9"/>
    </row>
    <row r="592" spans="1:23" s="12" customFormat="1">
      <c r="A592" s="46" t="s">
        <v>572</v>
      </c>
      <c r="B592" s="28" t="s">
        <v>1333</v>
      </c>
      <c r="C592" s="28" t="s">
        <v>2330</v>
      </c>
      <c r="D592" s="28" t="s">
        <v>2617</v>
      </c>
      <c r="E592" s="28" t="s">
        <v>252</v>
      </c>
      <c r="F592" s="31" t="s">
        <v>77</v>
      </c>
      <c r="G592" s="31" t="s">
        <v>77</v>
      </c>
      <c r="H592" s="31" t="s">
        <v>2363</v>
      </c>
      <c r="I592" s="28" t="str">
        <f>VLOOKUP(E592,표준용어사전!$C$2:$D$494, 2, FALSE)</f>
        <v>내용TXT</v>
      </c>
      <c r="J592" s="28" t="s">
        <v>713</v>
      </c>
      <c r="K592" s="29" t="s">
        <v>571</v>
      </c>
      <c r="L592" s="55" t="s">
        <v>571</v>
      </c>
      <c r="M592" s="29" t="s">
        <v>2590</v>
      </c>
      <c r="N592" s="29" t="s">
        <v>75</v>
      </c>
      <c r="O592" s="28"/>
      <c r="P592" s="28" t="s">
        <v>76</v>
      </c>
      <c r="Q592" s="28"/>
      <c r="R592" s="29"/>
      <c r="S592" s="28"/>
      <c r="T592" s="28"/>
      <c r="U592" s="9" t="s">
        <v>75</v>
      </c>
      <c r="V592" s="9" t="s">
        <v>75</v>
      </c>
      <c r="W592" s="9"/>
    </row>
    <row r="593" spans="1:23" s="12" customFormat="1">
      <c r="A593" s="46" t="s">
        <v>572</v>
      </c>
      <c r="B593" s="28" t="s">
        <v>1333</v>
      </c>
      <c r="C593" s="28" t="s">
        <v>2330</v>
      </c>
      <c r="D593" s="28" t="s">
        <v>2617</v>
      </c>
      <c r="E593" s="28" t="s">
        <v>90</v>
      </c>
      <c r="F593" s="31" t="s">
        <v>14</v>
      </c>
      <c r="G593" s="31" t="s">
        <v>14</v>
      </c>
      <c r="H593" s="31" t="s">
        <v>2363</v>
      </c>
      <c r="I593" s="28" t="str">
        <f>VLOOKUP(E593,표준용어사전!$C$2:$D$494, 2, FALSE)</f>
        <v>연월일시분초TS</v>
      </c>
      <c r="J593" s="28" t="s">
        <v>719</v>
      </c>
      <c r="K593" s="29" t="s">
        <v>571</v>
      </c>
      <c r="L593" s="55" t="s">
        <v>571</v>
      </c>
      <c r="M593" s="29" t="s">
        <v>726</v>
      </c>
      <c r="N593" s="29" t="s">
        <v>973</v>
      </c>
      <c r="O593" s="28"/>
      <c r="P593" s="28" t="s">
        <v>76</v>
      </c>
      <c r="Q593" s="28"/>
      <c r="R593" s="29"/>
      <c r="S593" s="28"/>
      <c r="T593" s="28"/>
      <c r="U593" s="9" t="s">
        <v>75</v>
      </c>
      <c r="V593" s="9" t="s">
        <v>75</v>
      </c>
      <c r="W593" s="28"/>
    </row>
    <row r="594" spans="1:23" s="12" customFormat="1">
      <c r="A594" s="46" t="s">
        <v>572</v>
      </c>
      <c r="B594" s="28" t="s">
        <v>1333</v>
      </c>
      <c r="C594" s="28" t="s">
        <v>2330</v>
      </c>
      <c r="D594" s="28" t="s">
        <v>2617</v>
      </c>
      <c r="E594" s="28" t="s">
        <v>91</v>
      </c>
      <c r="F594" s="31" t="s">
        <v>369</v>
      </c>
      <c r="G594" s="31" t="s">
        <v>369</v>
      </c>
      <c r="H594" s="31" t="s">
        <v>2363</v>
      </c>
      <c r="I594" s="28" t="str">
        <f>VLOOKUP(E594,표준용어사전!$C$2:$D$494, 2, FALSE)</f>
        <v>명V20</v>
      </c>
      <c r="J594" s="28" t="s">
        <v>718</v>
      </c>
      <c r="K594" s="29" t="s">
        <v>986</v>
      </c>
      <c r="L594" s="55" t="s">
        <v>571</v>
      </c>
      <c r="M594" s="29" t="s">
        <v>727</v>
      </c>
      <c r="N594" s="29" t="s">
        <v>75</v>
      </c>
      <c r="O594" s="28"/>
      <c r="P594" s="28" t="s">
        <v>76</v>
      </c>
      <c r="Q594" s="28"/>
      <c r="R594" s="29"/>
      <c r="S594" s="28"/>
      <c r="T594" s="28"/>
      <c r="U594" s="9" t="s">
        <v>75</v>
      </c>
      <c r="V594" s="9" t="s">
        <v>75</v>
      </c>
      <c r="W594" s="28"/>
    </row>
    <row r="595" spans="1:23" s="12" customFormat="1">
      <c r="A595" s="46" t="s">
        <v>572</v>
      </c>
      <c r="B595" s="28" t="s">
        <v>1333</v>
      </c>
      <c r="C595" s="28" t="s">
        <v>2330</v>
      </c>
      <c r="D595" s="28" t="s">
        <v>2617</v>
      </c>
      <c r="E595" s="28" t="s">
        <v>92</v>
      </c>
      <c r="F595" s="31" t="s">
        <v>15</v>
      </c>
      <c r="G595" s="31" t="s">
        <v>15</v>
      </c>
      <c r="H595" s="31" t="s">
        <v>2363</v>
      </c>
      <c r="I595" s="28" t="str">
        <f>VLOOKUP(E595,표준용어사전!$C$2:$D$494, 2, FALSE)</f>
        <v>연월일시분초TS</v>
      </c>
      <c r="J595" s="28" t="s">
        <v>719</v>
      </c>
      <c r="K595" s="29" t="s">
        <v>571</v>
      </c>
      <c r="L595" s="55" t="s">
        <v>571</v>
      </c>
      <c r="M595" s="29" t="s">
        <v>726</v>
      </c>
      <c r="N595" s="29" t="s">
        <v>75</v>
      </c>
      <c r="O595" s="28"/>
      <c r="P595" s="28" t="s">
        <v>76</v>
      </c>
      <c r="Q595" s="28"/>
      <c r="R595" s="29"/>
      <c r="S595" s="28"/>
      <c r="T595" s="28"/>
      <c r="U595" s="9" t="s">
        <v>75</v>
      </c>
      <c r="V595" s="9" t="s">
        <v>75</v>
      </c>
      <c r="W595" s="28"/>
    </row>
    <row r="596" spans="1:23" s="12" customFormat="1">
      <c r="A596" s="46" t="s">
        <v>572</v>
      </c>
      <c r="B596" s="28" t="s">
        <v>1333</v>
      </c>
      <c r="C596" s="28" t="s">
        <v>2330</v>
      </c>
      <c r="D596" s="28" t="s">
        <v>2617</v>
      </c>
      <c r="E596" s="28" t="s">
        <v>93</v>
      </c>
      <c r="F596" s="31" t="s">
        <v>370</v>
      </c>
      <c r="G596" s="31" t="s">
        <v>370</v>
      </c>
      <c r="H596" s="31" t="s">
        <v>2363</v>
      </c>
      <c r="I596" s="28" t="str">
        <f>VLOOKUP(E596,표준용어사전!$C$2:$D$494, 2, FALSE)</f>
        <v>명V20</v>
      </c>
      <c r="J596" s="28" t="s">
        <v>718</v>
      </c>
      <c r="K596" s="29" t="s">
        <v>986</v>
      </c>
      <c r="L596" s="55" t="s">
        <v>571</v>
      </c>
      <c r="M596" s="29" t="s">
        <v>727</v>
      </c>
      <c r="N596" s="29" t="s">
        <v>75</v>
      </c>
      <c r="O596" s="28"/>
      <c r="P596" s="28" t="s">
        <v>76</v>
      </c>
      <c r="Q596" s="28"/>
      <c r="R596" s="29"/>
      <c r="S596" s="28"/>
      <c r="T596" s="28"/>
      <c r="U596" s="9" t="s">
        <v>75</v>
      </c>
      <c r="V596" s="9" t="s">
        <v>75</v>
      </c>
      <c r="W596" s="28"/>
    </row>
    <row r="597" spans="1:23" s="12" customFormat="1">
      <c r="A597" s="46" t="s">
        <v>572</v>
      </c>
      <c r="B597" s="28" t="s">
        <v>1333</v>
      </c>
      <c r="C597" s="28" t="s">
        <v>2330</v>
      </c>
      <c r="D597" s="28" t="s">
        <v>2454</v>
      </c>
      <c r="E597" s="28" t="s">
        <v>89</v>
      </c>
      <c r="F597" s="31" t="s">
        <v>501</v>
      </c>
      <c r="G597" s="31" t="s">
        <v>501</v>
      </c>
      <c r="H597" s="31" t="s">
        <v>2364</v>
      </c>
      <c r="I597" s="28" t="str">
        <f>VLOOKUP(E597,표준용어사전!$C$2:$D$494, 2, FALSE)</f>
        <v>명V20</v>
      </c>
      <c r="J597" s="28" t="s">
        <v>718</v>
      </c>
      <c r="K597" s="29" t="s">
        <v>986</v>
      </c>
      <c r="L597" s="55" t="s">
        <v>571</v>
      </c>
      <c r="M597" s="29" t="s">
        <v>727</v>
      </c>
      <c r="N597" s="29" t="s">
        <v>973</v>
      </c>
      <c r="O597" s="28" t="s">
        <v>73</v>
      </c>
      <c r="P597" s="28" t="s">
        <v>76</v>
      </c>
      <c r="Q597" s="28"/>
      <c r="R597" s="29"/>
      <c r="S597" s="28"/>
      <c r="T597" s="28"/>
      <c r="U597" s="9" t="s">
        <v>75</v>
      </c>
      <c r="V597" s="9" t="s">
        <v>75</v>
      </c>
      <c r="W597" s="28"/>
    </row>
    <row r="598" spans="1:23" s="12" customFormat="1">
      <c r="A598" s="46" t="s">
        <v>572</v>
      </c>
      <c r="B598" s="28" t="s">
        <v>1333</v>
      </c>
      <c r="C598" s="28" t="s">
        <v>2330</v>
      </c>
      <c r="D598" s="28" t="s">
        <v>2454</v>
      </c>
      <c r="E598" s="28" t="s">
        <v>843</v>
      </c>
      <c r="F598" s="31" t="s">
        <v>2050</v>
      </c>
      <c r="G598" s="31" t="s">
        <v>2050</v>
      </c>
      <c r="H598" s="31" t="s">
        <v>2364</v>
      </c>
      <c r="I598" s="28" t="str">
        <f>VLOOKUP(E598,표준용어사전!$C$2:$D$494, 2, FALSE)</f>
        <v>명V50</v>
      </c>
      <c r="J598" s="28" t="s">
        <v>718</v>
      </c>
      <c r="K598" s="29">
        <v>50</v>
      </c>
      <c r="L598" s="55" t="s">
        <v>571</v>
      </c>
      <c r="M598" s="29" t="s">
        <v>720</v>
      </c>
      <c r="N598" s="10" t="s">
        <v>973</v>
      </c>
      <c r="O598" s="9" t="s">
        <v>74</v>
      </c>
      <c r="P598" s="9" t="s">
        <v>76</v>
      </c>
      <c r="Q598" s="28"/>
      <c r="R598" s="29"/>
      <c r="S598" s="9"/>
      <c r="T598" s="9"/>
      <c r="U598" s="9" t="s">
        <v>75</v>
      </c>
      <c r="V598" s="9" t="s">
        <v>75</v>
      </c>
      <c r="W598" s="9"/>
    </row>
    <row r="599" spans="1:23" s="12" customFormat="1">
      <c r="A599" s="46" t="s">
        <v>572</v>
      </c>
      <c r="B599" s="28" t="s">
        <v>1333</v>
      </c>
      <c r="C599" s="28" t="s">
        <v>2330</v>
      </c>
      <c r="D599" s="28" t="s">
        <v>2454</v>
      </c>
      <c r="E599" s="28" t="s">
        <v>845</v>
      </c>
      <c r="F599" s="31" t="s">
        <v>757</v>
      </c>
      <c r="G599" s="31" t="s">
        <v>757</v>
      </c>
      <c r="H599" s="31" t="s">
        <v>2364</v>
      </c>
      <c r="I599" s="28" t="str">
        <f>VLOOKUP(E599,표준용어사전!$C$2:$D$494, 2, FALSE)</f>
        <v>여부C1</v>
      </c>
      <c r="J599" s="28" t="s">
        <v>709</v>
      </c>
      <c r="K599" s="29">
        <v>1</v>
      </c>
      <c r="L599" s="55" t="s">
        <v>571</v>
      </c>
      <c r="M599" s="29" t="s">
        <v>722</v>
      </c>
      <c r="N599" s="29" t="s">
        <v>75</v>
      </c>
      <c r="O599" s="28"/>
      <c r="P599" s="28" t="s">
        <v>76</v>
      </c>
      <c r="Q599" s="28"/>
      <c r="R599" s="29"/>
      <c r="S599" s="28"/>
      <c r="T599" s="28"/>
      <c r="U599" s="9" t="s">
        <v>75</v>
      </c>
      <c r="V599" s="9" t="s">
        <v>75</v>
      </c>
      <c r="W599" s="28"/>
    </row>
    <row r="600" spans="1:23" s="12" customFormat="1">
      <c r="A600" s="46" t="s">
        <v>572</v>
      </c>
      <c r="B600" s="28" t="s">
        <v>1333</v>
      </c>
      <c r="C600" s="28" t="s">
        <v>2330</v>
      </c>
      <c r="D600" s="9" t="s">
        <v>2454</v>
      </c>
      <c r="E600" s="28" t="s">
        <v>90</v>
      </c>
      <c r="F600" s="31" t="s">
        <v>14</v>
      </c>
      <c r="G600" s="31" t="s">
        <v>14</v>
      </c>
      <c r="H600" s="31" t="s">
        <v>2364</v>
      </c>
      <c r="I600" s="28" t="str">
        <f>VLOOKUP(E600,표준용어사전!$C$2:$D$494, 2, FALSE)</f>
        <v>연월일시분초TS</v>
      </c>
      <c r="J600" s="28" t="s">
        <v>719</v>
      </c>
      <c r="K600" s="29" t="s">
        <v>571</v>
      </c>
      <c r="L600" s="55" t="s">
        <v>571</v>
      </c>
      <c r="M600" s="29" t="s">
        <v>726</v>
      </c>
      <c r="N600" s="29" t="s">
        <v>973</v>
      </c>
      <c r="O600" s="9"/>
      <c r="P600" s="9" t="s">
        <v>76</v>
      </c>
      <c r="Q600" s="28"/>
      <c r="R600" s="29"/>
      <c r="S600" s="9"/>
      <c r="T600" s="9"/>
      <c r="U600" s="9" t="s">
        <v>75</v>
      </c>
      <c r="V600" s="9" t="s">
        <v>75</v>
      </c>
      <c r="W600" s="9"/>
    </row>
    <row r="601" spans="1:23" s="12" customFormat="1">
      <c r="A601" s="46" t="s">
        <v>572</v>
      </c>
      <c r="B601" s="28" t="s">
        <v>1333</v>
      </c>
      <c r="C601" s="28" t="s">
        <v>2330</v>
      </c>
      <c r="D601" s="9" t="s">
        <v>2454</v>
      </c>
      <c r="E601" s="28" t="s">
        <v>91</v>
      </c>
      <c r="F601" s="31" t="s">
        <v>369</v>
      </c>
      <c r="G601" s="31" t="s">
        <v>369</v>
      </c>
      <c r="H601" s="31" t="s">
        <v>2364</v>
      </c>
      <c r="I601" s="28" t="str">
        <f>VLOOKUP(E601,표준용어사전!$C$2:$D$494, 2, FALSE)</f>
        <v>명V20</v>
      </c>
      <c r="J601" s="28" t="s">
        <v>718</v>
      </c>
      <c r="K601" s="29" t="s">
        <v>986</v>
      </c>
      <c r="L601" s="55" t="s">
        <v>571</v>
      </c>
      <c r="M601" s="29" t="s">
        <v>727</v>
      </c>
      <c r="N601" s="10" t="s">
        <v>75</v>
      </c>
      <c r="O601" s="9"/>
      <c r="P601" s="9" t="s">
        <v>76</v>
      </c>
      <c r="Q601" s="28"/>
      <c r="R601" s="29"/>
      <c r="S601" s="9"/>
      <c r="T601" s="9"/>
      <c r="U601" s="9" t="s">
        <v>75</v>
      </c>
      <c r="V601" s="9" t="s">
        <v>75</v>
      </c>
      <c r="W601" s="9"/>
    </row>
    <row r="602" spans="1:23" s="12" customFormat="1">
      <c r="A602" s="46" t="s">
        <v>572</v>
      </c>
      <c r="B602" s="28" t="s">
        <v>1333</v>
      </c>
      <c r="C602" s="28" t="s">
        <v>2330</v>
      </c>
      <c r="D602" s="9" t="s">
        <v>2454</v>
      </c>
      <c r="E602" s="28" t="s">
        <v>92</v>
      </c>
      <c r="F602" s="31" t="s">
        <v>15</v>
      </c>
      <c r="G602" s="31" t="s">
        <v>15</v>
      </c>
      <c r="H602" s="31" t="s">
        <v>2364</v>
      </c>
      <c r="I602" s="28" t="str">
        <f>VLOOKUP(E602,표준용어사전!$C$2:$D$494, 2, FALSE)</f>
        <v>연월일시분초TS</v>
      </c>
      <c r="J602" s="28" t="s">
        <v>719</v>
      </c>
      <c r="K602" s="29" t="s">
        <v>571</v>
      </c>
      <c r="L602" s="55" t="s">
        <v>571</v>
      </c>
      <c r="M602" s="29" t="s">
        <v>726</v>
      </c>
      <c r="N602" s="10" t="s">
        <v>75</v>
      </c>
      <c r="O602" s="9"/>
      <c r="P602" s="9" t="s">
        <v>76</v>
      </c>
      <c r="Q602" s="28"/>
      <c r="R602" s="29"/>
      <c r="S602" s="9"/>
      <c r="T602" s="9"/>
      <c r="U602" s="9" t="s">
        <v>75</v>
      </c>
      <c r="V602" s="9" t="s">
        <v>75</v>
      </c>
      <c r="W602" s="9"/>
    </row>
    <row r="603" spans="1:23" s="12" customFormat="1">
      <c r="A603" s="46" t="s">
        <v>572</v>
      </c>
      <c r="B603" s="28" t="s">
        <v>1333</v>
      </c>
      <c r="C603" s="28" t="s">
        <v>2330</v>
      </c>
      <c r="D603" s="28" t="s">
        <v>2454</v>
      </c>
      <c r="E603" s="28" t="s">
        <v>93</v>
      </c>
      <c r="F603" s="31" t="s">
        <v>370</v>
      </c>
      <c r="G603" s="31" t="s">
        <v>370</v>
      </c>
      <c r="H603" s="31" t="s">
        <v>2364</v>
      </c>
      <c r="I603" s="28" t="str">
        <f>VLOOKUP(E603,표준용어사전!$C$2:$D$494, 2, FALSE)</f>
        <v>명V20</v>
      </c>
      <c r="J603" s="28" t="s">
        <v>718</v>
      </c>
      <c r="K603" s="29" t="s">
        <v>986</v>
      </c>
      <c r="L603" s="55" t="s">
        <v>571</v>
      </c>
      <c r="M603" s="29" t="s">
        <v>727</v>
      </c>
      <c r="N603" s="29" t="s">
        <v>75</v>
      </c>
      <c r="O603" s="28"/>
      <c r="P603" s="28" t="s">
        <v>76</v>
      </c>
      <c r="Q603" s="28"/>
      <c r="R603" s="29"/>
      <c r="S603" s="28"/>
      <c r="T603" s="28"/>
      <c r="U603" s="9" t="s">
        <v>75</v>
      </c>
      <c r="V603" s="9" t="s">
        <v>75</v>
      </c>
      <c r="W603" s="28"/>
    </row>
    <row r="604" spans="1:23" s="12" customFormat="1">
      <c r="A604" s="46" t="s">
        <v>572</v>
      </c>
      <c r="B604" s="28" t="s">
        <v>1333</v>
      </c>
      <c r="C604" s="28" t="s">
        <v>2330</v>
      </c>
      <c r="D604" s="28" t="s">
        <v>2455</v>
      </c>
      <c r="E604" s="28" t="s">
        <v>843</v>
      </c>
      <c r="F604" s="31" t="s">
        <v>2050</v>
      </c>
      <c r="G604" s="31" t="s">
        <v>2050</v>
      </c>
      <c r="H604" s="31" t="s">
        <v>2365</v>
      </c>
      <c r="I604" s="28" t="str">
        <f>VLOOKUP(E604,표준용어사전!$C$2:$D$494, 2, FALSE)</f>
        <v>명V50</v>
      </c>
      <c r="J604" s="28" t="s">
        <v>718</v>
      </c>
      <c r="K604" s="29">
        <v>50</v>
      </c>
      <c r="L604" s="55" t="s">
        <v>571</v>
      </c>
      <c r="M604" s="29" t="s">
        <v>720</v>
      </c>
      <c r="N604" s="29" t="s">
        <v>973</v>
      </c>
      <c r="O604" s="28" t="s">
        <v>73</v>
      </c>
      <c r="P604" s="28" t="s">
        <v>76</v>
      </c>
      <c r="Q604" s="28"/>
      <c r="R604" s="29"/>
      <c r="S604" s="28"/>
      <c r="T604" s="28"/>
      <c r="U604" s="28" t="s">
        <v>75</v>
      </c>
      <c r="V604" s="28" t="s">
        <v>75</v>
      </c>
      <c r="W604" s="28"/>
    </row>
    <row r="605" spans="1:23" s="12" customFormat="1">
      <c r="A605" s="46" t="s">
        <v>572</v>
      </c>
      <c r="B605" s="28" t="s">
        <v>1333</v>
      </c>
      <c r="C605" s="28" t="s">
        <v>2330</v>
      </c>
      <c r="D605" s="28" t="s">
        <v>2455</v>
      </c>
      <c r="E605" s="28" t="s">
        <v>2041</v>
      </c>
      <c r="F605" s="31" t="s">
        <v>2040</v>
      </c>
      <c r="G605" s="31" t="s">
        <v>2040</v>
      </c>
      <c r="H605" s="31" t="s">
        <v>2365</v>
      </c>
      <c r="I605" s="28" t="str">
        <f>VLOOKUP(E605,표준용어사전!$C$2:$D$494, 2, FALSE)</f>
        <v>내용V2000</v>
      </c>
      <c r="J605" s="28" t="s">
        <v>718</v>
      </c>
      <c r="K605" s="29">
        <v>2000</v>
      </c>
      <c r="L605" s="55" t="s">
        <v>571</v>
      </c>
      <c r="M605" s="29" t="s">
        <v>728</v>
      </c>
      <c r="N605" s="29" t="s">
        <v>75</v>
      </c>
      <c r="O605" s="28"/>
      <c r="P605" s="28" t="s">
        <v>76</v>
      </c>
      <c r="Q605" s="28"/>
      <c r="R605" s="29"/>
      <c r="S605" s="28"/>
      <c r="T605" s="28"/>
      <c r="U605" s="9" t="s">
        <v>75</v>
      </c>
      <c r="V605" s="9" t="s">
        <v>75</v>
      </c>
      <c r="W605" s="28"/>
    </row>
    <row r="606" spans="1:23" s="12" customFormat="1">
      <c r="A606" s="46" t="s">
        <v>572</v>
      </c>
      <c r="B606" s="28" t="s">
        <v>1333</v>
      </c>
      <c r="C606" s="28" t="s">
        <v>2330</v>
      </c>
      <c r="D606" s="28" t="s">
        <v>2455</v>
      </c>
      <c r="E606" s="28" t="s">
        <v>2524</v>
      </c>
      <c r="F606" s="31" t="s">
        <v>2043</v>
      </c>
      <c r="G606" s="31" t="s">
        <v>2043</v>
      </c>
      <c r="H606" s="31" t="s">
        <v>2365</v>
      </c>
      <c r="I606" s="28" t="str">
        <f>VLOOKUP(E606,표준용어사전!$C$2:$D$494, 2, FALSE)</f>
        <v>명TXT</v>
      </c>
      <c r="J606" s="28" t="s">
        <v>713</v>
      </c>
      <c r="K606" s="29" t="s">
        <v>571</v>
      </c>
      <c r="L606" s="55" t="s">
        <v>571</v>
      </c>
      <c r="M606" s="29" t="s">
        <v>2590</v>
      </c>
      <c r="N606" s="29" t="s">
        <v>75</v>
      </c>
      <c r="O606" s="28"/>
      <c r="P606" s="28" t="s">
        <v>76</v>
      </c>
      <c r="Q606" s="28"/>
      <c r="R606" s="29"/>
      <c r="S606" s="28"/>
      <c r="T606" s="9"/>
      <c r="U606" s="9" t="s">
        <v>75</v>
      </c>
      <c r="V606" s="9" t="s">
        <v>75</v>
      </c>
      <c r="W606" s="28"/>
    </row>
    <row r="607" spans="1:23" s="12" customFormat="1">
      <c r="A607" s="46" t="s">
        <v>572</v>
      </c>
      <c r="B607" s="28" t="s">
        <v>1333</v>
      </c>
      <c r="C607" s="28" t="s">
        <v>2330</v>
      </c>
      <c r="D607" s="28" t="s">
        <v>2455</v>
      </c>
      <c r="E607" s="28" t="s">
        <v>2532</v>
      </c>
      <c r="F607" s="31" t="s">
        <v>2051</v>
      </c>
      <c r="G607" s="31" t="s">
        <v>2051</v>
      </c>
      <c r="H607" s="31" t="s">
        <v>2365</v>
      </c>
      <c r="I607" s="28" t="str">
        <f>VLOOKUP(E607,표준용어사전!$C$2:$D$494, 2, FALSE)</f>
        <v>내용TXT</v>
      </c>
      <c r="J607" s="28" t="s">
        <v>713</v>
      </c>
      <c r="K607" s="29" t="s">
        <v>571</v>
      </c>
      <c r="L607" s="55" t="s">
        <v>571</v>
      </c>
      <c r="M607" s="29" t="s">
        <v>2590</v>
      </c>
      <c r="N607" s="29" t="s">
        <v>75</v>
      </c>
      <c r="O607" s="28"/>
      <c r="P607" s="28" t="s">
        <v>76</v>
      </c>
      <c r="Q607" s="28"/>
      <c r="R607" s="29"/>
      <c r="S607" s="28"/>
      <c r="T607" s="28"/>
      <c r="U607" s="9" t="s">
        <v>75</v>
      </c>
      <c r="V607" s="9" t="s">
        <v>75</v>
      </c>
      <c r="W607" s="28"/>
    </row>
    <row r="608" spans="1:23" s="12" customFormat="1">
      <c r="A608" s="46" t="s">
        <v>572</v>
      </c>
      <c r="B608" s="28" t="s">
        <v>1333</v>
      </c>
      <c r="C608" s="28" t="s">
        <v>2330</v>
      </c>
      <c r="D608" s="28" t="s">
        <v>2455</v>
      </c>
      <c r="E608" s="28" t="s">
        <v>2525</v>
      </c>
      <c r="F608" s="31" t="s">
        <v>2047</v>
      </c>
      <c r="G608" s="31" t="s">
        <v>2047</v>
      </c>
      <c r="H608" s="31" t="s">
        <v>2365</v>
      </c>
      <c r="I608" s="28" t="str">
        <f>VLOOKUP(E608,표준용어사전!$C$2:$D$494, 2, FALSE)</f>
        <v>내용TXT</v>
      </c>
      <c r="J608" s="28" t="s">
        <v>713</v>
      </c>
      <c r="K608" s="29" t="s">
        <v>571</v>
      </c>
      <c r="L608" s="55" t="s">
        <v>571</v>
      </c>
      <c r="M608" s="29" t="s">
        <v>2590</v>
      </c>
      <c r="N608" s="29" t="s">
        <v>75</v>
      </c>
      <c r="O608" s="28"/>
      <c r="P608" s="28" t="s">
        <v>76</v>
      </c>
      <c r="Q608" s="28"/>
      <c r="R608" s="29"/>
      <c r="S608" s="28"/>
      <c r="T608" s="28"/>
      <c r="U608" s="9" t="s">
        <v>75</v>
      </c>
      <c r="V608" s="9" t="s">
        <v>75</v>
      </c>
      <c r="W608" s="28"/>
    </row>
    <row r="609" spans="1:23" s="12" customFormat="1">
      <c r="A609" s="46" t="s">
        <v>572</v>
      </c>
      <c r="B609" s="28" t="s">
        <v>1333</v>
      </c>
      <c r="C609" s="28" t="s">
        <v>2330</v>
      </c>
      <c r="D609" s="28" t="s">
        <v>2455</v>
      </c>
      <c r="E609" s="28" t="s">
        <v>2527</v>
      </c>
      <c r="F609" s="31" t="s">
        <v>2044</v>
      </c>
      <c r="G609" s="31" t="s">
        <v>2044</v>
      </c>
      <c r="H609" s="31" t="s">
        <v>2365</v>
      </c>
      <c r="I609" s="28" t="str">
        <f>VLOOKUP(E609,표준용어사전!$C$2:$D$494, 2, FALSE)</f>
        <v>주소V2000</v>
      </c>
      <c r="J609" s="28" t="s">
        <v>718</v>
      </c>
      <c r="K609" s="29">
        <v>2000</v>
      </c>
      <c r="L609" s="55" t="s">
        <v>571</v>
      </c>
      <c r="M609" s="29" t="s">
        <v>728</v>
      </c>
      <c r="N609" s="29" t="s">
        <v>75</v>
      </c>
      <c r="O609" s="28"/>
      <c r="P609" s="28" t="s">
        <v>76</v>
      </c>
      <c r="Q609" s="28"/>
      <c r="R609" s="29"/>
      <c r="S609" s="28"/>
      <c r="T609" s="28"/>
      <c r="U609" s="9" t="s">
        <v>75</v>
      </c>
      <c r="V609" s="9" t="s">
        <v>75</v>
      </c>
      <c r="W609" s="28"/>
    </row>
    <row r="610" spans="1:23" s="12" customFormat="1">
      <c r="A610" s="46" t="s">
        <v>572</v>
      </c>
      <c r="B610" s="28" t="s">
        <v>1333</v>
      </c>
      <c r="C610" s="28" t="s">
        <v>2330</v>
      </c>
      <c r="D610" s="28" t="s">
        <v>2455</v>
      </c>
      <c r="E610" s="28" t="s">
        <v>2526</v>
      </c>
      <c r="F610" s="31" t="s">
        <v>2424</v>
      </c>
      <c r="G610" s="31" t="s">
        <v>2424</v>
      </c>
      <c r="H610" s="31" t="s">
        <v>2365</v>
      </c>
      <c r="I610" s="28" t="str">
        <f>VLOOKUP(E610,표준용어사전!$C$2:$D$494, 2, FALSE)</f>
        <v>연도C4</v>
      </c>
      <c r="J610" s="28" t="s">
        <v>709</v>
      </c>
      <c r="K610" s="29">
        <v>4</v>
      </c>
      <c r="L610" s="55" t="s">
        <v>571</v>
      </c>
      <c r="M610" s="29" t="s">
        <v>1352</v>
      </c>
      <c r="N610" s="29" t="s">
        <v>75</v>
      </c>
      <c r="O610" s="28"/>
      <c r="P610" s="28" t="s">
        <v>76</v>
      </c>
      <c r="Q610" s="28"/>
      <c r="R610" s="29"/>
      <c r="S610" s="28"/>
      <c r="T610" s="28"/>
      <c r="U610" s="9" t="s">
        <v>75</v>
      </c>
      <c r="V610" s="9" t="s">
        <v>75</v>
      </c>
      <c r="W610" s="28"/>
    </row>
    <row r="611" spans="1:23" s="12" customFormat="1">
      <c r="A611" s="46" t="s">
        <v>572</v>
      </c>
      <c r="B611" s="28" t="s">
        <v>1333</v>
      </c>
      <c r="C611" s="28" t="s">
        <v>2330</v>
      </c>
      <c r="D611" s="28" t="s">
        <v>2455</v>
      </c>
      <c r="E611" s="28" t="s">
        <v>2533</v>
      </c>
      <c r="F611" s="31" t="s">
        <v>2045</v>
      </c>
      <c r="G611" s="31" t="s">
        <v>2045</v>
      </c>
      <c r="H611" s="31" t="s">
        <v>2365</v>
      </c>
      <c r="I611" s="28" t="str">
        <f>VLOOKUP(E611,표준용어사전!$C$2:$D$494, 2, FALSE)</f>
        <v>여부C1</v>
      </c>
      <c r="J611" s="28" t="s">
        <v>709</v>
      </c>
      <c r="K611" s="29">
        <v>1</v>
      </c>
      <c r="L611" s="55" t="s">
        <v>571</v>
      </c>
      <c r="M611" s="29" t="s">
        <v>722</v>
      </c>
      <c r="N611" s="29" t="s">
        <v>2718</v>
      </c>
      <c r="O611" s="28"/>
      <c r="P611" s="28" t="s">
        <v>76</v>
      </c>
      <c r="Q611" s="28"/>
      <c r="R611" s="29"/>
      <c r="S611" s="28"/>
      <c r="T611" s="28"/>
      <c r="U611" s="9" t="s">
        <v>75</v>
      </c>
      <c r="V611" s="9" t="s">
        <v>75</v>
      </c>
      <c r="W611" s="28"/>
    </row>
    <row r="612" spans="1:23" s="12" customFormat="1">
      <c r="A612" s="46" t="s">
        <v>572</v>
      </c>
      <c r="B612" s="28" t="s">
        <v>1333</v>
      </c>
      <c r="C612" s="28" t="s">
        <v>2330</v>
      </c>
      <c r="D612" s="28" t="s">
        <v>2455</v>
      </c>
      <c r="E612" s="28" t="s">
        <v>2534</v>
      </c>
      <c r="F612" s="31" t="s">
        <v>2052</v>
      </c>
      <c r="G612" s="31" t="s">
        <v>2052</v>
      </c>
      <c r="H612" s="31" t="s">
        <v>2365</v>
      </c>
      <c r="I612" s="28" t="str">
        <f>VLOOKUP(E612,표준용어사전!$C$2:$D$494, 2, FALSE)</f>
        <v>여부C1</v>
      </c>
      <c r="J612" s="28" t="s">
        <v>709</v>
      </c>
      <c r="K612" s="29">
        <v>1</v>
      </c>
      <c r="L612" s="55" t="s">
        <v>571</v>
      </c>
      <c r="M612" s="29" t="s">
        <v>722</v>
      </c>
      <c r="N612" s="29" t="s">
        <v>75</v>
      </c>
      <c r="O612" s="28"/>
      <c r="P612" s="28" t="s">
        <v>76</v>
      </c>
      <c r="Q612" s="28"/>
      <c r="R612" s="29"/>
      <c r="S612" s="28"/>
      <c r="T612" s="9"/>
      <c r="U612" s="9" t="s">
        <v>75</v>
      </c>
      <c r="V612" s="9" t="s">
        <v>75</v>
      </c>
      <c r="W612" s="28"/>
    </row>
    <row r="613" spans="1:23" s="12" customFormat="1">
      <c r="A613" s="46" t="s">
        <v>572</v>
      </c>
      <c r="B613" s="28" t="s">
        <v>1333</v>
      </c>
      <c r="C613" s="28" t="s">
        <v>2330</v>
      </c>
      <c r="D613" s="28" t="s">
        <v>2455</v>
      </c>
      <c r="E613" s="28" t="s">
        <v>90</v>
      </c>
      <c r="F613" s="31" t="s">
        <v>14</v>
      </c>
      <c r="G613" s="31" t="s">
        <v>14</v>
      </c>
      <c r="H613" s="31" t="s">
        <v>2365</v>
      </c>
      <c r="I613" s="28" t="str">
        <f>VLOOKUP(E613,표준용어사전!$C$2:$D$494, 2, FALSE)</f>
        <v>연월일시분초TS</v>
      </c>
      <c r="J613" s="28" t="s">
        <v>719</v>
      </c>
      <c r="K613" s="29" t="s">
        <v>571</v>
      </c>
      <c r="L613" s="55" t="s">
        <v>571</v>
      </c>
      <c r="M613" s="29" t="s">
        <v>726</v>
      </c>
      <c r="N613" s="29" t="s">
        <v>973</v>
      </c>
      <c r="O613" s="28"/>
      <c r="P613" s="28" t="s">
        <v>76</v>
      </c>
      <c r="Q613" s="28"/>
      <c r="R613" s="29"/>
      <c r="S613" s="28"/>
      <c r="T613" s="28"/>
      <c r="U613" s="9" t="s">
        <v>75</v>
      </c>
      <c r="V613" s="9" t="s">
        <v>75</v>
      </c>
      <c r="W613" s="28"/>
    </row>
    <row r="614" spans="1:23" s="12" customFormat="1">
      <c r="A614" s="46" t="s">
        <v>572</v>
      </c>
      <c r="B614" s="28" t="s">
        <v>1333</v>
      </c>
      <c r="C614" s="28" t="s">
        <v>2330</v>
      </c>
      <c r="D614" s="28" t="s">
        <v>2455</v>
      </c>
      <c r="E614" s="28" t="s">
        <v>91</v>
      </c>
      <c r="F614" s="31" t="s">
        <v>369</v>
      </c>
      <c r="G614" s="31" t="s">
        <v>369</v>
      </c>
      <c r="H614" s="31" t="s">
        <v>2365</v>
      </c>
      <c r="I614" s="28" t="str">
        <f>VLOOKUP(E614,표준용어사전!$C$2:$D$494, 2, FALSE)</f>
        <v>명V20</v>
      </c>
      <c r="J614" s="28" t="s">
        <v>718</v>
      </c>
      <c r="K614" s="29" t="s">
        <v>986</v>
      </c>
      <c r="L614" s="55" t="s">
        <v>571</v>
      </c>
      <c r="M614" s="29" t="s">
        <v>727</v>
      </c>
      <c r="N614" s="29" t="s">
        <v>75</v>
      </c>
      <c r="O614" s="28"/>
      <c r="P614" s="28" t="s">
        <v>76</v>
      </c>
      <c r="Q614" s="28"/>
      <c r="R614" s="29"/>
      <c r="S614" s="28"/>
      <c r="T614" s="28"/>
      <c r="U614" s="9" t="s">
        <v>75</v>
      </c>
      <c r="V614" s="9" t="s">
        <v>75</v>
      </c>
      <c r="W614" s="28"/>
    </row>
    <row r="615" spans="1:23" s="12" customFormat="1">
      <c r="A615" s="46" t="s">
        <v>572</v>
      </c>
      <c r="B615" s="28" t="s">
        <v>1333</v>
      </c>
      <c r="C615" s="28" t="s">
        <v>2330</v>
      </c>
      <c r="D615" s="28" t="s">
        <v>2455</v>
      </c>
      <c r="E615" s="28" t="s">
        <v>92</v>
      </c>
      <c r="F615" s="31" t="s">
        <v>15</v>
      </c>
      <c r="G615" s="31" t="s">
        <v>15</v>
      </c>
      <c r="H615" s="31" t="s">
        <v>2365</v>
      </c>
      <c r="I615" s="28" t="str">
        <f>VLOOKUP(E615,표준용어사전!$C$2:$D$494, 2, FALSE)</f>
        <v>연월일시분초TS</v>
      </c>
      <c r="J615" s="28" t="s">
        <v>719</v>
      </c>
      <c r="K615" s="29" t="s">
        <v>571</v>
      </c>
      <c r="L615" s="55" t="s">
        <v>571</v>
      </c>
      <c r="M615" s="29" t="s">
        <v>726</v>
      </c>
      <c r="N615" s="29" t="s">
        <v>75</v>
      </c>
      <c r="O615" s="28"/>
      <c r="P615" s="28" t="s">
        <v>76</v>
      </c>
      <c r="Q615" s="28"/>
      <c r="R615" s="29"/>
      <c r="S615" s="28"/>
      <c r="T615" s="28"/>
      <c r="U615" s="9" t="s">
        <v>75</v>
      </c>
      <c r="V615" s="9" t="s">
        <v>75</v>
      </c>
      <c r="W615" s="28"/>
    </row>
    <row r="616" spans="1:23" s="12" customFormat="1">
      <c r="A616" s="46" t="s">
        <v>572</v>
      </c>
      <c r="B616" s="28" t="s">
        <v>1333</v>
      </c>
      <c r="C616" s="28" t="s">
        <v>2330</v>
      </c>
      <c r="D616" s="28" t="s">
        <v>2455</v>
      </c>
      <c r="E616" s="28" t="s">
        <v>93</v>
      </c>
      <c r="F616" s="31" t="s">
        <v>370</v>
      </c>
      <c r="G616" s="31" t="s">
        <v>370</v>
      </c>
      <c r="H616" s="31" t="s">
        <v>2365</v>
      </c>
      <c r="I616" s="28" t="str">
        <f>VLOOKUP(E616,표준용어사전!$C$2:$D$494, 2, FALSE)</f>
        <v>명V20</v>
      </c>
      <c r="J616" s="28" t="s">
        <v>718</v>
      </c>
      <c r="K616" s="29" t="s">
        <v>986</v>
      </c>
      <c r="L616" s="55" t="s">
        <v>571</v>
      </c>
      <c r="M616" s="29" t="s">
        <v>727</v>
      </c>
      <c r="N616" s="29" t="s">
        <v>75</v>
      </c>
      <c r="O616" s="28"/>
      <c r="P616" s="28" t="s">
        <v>76</v>
      </c>
      <c r="Q616" s="28"/>
      <c r="R616" s="29"/>
      <c r="S616" s="28"/>
      <c r="T616" s="28"/>
      <c r="U616" s="9" t="s">
        <v>75</v>
      </c>
      <c r="V616" s="9" t="s">
        <v>75</v>
      </c>
      <c r="W616" s="28"/>
    </row>
    <row r="617" spans="1:23" s="12" customFormat="1">
      <c r="A617" s="46" t="s">
        <v>572</v>
      </c>
      <c r="B617" s="28" t="s">
        <v>1333</v>
      </c>
      <c r="C617" s="28" t="s">
        <v>2330</v>
      </c>
      <c r="D617" s="28" t="s">
        <v>2456</v>
      </c>
      <c r="E617" s="28" t="s">
        <v>2036</v>
      </c>
      <c r="F617" s="31" t="s">
        <v>457</v>
      </c>
      <c r="G617" s="31" t="s">
        <v>457</v>
      </c>
      <c r="H617" s="31" t="s">
        <v>480</v>
      </c>
      <c r="I617" s="28" t="str">
        <f>VLOOKUP(E617,표준용어사전!$C$2:$D$494, 2, FALSE)</f>
        <v>번호I</v>
      </c>
      <c r="J617" s="28" t="s">
        <v>717</v>
      </c>
      <c r="K617" s="29" t="s">
        <v>571</v>
      </c>
      <c r="L617" s="55" t="s">
        <v>571</v>
      </c>
      <c r="M617" s="29" t="s">
        <v>2591</v>
      </c>
      <c r="N617" s="29" t="s">
        <v>973</v>
      </c>
      <c r="O617" s="9" t="s">
        <v>73</v>
      </c>
      <c r="P617" s="28" t="s">
        <v>76</v>
      </c>
      <c r="Q617" s="28"/>
      <c r="R617" s="29"/>
      <c r="S617" s="28"/>
      <c r="T617" s="28"/>
      <c r="U617" s="9" t="s">
        <v>75</v>
      </c>
      <c r="V617" s="9" t="s">
        <v>75</v>
      </c>
      <c r="W617" s="28"/>
    </row>
    <row r="618" spans="1:23" s="12" customFormat="1">
      <c r="A618" s="46" t="s">
        <v>572</v>
      </c>
      <c r="B618" s="28" t="s">
        <v>1333</v>
      </c>
      <c r="C618" s="28" t="s">
        <v>2330</v>
      </c>
      <c r="D618" s="28" t="s">
        <v>2456</v>
      </c>
      <c r="E618" s="28" t="s">
        <v>843</v>
      </c>
      <c r="F618" s="31" t="s">
        <v>2050</v>
      </c>
      <c r="G618" s="31" t="s">
        <v>2050</v>
      </c>
      <c r="H618" s="31" t="s">
        <v>480</v>
      </c>
      <c r="I618" s="28" t="str">
        <f>VLOOKUP(E618,표준용어사전!$C$2:$D$494, 2, FALSE)</f>
        <v>명V50</v>
      </c>
      <c r="J618" s="28" t="s">
        <v>718</v>
      </c>
      <c r="K618" s="29">
        <v>50</v>
      </c>
      <c r="L618" s="55" t="s">
        <v>571</v>
      </c>
      <c r="M618" s="29" t="s">
        <v>720</v>
      </c>
      <c r="N618" s="29" t="s">
        <v>973</v>
      </c>
      <c r="O618" s="28" t="s">
        <v>74</v>
      </c>
      <c r="P618" s="28" t="s">
        <v>76</v>
      </c>
      <c r="Q618" s="28"/>
      <c r="R618" s="29"/>
      <c r="S618" s="28"/>
      <c r="T618" s="28"/>
      <c r="U618" s="9" t="s">
        <v>75</v>
      </c>
      <c r="V618" s="9" t="s">
        <v>75</v>
      </c>
      <c r="W618" s="28"/>
    </row>
    <row r="619" spans="1:23" s="12" customFormat="1">
      <c r="A619" s="46" t="s">
        <v>572</v>
      </c>
      <c r="B619" s="28" t="s">
        <v>1333</v>
      </c>
      <c r="C619" s="28" t="s">
        <v>2330</v>
      </c>
      <c r="D619" s="28" t="s">
        <v>2456</v>
      </c>
      <c r="E619" s="28" t="s">
        <v>2037</v>
      </c>
      <c r="F619" s="31" t="s">
        <v>479</v>
      </c>
      <c r="G619" s="31" t="s">
        <v>479</v>
      </c>
      <c r="H619" s="31" t="s">
        <v>480</v>
      </c>
      <c r="I619" s="28" t="str">
        <f>VLOOKUP(E619,표준용어사전!$C$2:$D$494, 2, FALSE)</f>
        <v>명TXT</v>
      </c>
      <c r="J619" s="28" t="s">
        <v>713</v>
      </c>
      <c r="K619" s="29" t="s">
        <v>571</v>
      </c>
      <c r="L619" s="55" t="s">
        <v>571</v>
      </c>
      <c r="M619" s="29" t="s">
        <v>2590</v>
      </c>
      <c r="N619" s="29" t="s">
        <v>75</v>
      </c>
      <c r="O619" s="28"/>
      <c r="P619" s="28" t="s">
        <v>76</v>
      </c>
      <c r="Q619" s="28"/>
      <c r="R619" s="29"/>
      <c r="S619" s="28"/>
      <c r="T619" s="28"/>
      <c r="U619" s="9" t="s">
        <v>75</v>
      </c>
      <c r="V619" s="9" t="s">
        <v>75</v>
      </c>
      <c r="W619" s="28"/>
    </row>
    <row r="620" spans="1:23" s="12" customFormat="1">
      <c r="A620" s="46" t="s">
        <v>572</v>
      </c>
      <c r="B620" s="28" t="s">
        <v>1333</v>
      </c>
      <c r="C620" s="28" t="s">
        <v>2330</v>
      </c>
      <c r="D620" s="28" t="s">
        <v>2456</v>
      </c>
      <c r="E620" s="28" t="s">
        <v>90</v>
      </c>
      <c r="F620" s="31" t="s">
        <v>14</v>
      </c>
      <c r="G620" s="31" t="s">
        <v>14</v>
      </c>
      <c r="H620" s="31" t="s">
        <v>480</v>
      </c>
      <c r="I620" s="28" t="str">
        <f>VLOOKUP(E620,표준용어사전!$C$2:$D$494, 2, FALSE)</f>
        <v>연월일시분초TS</v>
      </c>
      <c r="J620" s="28" t="s">
        <v>719</v>
      </c>
      <c r="K620" s="29" t="s">
        <v>571</v>
      </c>
      <c r="L620" s="55" t="s">
        <v>571</v>
      </c>
      <c r="M620" s="29" t="s">
        <v>726</v>
      </c>
      <c r="N620" s="29" t="s">
        <v>973</v>
      </c>
      <c r="O620" s="28"/>
      <c r="P620" s="28" t="s">
        <v>76</v>
      </c>
      <c r="Q620" s="28"/>
      <c r="R620" s="29"/>
      <c r="S620" s="28"/>
      <c r="T620" s="28"/>
      <c r="U620" s="9" t="s">
        <v>75</v>
      </c>
      <c r="V620" s="9" t="s">
        <v>75</v>
      </c>
      <c r="W620" s="28"/>
    </row>
    <row r="621" spans="1:23" s="12" customFormat="1">
      <c r="A621" s="46" t="s">
        <v>572</v>
      </c>
      <c r="B621" s="28" t="s">
        <v>1333</v>
      </c>
      <c r="C621" s="28" t="s">
        <v>2330</v>
      </c>
      <c r="D621" s="28" t="s">
        <v>2456</v>
      </c>
      <c r="E621" s="28" t="s">
        <v>91</v>
      </c>
      <c r="F621" s="31" t="s">
        <v>369</v>
      </c>
      <c r="G621" s="31" t="s">
        <v>369</v>
      </c>
      <c r="H621" s="31" t="s">
        <v>480</v>
      </c>
      <c r="I621" s="28" t="str">
        <f>VLOOKUP(E621,표준용어사전!$C$2:$D$494, 2, FALSE)</f>
        <v>명V20</v>
      </c>
      <c r="J621" s="28" t="s">
        <v>718</v>
      </c>
      <c r="K621" s="29" t="s">
        <v>986</v>
      </c>
      <c r="L621" s="55" t="s">
        <v>571</v>
      </c>
      <c r="M621" s="29" t="s">
        <v>727</v>
      </c>
      <c r="N621" s="29" t="s">
        <v>75</v>
      </c>
      <c r="O621" s="28"/>
      <c r="P621" s="28" t="s">
        <v>76</v>
      </c>
      <c r="Q621" s="28"/>
      <c r="R621" s="29"/>
      <c r="S621" s="28"/>
      <c r="T621" s="28"/>
      <c r="U621" s="9" t="s">
        <v>75</v>
      </c>
      <c r="V621" s="9" t="s">
        <v>75</v>
      </c>
      <c r="W621" s="28"/>
    </row>
    <row r="622" spans="1:23" s="12" customFormat="1">
      <c r="A622" s="46" t="s">
        <v>572</v>
      </c>
      <c r="B622" s="28" t="s">
        <v>1333</v>
      </c>
      <c r="C622" s="28" t="s">
        <v>2330</v>
      </c>
      <c r="D622" s="28" t="s">
        <v>2456</v>
      </c>
      <c r="E622" s="28" t="s">
        <v>92</v>
      </c>
      <c r="F622" s="31" t="s">
        <v>15</v>
      </c>
      <c r="G622" s="31" t="s">
        <v>15</v>
      </c>
      <c r="H622" s="31" t="s">
        <v>480</v>
      </c>
      <c r="I622" s="28" t="str">
        <f>VLOOKUP(E622,표준용어사전!$C$2:$D$494, 2, FALSE)</f>
        <v>연월일시분초TS</v>
      </c>
      <c r="J622" s="28" t="s">
        <v>719</v>
      </c>
      <c r="K622" s="29" t="s">
        <v>571</v>
      </c>
      <c r="L622" s="55" t="s">
        <v>571</v>
      </c>
      <c r="M622" s="29" t="s">
        <v>726</v>
      </c>
      <c r="N622" s="29" t="s">
        <v>75</v>
      </c>
      <c r="O622" s="28"/>
      <c r="P622" s="28" t="s">
        <v>76</v>
      </c>
      <c r="Q622" s="28"/>
      <c r="R622" s="29"/>
      <c r="S622" s="28"/>
      <c r="T622" s="28"/>
      <c r="U622" s="9" t="s">
        <v>75</v>
      </c>
      <c r="V622" s="9" t="s">
        <v>75</v>
      </c>
      <c r="W622" s="28"/>
    </row>
    <row r="623" spans="1:23" s="12" customFormat="1">
      <c r="A623" s="46" t="s">
        <v>572</v>
      </c>
      <c r="B623" s="28" t="s">
        <v>1333</v>
      </c>
      <c r="C623" s="28" t="s">
        <v>2330</v>
      </c>
      <c r="D623" s="28" t="s">
        <v>2456</v>
      </c>
      <c r="E623" s="28" t="s">
        <v>93</v>
      </c>
      <c r="F623" s="31" t="s">
        <v>370</v>
      </c>
      <c r="G623" s="31" t="s">
        <v>370</v>
      </c>
      <c r="H623" s="31" t="s">
        <v>480</v>
      </c>
      <c r="I623" s="28" t="str">
        <f>VLOOKUP(E623,표준용어사전!$C$2:$D$494, 2, FALSE)</f>
        <v>명V20</v>
      </c>
      <c r="J623" s="28" t="s">
        <v>718</v>
      </c>
      <c r="K623" s="29" t="s">
        <v>986</v>
      </c>
      <c r="L623" s="55" t="s">
        <v>571</v>
      </c>
      <c r="M623" s="29" t="s">
        <v>727</v>
      </c>
      <c r="N623" s="29" t="s">
        <v>75</v>
      </c>
      <c r="O623" s="28"/>
      <c r="P623" s="28" t="s">
        <v>76</v>
      </c>
      <c r="Q623" s="28"/>
      <c r="R623" s="29"/>
      <c r="S623" s="28"/>
      <c r="T623" s="28"/>
      <c r="U623" s="9" t="s">
        <v>75</v>
      </c>
      <c r="V623" s="9" t="s">
        <v>75</v>
      </c>
      <c r="W623" s="28"/>
    </row>
    <row r="624" spans="1:23" s="12" customFormat="1">
      <c r="A624" s="46" t="s">
        <v>572</v>
      </c>
      <c r="B624" s="28" t="s">
        <v>1333</v>
      </c>
      <c r="C624" s="28" t="s">
        <v>2330</v>
      </c>
      <c r="D624" s="28" t="s">
        <v>2457</v>
      </c>
      <c r="E624" s="28" t="s">
        <v>843</v>
      </c>
      <c r="F624" s="31" t="s">
        <v>2050</v>
      </c>
      <c r="G624" s="31" t="s">
        <v>2050</v>
      </c>
      <c r="H624" s="31" t="s">
        <v>2366</v>
      </c>
      <c r="I624" s="28" t="str">
        <f>VLOOKUP(E624,표준용어사전!$C$2:$D$494, 2, FALSE)</f>
        <v>명V50</v>
      </c>
      <c r="J624" s="28" t="s">
        <v>718</v>
      </c>
      <c r="K624" s="29">
        <v>50</v>
      </c>
      <c r="L624" s="55" t="s">
        <v>571</v>
      </c>
      <c r="M624" s="29" t="s">
        <v>720</v>
      </c>
      <c r="N624" s="29" t="s">
        <v>973</v>
      </c>
      <c r="O624" s="28" t="s">
        <v>73</v>
      </c>
      <c r="P624" s="28" t="s">
        <v>76</v>
      </c>
      <c r="Q624" s="28"/>
      <c r="R624" s="29"/>
      <c r="S624" s="28"/>
      <c r="T624" s="28"/>
      <c r="U624" s="9" t="s">
        <v>75</v>
      </c>
      <c r="V624" s="9" t="s">
        <v>75</v>
      </c>
      <c r="W624" s="28"/>
    </row>
    <row r="625" spans="1:23" s="12" customFormat="1">
      <c r="A625" s="46" t="s">
        <v>572</v>
      </c>
      <c r="B625" s="28" t="s">
        <v>1333</v>
      </c>
      <c r="C625" s="28" t="s">
        <v>2330</v>
      </c>
      <c r="D625" s="28" t="s">
        <v>2457</v>
      </c>
      <c r="E625" s="28" t="s">
        <v>2512</v>
      </c>
      <c r="F625" s="31" t="s">
        <v>2207</v>
      </c>
      <c r="G625" s="31" t="s">
        <v>2207</v>
      </c>
      <c r="H625" s="31" t="s">
        <v>2366</v>
      </c>
      <c r="I625" s="28" t="str">
        <f>VLOOKUP(E625,표준용어사전!$C$2:$D$494, 2, FALSE)</f>
        <v>코드C4</v>
      </c>
      <c r="J625" s="28" t="s">
        <v>709</v>
      </c>
      <c r="K625" s="29">
        <v>4</v>
      </c>
      <c r="L625" s="55" t="s">
        <v>571</v>
      </c>
      <c r="M625" s="29" t="s">
        <v>929</v>
      </c>
      <c r="N625" s="29" t="s">
        <v>973</v>
      </c>
      <c r="O625" s="9" t="s">
        <v>74</v>
      </c>
      <c r="P625" s="28" t="s">
        <v>76</v>
      </c>
      <c r="Q625" s="28"/>
      <c r="R625" s="29"/>
      <c r="S625" s="28"/>
      <c r="T625" s="28"/>
      <c r="U625" s="9" t="s">
        <v>75</v>
      </c>
      <c r="V625" s="9" t="s">
        <v>75</v>
      </c>
      <c r="W625" s="28"/>
    </row>
    <row r="626" spans="1:23" s="12" customFormat="1">
      <c r="A626" s="46" t="s">
        <v>572</v>
      </c>
      <c r="B626" s="28" t="s">
        <v>1333</v>
      </c>
      <c r="C626" s="28" t="s">
        <v>2330</v>
      </c>
      <c r="D626" s="28" t="s">
        <v>2457</v>
      </c>
      <c r="E626" s="28" t="s">
        <v>2511</v>
      </c>
      <c r="F626" s="31" t="s">
        <v>580</v>
      </c>
      <c r="G626" s="31" t="s">
        <v>580</v>
      </c>
      <c r="H626" s="31" t="s">
        <v>2366</v>
      </c>
      <c r="I626" s="28" t="str">
        <f>VLOOKUP(E626,표준용어사전!$C$2:$D$494, 2, FALSE)</f>
        <v>명V20</v>
      </c>
      <c r="J626" s="28" t="s">
        <v>718</v>
      </c>
      <c r="K626" s="29" t="s">
        <v>986</v>
      </c>
      <c r="L626" s="55" t="s">
        <v>571</v>
      </c>
      <c r="M626" s="29" t="s">
        <v>727</v>
      </c>
      <c r="N626" s="29" t="s">
        <v>973</v>
      </c>
      <c r="O626" s="28" t="s">
        <v>624</v>
      </c>
      <c r="P626" s="28" t="s">
        <v>76</v>
      </c>
      <c r="Q626" s="28"/>
      <c r="R626" s="29"/>
      <c r="S626" s="28"/>
      <c r="T626" s="28"/>
      <c r="U626" s="9" t="s">
        <v>75</v>
      </c>
      <c r="V626" s="9" t="s">
        <v>75</v>
      </c>
      <c r="W626" s="28"/>
    </row>
    <row r="627" spans="1:23" s="12" customFormat="1">
      <c r="A627" s="46" t="s">
        <v>572</v>
      </c>
      <c r="B627" s="28" t="s">
        <v>1333</v>
      </c>
      <c r="C627" s="28" t="s">
        <v>2330</v>
      </c>
      <c r="D627" s="28" t="s">
        <v>2457</v>
      </c>
      <c r="E627" s="28" t="s">
        <v>90</v>
      </c>
      <c r="F627" s="31" t="s">
        <v>14</v>
      </c>
      <c r="G627" s="31" t="s">
        <v>14</v>
      </c>
      <c r="H627" s="31" t="s">
        <v>2366</v>
      </c>
      <c r="I627" s="28" t="str">
        <f>VLOOKUP(E627,표준용어사전!$C$2:$D$494, 2, FALSE)</f>
        <v>연월일시분초TS</v>
      </c>
      <c r="J627" s="28" t="s">
        <v>719</v>
      </c>
      <c r="K627" s="29" t="s">
        <v>571</v>
      </c>
      <c r="L627" s="55" t="s">
        <v>571</v>
      </c>
      <c r="M627" s="29" t="s">
        <v>726</v>
      </c>
      <c r="N627" s="29" t="s">
        <v>973</v>
      </c>
      <c r="O627" s="28"/>
      <c r="P627" s="28" t="s">
        <v>76</v>
      </c>
      <c r="Q627" s="28"/>
      <c r="R627" s="29"/>
      <c r="S627" s="28"/>
      <c r="T627" s="28"/>
      <c r="U627" s="9" t="s">
        <v>75</v>
      </c>
      <c r="V627" s="9" t="s">
        <v>75</v>
      </c>
      <c r="W627" s="28"/>
    </row>
    <row r="628" spans="1:23" s="12" customFormat="1">
      <c r="A628" s="46" t="s">
        <v>572</v>
      </c>
      <c r="B628" s="28" t="s">
        <v>1333</v>
      </c>
      <c r="C628" s="28" t="s">
        <v>2330</v>
      </c>
      <c r="D628" s="28" t="s">
        <v>2457</v>
      </c>
      <c r="E628" s="28" t="s">
        <v>91</v>
      </c>
      <c r="F628" s="31" t="s">
        <v>369</v>
      </c>
      <c r="G628" s="31" t="s">
        <v>369</v>
      </c>
      <c r="H628" s="31" t="s">
        <v>2366</v>
      </c>
      <c r="I628" s="28" t="str">
        <f>VLOOKUP(E628,표준용어사전!$C$2:$D$494, 2, FALSE)</f>
        <v>명V20</v>
      </c>
      <c r="J628" s="28" t="s">
        <v>718</v>
      </c>
      <c r="K628" s="29" t="s">
        <v>986</v>
      </c>
      <c r="L628" s="55" t="s">
        <v>571</v>
      </c>
      <c r="M628" s="29" t="s">
        <v>727</v>
      </c>
      <c r="N628" s="29" t="s">
        <v>75</v>
      </c>
      <c r="O628" s="28"/>
      <c r="P628" s="28" t="s">
        <v>76</v>
      </c>
      <c r="Q628" s="28"/>
      <c r="R628" s="29"/>
      <c r="S628" s="28"/>
      <c r="T628" s="9"/>
      <c r="U628" s="9" t="s">
        <v>75</v>
      </c>
      <c r="V628" s="9" t="s">
        <v>75</v>
      </c>
      <c r="W628" s="28"/>
    </row>
    <row r="629" spans="1:23" s="12" customFormat="1">
      <c r="A629" s="46" t="s">
        <v>572</v>
      </c>
      <c r="B629" s="28" t="s">
        <v>1333</v>
      </c>
      <c r="C629" s="28" t="s">
        <v>2330</v>
      </c>
      <c r="D629" s="9" t="s">
        <v>2457</v>
      </c>
      <c r="E629" s="28" t="s">
        <v>92</v>
      </c>
      <c r="F629" s="31" t="s">
        <v>15</v>
      </c>
      <c r="G629" s="31" t="s">
        <v>15</v>
      </c>
      <c r="H629" s="31" t="s">
        <v>2366</v>
      </c>
      <c r="I629" s="28" t="str">
        <f>VLOOKUP(E629,표준용어사전!$C$2:$D$494, 2, FALSE)</f>
        <v>연월일시분초TS</v>
      </c>
      <c r="J629" s="28" t="s">
        <v>719</v>
      </c>
      <c r="K629" s="29" t="s">
        <v>571</v>
      </c>
      <c r="L629" s="55" t="s">
        <v>571</v>
      </c>
      <c r="M629" s="29" t="s">
        <v>726</v>
      </c>
      <c r="N629" s="10" t="s">
        <v>75</v>
      </c>
      <c r="O629" s="28"/>
      <c r="P629" s="28" t="s">
        <v>76</v>
      </c>
      <c r="Q629" s="28"/>
      <c r="R629" s="29"/>
      <c r="S629" s="28"/>
      <c r="T629" s="28"/>
      <c r="U629" s="28" t="s">
        <v>75</v>
      </c>
      <c r="V629" s="28" t="s">
        <v>75</v>
      </c>
      <c r="W629" s="28"/>
    </row>
    <row r="630" spans="1:23" s="12" customFormat="1">
      <c r="A630" s="46" t="s">
        <v>572</v>
      </c>
      <c r="B630" s="28" t="s">
        <v>1333</v>
      </c>
      <c r="C630" s="28" t="s">
        <v>2330</v>
      </c>
      <c r="D630" s="9" t="s">
        <v>2457</v>
      </c>
      <c r="E630" s="28" t="s">
        <v>93</v>
      </c>
      <c r="F630" s="31" t="s">
        <v>370</v>
      </c>
      <c r="G630" s="31" t="s">
        <v>370</v>
      </c>
      <c r="H630" s="31" t="s">
        <v>2366</v>
      </c>
      <c r="I630" s="28" t="str">
        <f>VLOOKUP(E630,표준용어사전!$C$2:$D$494, 2, FALSE)</f>
        <v>명V20</v>
      </c>
      <c r="J630" s="28" t="s">
        <v>718</v>
      </c>
      <c r="K630" s="29" t="s">
        <v>986</v>
      </c>
      <c r="L630" s="55" t="s">
        <v>571</v>
      </c>
      <c r="M630" s="29" t="s">
        <v>727</v>
      </c>
      <c r="N630" s="29" t="s">
        <v>75</v>
      </c>
      <c r="O630" s="9"/>
      <c r="P630" s="9" t="s">
        <v>76</v>
      </c>
      <c r="Q630" s="28"/>
      <c r="R630" s="29"/>
      <c r="S630" s="9"/>
      <c r="T630" s="9"/>
      <c r="U630" s="9" t="s">
        <v>75</v>
      </c>
      <c r="V630" s="9" t="s">
        <v>75</v>
      </c>
      <c r="W630" s="9"/>
    </row>
    <row r="631" spans="1:23" s="12" customFormat="1">
      <c r="A631" s="46" t="s">
        <v>572</v>
      </c>
      <c r="B631" s="28" t="s">
        <v>1333</v>
      </c>
      <c r="C631" s="28" t="s">
        <v>2330</v>
      </c>
      <c r="D631" s="9" t="s">
        <v>2457</v>
      </c>
      <c r="E631" s="28" t="s">
        <v>2202</v>
      </c>
      <c r="F631" s="31" t="s">
        <v>1547</v>
      </c>
      <c r="G631" s="31" t="s">
        <v>1547</v>
      </c>
      <c r="H631" s="31" t="s">
        <v>2366</v>
      </c>
      <c r="I631" s="28" t="str">
        <f>VLOOKUP(E631,표준용어사전!$C$2:$D$494, 2, FALSE)</f>
        <v>수N10,3</v>
      </c>
      <c r="J631" s="28" t="s">
        <v>748</v>
      </c>
      <c r="K631" s="29" t="s">
        <v>1061</v>
      </c>
      <c r="L631" s="55" t="s">
        <v>980</v>
      </c>
      <c r="M631" s="29" t="s">
        <v>2593</v>
      </c>
      <c r="N631" s="10" t="s">
        <v>75</v>
      </c>
      <c r="O631" s="9"/>
      <c r="P631" s="9" t="s">
        <v>76</v>
      </c>
      <c r="Q631" s="28"/>
      <c r="R631" s="29"/>
      <c r="S631" s="9"/>
      <c r="T631" s="9"/>
      <c r="U631" s="9" t="s">
        <v>75</v>
      </c>
      <c r="V631" s="9" t="s">
        <v>75</v>
      </c>
      <c r="W631" s="9"/>
    </row>
    <row r="632" spans="1:23" s="12" customFormat="1">
      <c r="A632" s="46" t="s">
        <v>572</v>
      </c>
      <c r="B632" s="28" t="s">
        <v>1333</v>
      </c>
      <c r="C632" s="28" t="s">
        <v>2330</v>
      </c>
      <c r="D632" s="9" t="s">
        <v>2458</v>
      </c>
      <c r="E632" s="28" t="s">
        <v>2034</v>
      </c>
      <c r="F632" s="31" t="s">
        <v>458</v>
      </c>
      <c r="G632" s="31" t="s">
        <v>458</v>
      </c>
      <c r="H632" s="31" t="s">
        <v>481</v>
      </c>
      <c r="I632" s="28" t="str">
        <f>VLOOKUP(E632,표준용어사전!$C$2:$D$494, 2, FALSE)</f>
        <v>번호I</v>
      </c>
      <c r="J632" s="28" t="s">
        <v>717</v>
      </c>
      <c r="K632" s="29" t="s">
        <v>571</v>
      </c>
      <c r="L632" s="55" t="s">
        <v>571</v>
      </c>
      <c r="M632" s="29" t="s">
        <v>2591</v>
      </c>
      <c r="N632" s="10" t="s">
        <v>973</v>
      </c>
      <c r="O632" s="9" t="s">
        <v>73</v>
      </c>
      <c r="P632" s="9" t="s">
        <v>76</v>
      </c>
      <c r="Q632" s="28"/>
      <c r="R632" s="29"/>
      <c r="S632" s="9"/>
      <c r="T632" s="9"/>
      <c r="U632" s="9" t="s">
        <v>75</v>
      </c>
      <c r="V632" s="9" t="s">
        <v>75</v>
      </c>
      <c r="W632" s="9"/>
    </row>
    <row r="633" spans="1:23" s="12" customFormat="1">
      <c r="A633" s="46" t="s">
        <v>572</v>
      </c>
      <c r="B633" s="28" t="s">
        <v>1333</v>
      </c>
      <c r="C633" s="28" t="s">
        <v>2330</v>
      </c>
      <c r="D633" s="9" t="s">
        <v>2458</v>
      </c>
      <c r="E633" s="28" t="s">
        <v>843</v>
      </c>
      <c r="F633" s="31" t="s">
        <v>2050</v>
      </c>
      <c r="G633" s="31" t="s">
        <v>2050</v>
      </c>
      <c r="H633" s="31" t="s">
        <v>481</v>
      </c>
      <c r="I633" s="28" t="str">
        <f>VLOOKUP(E633,표준용어사전!$C$2:$D$494, 2, FALSE)</f>
        <v>명V50</v>
      </c>
      <c r="J633" s="28" t="s">
        <v>718</v>
      </c>
      <c r="K633" s="29">
        <v>50</v>
      </c>
      <c r="L633" s="55" t="s">
        <v>571</v>
      </c>
      <c r="M633" s="29" t="s">
        <v>720</v>
      </c>
      <c r="N633" s="10" t="s">
        <v>973</v>
      </c>
      <c r="O633" s="9" t="s">
        <v>74</v>
      </c>
      <c r="P633" s="9" t="s">
        <v>76</v>
      </c>
      <c r="Q633" s="28"/>
      <c r="R633" s="29"/>
      <c r="S633" s="9"/>
      <c r="T633" s="9"/>
      <c r="U633" s="9" t="s">
        <v>75</v>
      </c>
      <c r="V633" s="9" t="s">
        <v>75</v>
      </c>
      <c r="W633" s="9"/>
    </row>
    <row r="634" spans="1:23" s="12" customFormat="1">
      <c r="A634" s="46" t="s">
        <v>572</v>
      </c>
      <c r="B634" s="28" t="s">
        <v>1333</v>
      </c>
      <c r="C634" s="28" t="s">
        <v>2330</v>
      </c>
      <c r="D634" s="9" t="s">
        <v>2458</v>
      </c>
      <c r="E634" s="28" t="s">
        <v>2035</v>
      </c>
      <c r="F634" s="31" t="s">
        <v>749</v>
      </c>
      <c r="G634" s="31" t="s">
        <v>749</v>
      </c>
      <c r="H634" s="31" t="s">
        <v>481</v>
      </c>
      <c r="I634" s="28" t="str">
        <f>VLOOKUP(E634,표준용어사전!$C$2:$D$494, 2, FALSE)</f>
        <v>명TXT</v>
      </c>
      <c r="J634" s="28" t="s">
        <v>713</v>
      </c>
      <c r="K634" s="29" t="s">
        <v>571</v>
      </c>
      <c r="L634" s="55" t="s">
        <v>571</v>
      </c>
      <c r="M634" s="29" t="s">
        <v>2590</v>
      </c>
      <c r="N634" s="10" t="s">
        <v>75</v>
      </c>
      <c r="O634" s="9"/>
      <c r="P634" s="9" t="s">
        <v>76</v>
      </c>
      <c r="Q634" s="28"/>
      <c r="R634" s="29"/>
      <c r="S634" s="9"/>
      <c r="T634" s="9"/>
      <c r="U634" s="9" t="s">
        <v>75</v>
      </c>
      <c r="V634" s="9" t="s">
        <v>75</v>
      </c>
      <c r="W634" s="9"/>
    </row>
    <row r="635" spans="1:23" s="12" customFormat="1">
      <c r="A635" s="46" t="s">
        <v>572</v>
      </c>
      <c r="B635" s="28" t="s">
        <v>1333</v>
      </c>
      <c r="C635" s="28" t="s">
        <v>2330</v>
      </c>
      <c r="D635" s="9" t="s">
        <v>2458</v>
      </c>
      <c r="E635" s="28" t="s">
        <v>90</v>
      </c>
      <c r="F635" s="31" t="s">
        <v>14</v>
      </c>
      <c r="G635" s="31" t="s">
        <v>14</v>
      </c>
      <c r="H635" s="31" t="s">
        <v>481</v>
      </c>
      <c r="I635" s="28" t="str">
        <f>VLOOKUP(E635,표준용어사전!$C$2:$D$494, 2, FALSE)</f>
        <v>연월일시분초TS</v>
      </c>
      <c r="J635" s="28" t="s">
        <v>719</v>
      </c>
      <c r="K635" s="29" t="s">
        <v>571</v>
      </c>
      <c r="L635" s="55" t="s">
        <v>571</v>
      </c>
      <c r="M635" s="29" t="s">
        <v>726</v>
      </c>
      <c r="N635" s="10" t="s">
        <v>973</v>
      </c>
      <c r="O635" s="9"/>
      <c r="P635" s="9" t="s">
        <v>76</v>
      </c>
      <c r="Q635" s="28"/>
      <c r="R635" s="29"/>
      <c r="S635" s="9"/>
      <c r="T635" s="9"/>
      <c r="U635" s="9" t="s">
        <v>75</v>
      </c>
      <c r="V635" s="9" t="s">
        <v>75</v>
      </c>
      <c r="W635" s="9"/>
    </row>
    <row r="636" spans="1:23" s="12" customFormat="1">
      <c r="A636" s="46" t="s">
        <v>572</v>
      </c>
      <c r="B636" s="28" t="s">
        <v>1333</v>
      </c>
      <c r="C636" s="28" t="s">
        <v>2330</v>
      </c>
      <c r="D636" s="9" t="s">
        <v>2458</v>
      </c>
      <c r="E636" s="28" t="s">
        <v>91</v>
      </c>
      <c r="F636" s="31" t="s">
        <v>369</v>
      </c>
      <c r="G636" s="31" t="s">
        <v>369</v>
      </c>
      <c r="H636" s="31" t="s">
        <v>481</v>
      </c>
      <c r="I636" s="28" t="str">
        <f>VLOOKUP(E636,표준용어사전!$C$2:$D$494, 2, FALSE)</f>
        <v>명V20</v>
      </c>
      <c r="J636" s="28" t="s">
        <v>718</v>
      </c>
      <c r="K636" s="29" t="s">
        <v>986</v>
      </c>
      <c r="L636" s="55" t="s">
        <v>571</v>
      </c>
      <c r="M636" s="29" t="s">
        <v>727</v>
      </c>
      <c r="N636" s="10" t="s">
        <v>75</v>
      </c>
      <c r="O636" s="9"/>
      <c r="P636" s="9" t="s">
        <v>76</v>
      </c>
      <c r="Q636" s="28"/>
      <c r="R636" s="29"/>
      <c r="S636" s="9"/>
      <c r="T636" s="9"/>
      <c r="U636" s="9" t="s">
        <v>75</v>
      </c>
      <c r="V636" s="9" t="s">
        <v>75</v>
      </c>
      <c r="W636" s="9"/>
    </row>
    <row r="637" spans="1:23" s="12" customFormat="1">
      <c r="A637" s="46" t="s">
        <v>572</v>
      </c>
      <c r="B637" s="28" t="s">
        <v>1333</v>
      </c>
      <c r="C637" s="28" t="s">
        <v>2330</v>
      </c>
      <c r="D637" s="9" t="s">
        <v>2458</v>
      </c>
      <c r="E637" s="28" t="s">
        <v>92</v>
      </c>
      <c r="F637" s="31" t="s">
        <v>15</v>
      </c>
      <c r="G637" s="31" t="s">
        <v>15</v>
      </c>
      <c r="H637" s="31" t="s">
        <v>481</v>
      </c>
      <c r="I637" s="28" t="str">
        <f>VLOOKUP(E637,표준용어사전!$C$2:$D$494, 2, FALSE)</f>
        <v>연월일시분초TS</v>
      </c>
      <c r="J637" s="28" t="s">
        <v>719</v>
      </c>
      <c r="K637" s="29" t="s">
        <v>571</v>
      </c>
      <c r="L637" s="55" t="s">
        <v>571</v>
      </c>
      <c r="M637" s="29" t="s">
        <v>726</v>
      </c>
      <c r="N637" s="10" t="s">
        <v>75</v>
      </c>
      <c r="O637" s="9"/>
      <c r="P637" s="9" t="s">
        <v>76</v>
      </c>
      <c r="Q637" s="28"/>
      <c r="R637" s="29"/>
      <c r="S637" s="9"/>
      <c r="T637" s="9"/>
      <c r="U637" s="9" t="s">
        <v>75</v>
      </c>
      <c r="V637" s="9" t="s">
        <v>75</v>
      </c>
      <c r="W637" s="9"/>
    </row>
    <row r="638" spans="1:23" s="12" customFormat="1">
      <c r="A638" s="46" t="s">
        <v>572</v>
      </c>
      <c r="B638" s="28" t="s">
        <v>1333</v>
      </c>
      <c r="C638" s="28" t="s">
        <v>2330</v>
      </c>
      <c r="D638" s="9" t="s">
        <v>2458</v>
      </c>
      <c r="E638" s="28" t="s">
        <v>93</v>
      </c>
      <c r="F638" s="31" t="s">
        <v>370</v>
      </c>
      <c r="G638" s="31" t="s">
        <v>370</v>
      </c>
      <c r="H638" s="31" t="s">
        <v>481</v>
      </c>
      <c r="I638" s="28" t="str">
        <f>VLOOKUP(E638,표준용어사전!$C$2:$D$494, 2, FALSE)</f>
        <v>명V20</v>
      </c>
      <c r="J638" s="28" t="s">
        <v>718</v>
      </c>
      <c r="K638" s="29" t="s">
        <v>986</v>
      </c>
      <c r="L638" s="55" t="s">
        <v>571</v>
      </c>
      <c r="M638" s="29" t="s">
        <v>727</v>
      </c>
      <c r="N638" s="10" t="s">
        <v>75</v>
      </c>
      <c r="O638" s="9"/>
      <c r="P638" s="9" t="s">
        <v>76</v>
      </c>
      <c r="Q638" s="28"/>
      <c r="R638" s="29"/>
      <c r="S638" s="9"/>
      <c r="T638" s="9"/>
      <c r="U638" s="9" t="s">
        <v>75</v>
      </c>
      <c r="V638" s="9" t="s">
        <v>75</v>
      </c>
      <c r="W638" s="9"/>
    </row>
    <row r="639" spans="1:23" s="12" customFormat="1">
      <c r="A639" s="46" t="s">
        <v>572</v>
      </c>
      <c r="B639" s="28" t="s">
        <v>1335</v>
      </c>
      <c r="C639" s="28" t="s">
        <v>2330</v>
      </c>
      <c r="D639" s="9" t="s">
        <v>2459</v>
      </c>
      <c r="E639" s="28" t="s">
        <v>151</v>
      </c>
      <c r="F639" s="31" t="s">
        <v>413</v>
      </c>
      <c r="G639" s="31" t="s">
        <v>413</v>
      </c>
      <c r="H639" s="31" t="s">
        <v>591</v>
      </c>
      <c r="I639" s="28" t="str">
        <f>VLOOKUP(E639,표준용어사전!$C$2:$D$494, 2, FALSE)</f>
        <v>번호N10</v>
      </c>
      <c r="J639" s="28" t="s">
        <v>748</v>
      </c>
      <c r="K639" s="29">
        <v>10</v>
      </c>
      <c r="L639" s="55" t="s">
        <v>571</v>
      </c>
      <c r="M639" s="29" t="s">
        <v>2592</v>
      </c>
      <c r="N639" s="10" t="s">
        <v>973</v>
      </c>
      <c r="O639" s="9" t="s">
        <v>73</v>
      </c>
      <c r="P639" s="9" t="s">
        <v>76</v>
      </c>
      <c r="Q639" s="28"/>
      <c r="R639" s="29"/>
      <c r="S639" s="9"/>
      <c r="T639" s="9"/>
      <c r="U639" s="9" t="s">
        <v>75</v>
      </c>
      <c r="V639" s="9" t="s">
        <v>75</v>
      </c>
      <c r="W639" s="9"/>
    </row>
    <row r="640" spans="1:23" s="12" customFormat="1">
      <c r="A640" s="46" t="s">
        <v>572</v>
      </c>
      <c r="B640" s="28" t="s">
        <v>1335</v>
      </c>
      <c r="C640" s="28" t="s">
        <v>2330</v>
      </c>
      <c r="D640" s="9" t="s">
        <v>2459</v>
      </c>
      <c r="E640" s="28" t="s">
        <v>2512</v>
      </c>
      <c r="F640" s="31" t="s">
        <v>2207</v>
      </c>
      <c r="G640" s="31" t="s">
        <v>2207</v>
      </c>
      <c r="H640" s="31" t="s">
        <v>591</v>
      </c>
      <c r="I640" s="28" t="str">
        <f>VLOOKUP(E640,표준용어사전!$C$2:$D$494, 2, FALSE)</f>
        <v>코드C4</v>
      </c>
      <c r="J640" s="28" t="s">
        <v>709</v>
      </c>
      <c r="K640" s="29">
        <v>4</v>
      </c>
      <c r="L640" s="55" t="s">
        <v>571</v>
      </c>
      <c r="M640" s="29" t="s">
        <v>929</v>
      </c>
      <c r="N640" s="10" t="s">
        <v>973</v>
      </c>
      <c r="O640" s="9" t="s">
        <v>74</v>
      </c>
      <c r="P640" s="9" t="s">
        <v>76</v>
      </c>
      <c r="Q640" s="28"/>
      <c r="R640" s="29"/>
      <c r="S640" s="9"/>
      <c r="T640" s="9"/>
      <c r="U640" s="9" t="s">
        <v>75</v>
      </c>
      <c r="V640" s="9" t="s">
        <v>75</v>
      </c>
      <c r="W640" s="9"/>
    </row>
    <row r="641" spans="1:23" s="12" customFormat="1">
      <c r="A641" s="46" t="s">
        <v>572</v>
      </c>
      <c r="B641" s="28" t="s">
        <v>1335</v>
      </c>
      <c r="C641" s="28" t="s">
        <v>2330</v>
      </c>
      <c r="D641" s="9" t="s">
        <v>2459</v>
      </c>
      <c r="E641" s="28" t="s">
        <v>2511</v>
      </c>
      <c r="F641" s="31" t="s">
        <v>580</v>
      </c>
      <c r="G641" s="31" t="s">
        <v>580</v>
      </c>
      <c r="H641" s="31" t="s">
        <v>591</v>
      </c>
      <c r="I641" s="28" t="str">
        <f>VLOOKUP(E641,표준용어사전!$C$2:$D$494, 2, FALSE)</f>
        <v>명V20</v>
      </c>
      <c r="J641" s="28" t="s">
        <v>718</v>
      </c>
      <c r="K641" s="29" t="s">
        <v>986</v>
      </c>
      <c r="L641" s="55" t="s">
        <v>571</v>
      </c>
      <c r="M641" s="29" t="s">
        <v>727</v>
      </c>
      <c r="N641" s="10" t="s">
        <v>973</v>
      </c>
      <c r="O641" s="9" t="s">
        <v>624</v>
      </c>
      <c r="P641" s="9" t="s">
        <v>76</v>
      </c>
      <c r="Q641" s="28"/>
      <c r="R641" s="29"/>
      <c r="S641" s="9"/>
      <c r="T641" s="9"/>
      <c r="U641" s="9" t="s">
        <v>75</v>
      </c>
      <c r="V641" s="9" t="s">
        <v>75</v>
      </c>
      <c r="W641" s="9"/>
    </row>
    <row r="642" spans="1:23" s="12" customFormat="1">
      <c r="A642" s="46" t="s">
        <v>572</v>
      </c>
      <c r="B642" s="28" t="s">
        <v>1335</v>
      </c>
      <c r="C642" s="28" t="s">
        <v>2330</v>
      </c>
      <c r="D642" s="28" t="s">
        <v>2459</v>
      </c>
      <c r="E642" s="28" t="s">
        <v>90</v>
      </c>
      <c r="F642" s="31" t="s">
        <v>14</v>
      </c>
      <c r="G642" s="31" t="s">
        <v>14</v>
      </c>
      <c r="H642" s="31" t="s">
        <v>591</v>
      </c>
      <c r="I642" s="28" t="str">
        <f>VLOOKUP(E642,표준용어사전!$C$2:$D$494, 2, FALSE)</f>
        <v>연월일시분초TS</v>
      </c>
      <c r="J642" s="28" t="s">
        <v>719</v>
      </c>
      <c r="K642" s="29" t="s">
        <v>571</v>
      </c>
      <c r="L642" s="55" t="s">
        <v>571</v>
      </c>
      <c r="M642" s="29" t="s">
        <v>726</v>
      </c>
      <c r="N642" s="29" t="s">
        <v>973</v>
      </c>
      <c r="O642" s="28"/>
      <c r="P642" s="28" t="s">
        <v>76</v>
      </c>
      <c r="Q642" s="28"/>
      <c r="R642" s="29"/>
      <c r="S642" s="28"/>
      <c r="T642" s="28"/>
      <c r="U642" s="28" t="s">
        <v>75</v>
      </c>
      <c r="V642" s="28" t="s">
        <v>75</v>
      </c>
      <c r="W642" s="28"/>
    </row>
    <row r="643" spans="1:23" s="12" customFormat="1">
      <c r="A643" s="46" t="s">
        <v>572</v>
      </c>
      <c r="B643" s="28" t="s">
        <v>1335</v>
      </c>
      <c r="C643" s="28" t="s">
        <v>2330</v>
      </c>
      <c r="D643" s="28" t="s">
        <v>2459</v>
      </c>
      <c r="E643" s="28" t="s">
        <v>91</v>
      </c>
      <c r="F643" s="31" t="s">
        <v>369</v>
      </c>
      <c r="G643" s="31" t="s">
        <v>369</v>
      </c>
      <c r="H643" s="31" t="s">
        <v>591</v>
      </c>
      <c r="I643" s="28" t="str">
        <f>VLOOKUP(E643,표준용어사전!$C$2:$D$494, 2, FALSE)</f>
        <v>명V20</v>
      </c>
      <c r="J643" s="28" t="s">
        <v>718</v>
      </c>
      <c r="K643" s="29" t="s">
        <v>986</v>
      </c>
      <c r="L643" s="55" t="s">
        <v>571</v>
      </c>
      <c r="M643" s="29" t="s">
        <v>727</v>
      </c>
      <c r="N643" s="29" t="s">
        <v>75</v>
      </c>
      <c r="O643" s="28"/>
      <c r="P643" s="28" t="s">
        <v>76</v>
      </c>
      <c r="Q643" s="28"/>
      <c r="R643" s="29"/>
      <c r="S643" s="28"/>
      <c r="T643" s="28"/>
      <c r="U643" s="28" t="s">
        <v>75</v>
      </c>
      <c r="V643" s="28" t="s">
        <v>75</v>
      </c>
      <c r="W643" s="28"/>
    </row>
    <row r="644" spans="1:23" s="12" customFormat="1">
      <c r="A644" s="46" t="s">
        <v>572</v>
      </c>
      <c r="B644" s="28" t="s">
        <v>1335</v>
      </c>
      <c r="C644" s="28" t="s">
        <v>2330</v>
      </c>
      <c r="D644" s="9" t="s">
        <v>2459</v>
      </c>
      <c r="E644" s="28" t="s">
        <v>92</v>
      </c>
      <c r="F644" s="31" t="s">
        <v>15</v>
      </c>
      <c r="G644" s="31" t="s">
        <v>15</v>
      </c>
      <c r="H644" s="31" t="s">
        <v>591</v>
      </c>
      <c r="I644" s="28" t="str">
        <f>VLOOKUP(E644,표준용어사전!$C$2:$D$494, 2, FALSE)</f>
        <v>연월일시분초TS</v>
      </c>
      <c r="J644" s="28" t="s">
        <v>719</v>
      </c>
      <c r="K644" s="29" t="s">
        <v>571</v>
      </c>
      <c r="L644" s="55" t="s">
        <v>571</v>
      </c>
      <c r="M644" s="29" t="s">
        <v>726</v>
      </c>
      <c r="N644" s="29" t="s">
        <v>75</v>
      </c>
      <c r="O644" s="9"/>
      <c r="P644" s="9" t="s">
        <v>76</v>
      </c>
      <c r="Q644" s="28"/>
      <c r="R644" s="29"/>
      <c r="S644" s="9"/>
      <c r="T644" s="9"/>
      <c r="U644" s="9" t="s">
        <v>75</v>
      </c>
      <c r="V644" s="9" t="s">
        <v>75</v>
      </c>
      <c r="W644" s="9"/>
    </row>
    <row r="645" spans="1:23" s="12" customFormat="1">
      <c r="A645" s="46" t="s">
        <v>572</v>
      </c>
      <c r="B645" s="28" t="s">
        <v>1335</v>
      </c>
      <c r="C645" s="28" t="s">
        <v>2330</v>
      </c>
      <c r="D645" s="9" t="s">
        <v>2459</v>
      </c>
      <c r="E645" s="28" t="s">
        <v>93</v>
      </c>
      <c r="F645" s="31" t="s">
        <v>370</v>
      </c>
      <c r="G645" s="31" t="s">
        <v>370</v>
      </c>
      <c r="H645" s="31" t="s">
        <v>591</v>
      </c>
      <c r="I645" s="28" t="str">
        <f>VLOOKUP(E645,표준용어사전!$C$2:$D$494, 2, FALSE)</f>
        <v>명V20</v>
      </c>
      <c r="J645" s="28" t="s">
        <v>718</v>
      </c>
      <c r="K645" s="29" t="s">
        <v>986</v>
      </c>
      <c r="L645" s="55" t="s">
        <v>571</v>
      </c>
      <c r="M645" s="29" t="s">
        <v>727</v>
      </c>
      <c r="N645" s="10" t="s">
        <v>75</v>
      </c>
      <c r="O645" s="9"/>
      <c r="P645" s="9" t="s">
        <v>76</v>
      </c>
      <c r="Q645" s="28"/>
      <c r="R645" s="29"/>
      <c r="S645" s="9"/>
      <c r="T645" s="9"/>
      <c r="U645" s="9" t="s">
        <v>75</v>
      </c>
      <c r="V645" s="9" t="s">
        <v>75</v>
      </c>
      <c r="W645" s="9"/>
    </row>
    <row r="646" spans="1:23" s="12" customFormat="1">
      <c r="A646" s="46" t="s">
        <v>572</v>
      </c>
      <c r="B646" s="28" t="s">
        <v>1335</v>
      </c>
      <c r="C646" s="28" t="s">
        <v>2330</v>
      </c>
      <c r="D646" s="9" t="s">
        <v>2459</v>
      </c>
      <c r="E646" s="28" t="s">
        <v>951</v>
      </c>
      <c r="F646" s="31" t="s">
        <v>952</v>
      </c>
      <c r="G646" s="31" t="s">
        <v>952</v>
      </c>
      <c r="H646" s="31" t="s">
        <v>591</v>
      </c>
      <c r="I646" s="28" t="str">
        <f>VLOOKUP(E646,표준용어사전!$C$2:$D$494, 2, FALSE)</f>
        <v>수N10,3</v>
      </c>
      <c r="J646" s="28" t="s">
        <v>748</v>
      </c>
      <c r="K646" s="29" t="s">
        <v>1061</v>
      </c>
      <c r="L646" s="55" t="s">
        <v>980</v>
      </c>
      <c r="M646" s="29" t="s">
        <v>2593</v>
      </c>
      <c r="N646" s="10" t="s">
        <v>75</v>
      </c>
      <c r="O646" s="9"/>
      <c r="P646" s="9" t="s">
        <v>76</v>
      </c>
      <c r="Q646" s="28"/>
      <c r="R646" s="29"/>
      <c r="S646" s="9"/>
      <c r="T646" s="9"/>
      <c r="U646" s="9" t="s">
        <v>75</v>
      </c>
      <c r="V646" s="9" t="s">
        <v>75</v>
      </c>
      <c r="W646" s="9"/>
    </row>
    <row r="647" spans="1:23" s="12" customFormat="1">
      <c r="A647" s="46" t="s">
        <v>572</v>
      </c>
      <c r="B647" s="28" t="s">
        <v>1335</v>
      </c>
      <c r="C647" s="28" t="s">
        <v>2330</v>
      </c>
      <c r="D647" s="9" t="s">
        <v>2460</v>
      </c>
      <c r="E647" s="28" t="s">
        <v>89</v>
      </c>
      <c r="F647" s="31" t="s">
        <v>501</v>
      </c>
      <c r="G647" s="31" t="s">
        <v>501</v>
      </c>
      <c r="H647" s="31" t="s">
        <v>589</v>
      </c>
      <c r="I647" s="28" t="str">
        <f>VLOOKUP(E647,표준용어사전!$C$2:$D$494, 2, FALSE)</f>
        <v>명V20</v>
      </c>
      <c r="J647" s="28" t="s">
        <v>718</v>
      </c>
      <c r="K647" s="29" t="s">
        <v>986</v>
      </c>
      <c r="L647" s="55" t="s">
        <v>571</v>
      </c>
      <c r="M647" s="29" t="s">
        <v>727</v>
      </c>
      <c r="N647" s="10" t="s">
        <v>973</v>
      </c>
      <c r="O647" s="9" t="s">
        <v>73</v>
      </c>
      <c r="P647" s="9" t="s">
        <v>76</v>
      </c>
      <c r="Q647" s="28"/>
      <c r="R647" s="29"/>
      <c r="S647" s="9"/>
      <c r="T647" s="9"/>
      <c r="U647" s="9" t="s">
        <v>75</v>
      </c>
      <c r="V647" s="9" t="s">
        <v>75</v>
      </c>
      <c r="W647" s="9"/>
    </row>
    <row r="648" spans="1:23" s="12" customFormat="1">
      <c r="A648" s="46" t="s">
        <v>572</v>
      </c>
      <c r="B648" s="28" t="s">
        <v>1335</v>
      </c>
      <c r="C648" s="28" t="s">
        <v>2330</v>
      </c>
      <c r="D648" s="9" t="s">
        <v>2460</v>
      </c>
      <c r="E648" s="28" t="s">
        <v>2512</v>
      </c>
      <c r="F648" s="31" t="s">
        <v>2207</v>
      </c>
      <c r="G648" s="31" t="s">
        <v>2207</v>
      </c>
      <c r="H648" s="31" t="s">
        <v>589</v>
      </c>
      <c r="I648" s="28" t="str">
        <f>VLOOKUP(E648,표준용어사전!$C$2:$D$494, 2, FALSE)</f>
        <v>코드C4</v>
      </c>
      <c r="J648" s="28" t="s">
        <v>709</v>
      </c>
      <c r="K648" s="29">
        <v>4</v>
      </c>
      <c r="L648" s="55" t="s">
        <v>571</v>
      </c>
      <c r="M648" s="29" t="s">
        <v>929</v>
      </c>
      <c r="N648" s="10" t="s">
        <v>973</v>
      </c>
      <c r="O648" s="9" t="s">
        <v>74</v>
      </c>
      <c r="P648" s="9" t="s">
        <v>76</v>
      </c>
      <c r="Q648" s="28"/>
      <c r="R648" s="29"/>
      <c r="S648" s="9"/>
      <c r="T648" s="9"/>
      <c r="U648" s="9" t="s">
        <v>75</v>
      </c>
      <c r="V648" s="9" t="s">
        <v>75</v>
      </c>
      <c r="W648" s="9"/>
    </row>
    <row r="649" spans="1:23" s="12" customFormat="1">
      <c r="A649" s="46" t="s">
        <v>572</v>
      </c>
      <c r="B649" s="28" t="s">
        <v>1335</v>
      </c>
      <c r="C649" s="28" t="s">
        <v>2330</v>
      </c>
      <c r="D649" s="9" t="s">
        <v>2460</v>
      </c>
      <c r="E649" s="28" t="s">
        <v>2511</v>
      </c>
      <c r="F649" s="31" t="s">
        <v>580</v>
      </c>
      <c r="G649" s="31" t="s">
        <v>580</v>
      </c>
      <c r="H649" s="31" t="s">
        <v>589</v>
      </c>
      <c r="I649" s="28" t="str">
        <f>VLOOKUP(E649,표준용어사전!$C$2:$D$494, 2, FALSE)</f>
        <v>명V20</v>
      </c>
      <c r="J649" s="28" t="s">
        <v>718</v>
      </c>
      <c r="K649" s="29" t="s">
        <v>986</v>
      </c>
      <c r="L649" s="55" t="s">
        <v>571</v>
      </c>
      <c r="M649" s="29" t="s">
        <v>727</v>
      </c>
      <c r="N649" s="10" t="s">
        <v>973</v>
      </c>
      <c r="O649" s="9" t="s">
        <v>624</v>
      </c>
      <c r="P649" s="9" t="s">
        <v>76</v>
      </c>
      <c r="Q649" s="28"/>
      <c r="R649" s="29"/>
      <c r="S649" s="9"/>
      <c r="T649" s="9"/>
      <c r="U649" s="9" t="s">
        <v>75</v>
      </c>
      <c r="V649" s="9" t="s">
        <v>75</v>
      </c>
      <c r="W649" s="9"/>
    </row>
    <row r="650" spans="1:23" s="12" customFormat="1">
      <c r="A650" s="46" t="s">
        <v>572</v>
      </c>
      <c r="B650" s="28" t="s">
        <v>1335</v>
      </c>
      <c r="C650" s="28" t="s">
        <v>2330</v>
      </c>
      <c r="D650" s="9" t="s">
        <v>2460</v>
      </c>
      <c r="E650" s="28" t="s">
        <v>90</v>
      </c>
      <c r="F650" s="31" t="s">
        <v>14</v>
      </c>
      <c r="G650" s="31" t="s">
        <v>14</v>
      </c>
      <c r="H650" s="31" t="s">
        <v>589</v>
      </c>
      <c r="I650" s="28" t="str">
        <f>VLOOKUP(E650,표준용어사전!$C$2:$D$494, 2, FALSE)</f>
        <v>연월일시분초TS</v>
      </c>
      <c r="J650" s="28" t="s">
        <v>719</v>
      </c>
      <c r="K650" s="29" t="s">
        <v>571</v>
      </c>
      <c r="L650" s="55" t="s">
        <v>571</v>
      </c>
      <c r="M650" s="29" t="s">
        <v>726</v>
      </c>
      <c r="N650" s="29" t="s">
        <v>973</v>
      </c>
      <c r="O650" s="28"/>
      <c r="P650" s="28" t="s">
        <v>76</v>
      </c>
      <c r="Q650" s="28"/>
      <c r="R650" s="29"/>
      <c r="S650" s="28"/>
      <c r="T650" s="28"/>
      <c r="U650" s="28" t="s">
        <v>75</v>
      </c>
      <c r="V650" s="28" t="s">
        <v>75</v>
      </c>
      <c r="W650" s="28"/>
    </row>
    <row r="651" spans="1:23" s="12" customFormat="1">
      <c r="A651" s="46" t="s">
        <v>572</v>
      </c>
      <c r="B651" s="28" t="s">
        <v>1335</v>
      </c>
      <c r="C651" s="28" t="s">
        <v>2330</v>
      </c>
      <c r="D651" s="9" t="s">
        <v>2460</v>
      </c>
      <c r="E651" s="28" t="s">
        <v>91</v>
      </c>
      <c r="F651" s="31" t="s">
        <v>369</v>
      </c>
      <c r="G651" s="31" t="s">
        <v>369</v>
      </c>
      <c r="H651" s="31" t="s">
        <v>589</v>
      </c>
      <c r="I651" s="28" t="str">
        <f>VLOOKUP(E651,표준용어사전!$C$2:$D$494, 2, FALSE)</f>
        <v>명V20</v>
      </c>
      <c r="J651" s="28" t="s">
        <v>718</v>
      </c>
      <c r="K651" s="29" t="s">
        <v>986</v>
      </c>
      <c r="L651" s="55" t="s">
        <v>571</v>
      </c>
      <c r="M651" s="29" t="s">
        <v>727</v>
      </c>
      <c r="N651" s="10" t="s">
        <v>75</v>
      </c>
      <c r="O651" s="9"/>
      <c r="P651" s="9" t="s">
        <v>76</v>
      </c>
      <c r="Q651" s="28"/>
      <c r="R651" s="29"/>
      <c r="S651" s="9"/>
      <c r="T651" s="9"/>
      <c r="U651" s="9" t="s">
        <v>75</v>
      </c>
      <c r="V651" s="9" t="s">
        <v>75</v>
      </c>
      <c r="W651" s="9"/>
    </row>
    <row r="652" spans="1:23" s="12" customFormat="1">
      <c r="A652" s="46" t="s">
        <v>572</v>
      </c>
      <c r="B652" s="28" t="s">
        <v>1335</v>
      </c>
      <c r="C652" s="28" t="s">
        <v>2330</v>
      </c>
      <c r="D652" s="28" t="s">
        <v>2460</v>
      </c>
      <c r="E652" s="28" t="s">
        <v>92</v>
      </c>
      <c r="F652" s="31" t="s">
        <v>15</v>
      </c>
      <c r="G652" s="31" t="s">
        <v>15</v>
      </c>
      <c r="H652" s="31" t="s">
        <v>589</v>
      </c>
      <c r="I652" s="28" t="str">
        <f>VLOOKUP(E652,표준용어사전!$C$2:$D$494, 2, FALSE)</f>
        <v>연월일시분초TS</v>
      </c>
      <c r="J652" s="28" t="s">
        <v>719</v>
      </c>
      <c r="K652" s="29" t="s">
        <v>571</v>
      </c>
      <c r="L652" s="55" t="s">
        <v>571</v>
      </c>
      <c r="M652" s="29" t="s">
        <v>726</v>
      </c>
      <c r="N652" s="29" t="s">
        <v>75</v>
      </c>
      <c r="O652" s="28"/>
      <c r="P652" s="28" t="s">
        <v>76</v>
      </c>
      <c r="Q652" s="28"/>
      <c r="R652" s="29"/>
      <c r="S652" s="28"/>
      <c r="T652" s="28"/>
      <c r="U652" s="9" t="s">
        <v>75</v>
      </c>
      <c r="V652" s="9" t="s">
        <v>75</v>
      </c>
      <c r="W652" s="28"/>
    </row>
    <row r="653" spans="1:23" s="12" customFormat="1">
      <c r="A653" s="46" t="s">
        <v>572</v>
      </c>
      <c r="B653" s="28" t="s">
        <v>1335</v>
      </c>
      <c r="C653" s="28" t="s">
        <v>2330</v>
      </c>
      <c r="D653" s="9" t="s">
        <v>2460</v>
      </c>
      <c r="E653" s="28" t="s">
        <v>93</v>
      </c>
      <c r="F653" s="31" t="s">
        <v>370</v>
      </c>
      <c r="G653" s="31" t="s">
        <v>370</v>
      </c>
      <c r="H653" s="31" t="s">
        <v>589</v>
      </c>
      <c r="I653" s="28" t="str">
        <f>VLOOKUP(E653,표준용어사전!$C$2:$D$494, 2, FALSE)</f>
        <v>명V20</v>
      </c>
      <c r="J653" s="28" t="s">
        <v>718</v>
      </c>
      <c r="K653" s="29" t="s">
        <v>986</v>
      </c>
      <c r="L653" s="55" t="s">
        <v>571</v>
      </c>
      <c r="M653" s="29" t="s">
        <v>727</v>
      </c>
      <c r="N653" s="10" t="s">
        <v>75</v>
      </c>
      <c r="O653" s="9"/>
      <c r="P653" s="9" t="s">
        <v>76</v>
      </c>
      <c r="Q653" s="28"/>
      <c r="R653" s="29"/>
      <c r="S653" s="9"/>
      <c r="T653" s="9"/>
      <c r="U653" s="9" t="s">
        <v>75</v>
      </c>
      <c r="V653" s="9" t="s">
        <v>75</v>
      </c>
      <c r="W653" s="9"/>
    </row>
    <row r="654" spans="1:23" s="12" customFormat="1">
      <c r="A654" s="46" t="s">
        <v>572</v>
      </c>
      <c r="B654" s="28" t="s">
        <v>1335</v>
      </c>
      <c r="C654" s="28" t="s">
        <v>2330</v>
      </c>
      <c r="D654" s="9" t="s">
        <v>2460</v>
      </c>
      <c r="E654" s="28" t="s">
        <v>954</v>
      </c>
      <c r="F654" s="31" t="s">
        <v>953</v>
      </c>
      <c r="G654" s="31" t="s">
        <v>953</v>
      </c>
      <c r="H654" s="31" t="s">
        <v>589</v>
      </c>
      <c r="I654" s="28" t="str">
        <f>VLOOKUP(E654,표준용어사전!$C$2:$D$494, 2, FALSE)</f>
        <v>수N10,3</v>
      </c>
      <c r="J654" s="28" t="s">
        <v>748</v>
      </c>
      <c r="K654" s="29" t="s">
        <v>1061</v>
      </c>
      <c r="L654" s="55" t="s">
        <v>980</v>
      </c>
      <c r="M654" s="29" t="s">
        <v>2593</v>
      </c>
      <c r="N654" s="10" t="s">
        <v>75</v>
      </c>
      <c r="O654" s="9"/>
      <c r="P654" s="9" t="s">
        <v>76</v>
      </c>
      <c r="Q654" s="28"/>
      <c r="R654" s="29"/>
      <c r="S654" s="9"/>
      <c r="T654" s="9"/>
      <c r="U654" s="9" t="s">
        <v>75</v>
      </c>
      <c r="V654" s="9" t="s">
        <v>75</v>
      </c>
      <c r="W654" s="9"/>
    </row>
    <row r="655" spans="1:23" s="12" customFormat="1">
      <c r="A655" s="46" t="s">
        <v>572</v>
      </c>
      <c r="B655" s="28" t="s">
        <v>1331</v>
      </c>
      <c r="C655" s="28" t="s">
        <v>2330</v>
      </c>
      <c r="D655" s="9" t="s">
        <v>2618</v>
      </c>
      <c r="E655" s="28" t="s">
        <v>2535</v>
      </c>
      <c r="F655" s="31" t="s">
        <v>556</v>
      </c>
      <c r="G655" s="31" t="s">
        <v>556</v>
      </c>
      <c r="H655" s="31" t="s">
        <v>346</v>
      </c>
      <c r="I655" s="28" t="str">
        <f>VLOOKUP(E655,표준용어사전!$C$2:$D$494, 2, FALSE)</f>
        <v>연월C6</v>
      </c>
      <c r="J655" s="28" t="s">
        <v>709</v>
      </c>
      <c r="K655" s="29">
        <v>6</v>
      </c>
      <c r="L655" s="55" t="s">
        <v>571</v>
      </c>
      <c r="M655" s="29" t="s">
        <v>733</v>
      </c>
      <c r="N655" s="10" t="s">
        <v>973</v>
      </c>
      <c r="O655" s="9" t="s">
        <v>73</v>
      </c>
      <c r="P655" s="9" t="s">
        <v>76</v>
      </c>
      <c r="Q655" s="28"/>
      <c r="R655" s="29"/>
      <c r="S655" s="9"/>
      <c r="T655" s="9"/>
      <c r="U655" s="9" t="s">
        <v>75</v>
      </c>
      <c r="V655" s="9" t="s">
        <v>75</v>
      </c>
      <c r="W655" s="9"/>
    </row>
    <row r="656" spans="1:23" s="12" customFormat="1">
      <c r="A656" s="46" t="s">
        <v>572</v>
      </c>
      <c r="B656" s="28" t="s">
        <v>1331</v>
      </c>
      <c r="C656" s="28" t="s">
        <v>2330</v>
      </c>
      <c r="D656" s="9" t="s">
        <v>2618</v>
      </c>
      <c r="E656" s="28" t="s">
        <v>2536</v>
      </c>
      <c r="F656" s="31" t="s">
        <v>502</v>
      </c>
      <c r="G656" s="31" t="s">
        <v>502</v>
      </c>
      <c r="H656" s="31" t="s">
        <v>346</v>
      </c>
      <c r="I656" s="28" t="str">
        <f>VLOOKUP(E656,표준용어사전!$C$2:$D$494, 2, FALSE)</f>
        <v>코드V50</v>
      </c>
      <c r="J656" s="28" t="s">
        <v>718</v>
      </c>
      <c r="K656" s="29">
        <v>50</v>
      </c>
      <c r="L656" s="55" t="s">
        <v>571</v>
      </c>
      <c r="M656" s="29" t="s">
        <v>720</v>
      </c>
      <c r="N656" s="10" t="s">
        <v>973</v>
      </c>
      <c r="O656" s="9" t="s">
        <v>74</v>
      </c>
      <c r="P656" s="9" t="s">
        <v>76</v>
      </c>
      <c r="Q656" s="28"/>
      <c r="R656" s="29"/>
      <c r="S656" s="9"/>
      <c r="T656" s="9"/>
      <c r="U656" s="9" t="s">
        <v>75</v>
      </c>
      <c r="V656" s="9" t="s">
        <v>75</v>
      </c>
      <c r="W656" s="9"/>
    </row>
    <row r="657" spans="1:23" s="12" customFormat="1">
      <c r="A657" s="46" t="s">
        <v>572</v>
      </c>
      <c r="B657" s="28" t="s">
        <v>1331</v>
      </c>
      <c r="C657" s="28" t="s">
        <v>2330</v>
      </c>
      <c r="D657" s="9" t="s">
        <v>2618</v>
      </c>
      <c r="E657" s="28" t="s">
        <v>2537</v>
      </c>
      <c r="F657" s="31" t="s">
        <v>557</v>
      </c>
      <c r="G657" s="31" t="s">
        <v>557</v>
      </c>
      <c r="H657" s="31" t="s">
        <v>346</v>
      </c>
      <c r="I657" s="28" t="str">
        <f>VLOOKUP(E657,표준용어사전!$C$2:$D$494, 2, FALSE)</f>
        <v>수N10</v>
      </c>
      <c r="J657" s="28" t="s">
        <v>748</v>
      </c>
      <c r="K657" s="29" t="s">
        <v>1061</v>
      </c>
      <c r="L657" s="55" t="s">
        <v>571</v>
      </c>
      <c r="M657" s="29" t="s">
        <v>2592</v>
      </c>
      <c r="N657" s="10" t="s">
        <v>75</v>
      </c>
      <c r="O657" s="9"/>
      <c r="P657" s="9" t="s">
        <v>76</v>
      </c>
      <c r="Q657" s="28"/>
      <c r="R657" s="29"/>
      <c r="S657" s="9"/>
      <c r="T657" s="9"/>
      <c r="U657" s="9" t="s">
        <v>75</v>
      </c>
      <c r="V657" s="9" t="s">
        <v>75</v>
      </c>
      <c r="W657" s="9"/>
    </row>
    <row r="658" spans="1:23" s="12" customFormat="1">
      <c r="A658" s="46" t="s">
        <v>572</v>
      </c>
      <c r="B658" s="28" t="s">
        <v>1331</v>
      </c>
      <c r="C658" s="28" t="s">
        <v>2330</v>
      </c>
      <c r="D658" s="9" t="s">
        <v>2618</v>
      </c>
      <c r="E658" s="28" t="s">
        <v>2538</v>
      </c>
      <c r="F658" s="31" t="s">
        <v>1828</v>
      </c>
      <c r="G658" s="31" t="s">
        <v>1828</v>
      </c>
      <c r="H658" s="31" t="s">
        <v>346</v>
      </c>
      <c r="I658" s="28" t="str">
        <f>VLOOKUP(E658,표준용어사전!$C$2:$D$494, 2, FALSE)</f>
        <v>시분초N10</v>
      </c>
      <c r="J658" s="28" t="s">
        <v>748</v>
      </c>
      <c r="K658" s="29">
        <v>10</v>
      </c>
      <c r="L658" s="55" t="s">
        <v>571</v>
      </c>
      <c r="M658" s="29" t="s">
        <v>2592</v>
      </c>
      <c r="N658" s="10" t="s">
        <v>75</v>
      </c>
      <c r="O658" s="9"/>
      <c r="P658" s="9" t="s">
        <v>76</v>
      </c>
      <c r="Q658" s="28"/>
      <c r="R658" s="29"/>
      <c r="S658" s="9"/>
      <c r="T658" s="9"/>
      <c r="U658" s="9" t="s">
        <v>75</v>
      </c>
      <c r="V658" s="9" t="s">
        <v>75</v>
      </c>
      <c r="W658" s="9"/>
    </row>
    <row r="659" spans="1:23" s="12" customFormat="1">
      <c r="A659" s="46" t="s">
        <v>572</v>
      </c>
      <c r="B659" s="28" t="s">
        <v>1331</v>
      </c>
      <c r="C659" s="28" t="s">
        <v>2330</v>
      </c>
      <c r="D659" s="9" t="s">
        <v>2618</v>
      </c>
      <c r="E659" s="28" t="s">
        <v>2274</v>
      </c>
      <c r="F659" s="31" t="s">
        <v>2425</v>
      </c>
      <c r="G659" s="31" t="s">
        <v>2425</v>
      </c>
      <c r="H659" s="31" t="s">
        <v>346</v>
      </c>
      <c r="I659" s="28" t="str">
        <f>VLOOKUP(E659,표준용어사전!$C$2:$D$494, 2, FALSE)</f>
        <v>코드V50</v>
      </c>
      <c r="J659" s="28" t="s">
        <v>718</v>
      </c>
      <c r="K659" s="29">
        <v>50</v>
      </c>
      <c r="L659" s="55" t="s">
        <v>571</v>
      </c>
      <c r="M659" s="29" t="s">
        <v>720</v>
      </c>
      <c r="N659" s="10" t="s">
        <v>973</v>
      </c>
      <c r="O659" s="9" t="s">
        <v>624</v>
      </c>
      <c r="P659" s="9" t="s">
        <v>76</v>
      </c>
      <c r="Q659" s="28"/>
      <c r="R659" s="29"/>
      <c r="S659" s="9"/>
      <c r="T659" s="9"/>
      <c r="U659" s="9" t="s">
        <v>75</v>
      </c>
      <c r="V659" s="9" t="s">
        <v>75</v>
      </c>
      <c r="W659" s="9"/>
    </row>
    <row r="660" spans="1:23" s="12" customFormat="1">
      <c r="A660" s="46" t="s">
        <v>572</v>
      </c>
      <c r="B660" s="28" t="s">
        <v>1333</v>
      </c>
      <c r="C660" s="28" t="s">
        <v>2330</v>
      </c>
      <c r="D660" s="9" t="s">
        <v>2619</v>
      </c>
      <c r="E660" s="28" t="s">
        <v>2511</v>
      </c>
      <c r="F660" s="31" t="s">
        <v>580</v>
      </c>
      <c r="G660" s="31" t="s">
        <v>580</v>
      </c>
      <c r="H660" s="31" t="s">
        <v>271</v>
      </c>
      <c r="I660" s="28" t="str">
        <f>VLOOKUP(E660,표준용어사전!$C$2:$D$494, 2, FALSE)</f>
        <v>명V20</v>
      </c>
      <c r="J660" s="28" t="s">
        <v>718</v>
      </c>
      <c r="K660" s="29" t="s">
        <v>986</v>
      </c>
      <c r="L660" s="55" t="s">
        <v>571</v>
      </c>
      <c r="M660" s="29" t="s">
        <v>727</v>
      </c>
      <c r="N660" s="10" t="s">
        <v>973</v>
      </c>
      <c r="O660" s="9" t="s">
        <v>73</v>
      </c>
      <c r="P660" s="9" t="s">
        <v>76</v>
      </c>
      <c r="Q660" s="28"/>
      <c r="R660" s="29"/>
      <c r="S660" s="9"/>
      <c r="T660" s="9"/>
      <c r="U660" s="9" t="s">
        <v>75</v>
      </c>
      <c r="V660" s="9" t="s">
        <v>75</v>
      </c>
      <c r="W660" s="9"/>
    </row>
    <row r="661" spans="1:23" s="12" customFormat="1">
      <c r="A661" s="46" t="s">
        <v>572</v>
      </c>
      <c r="B661" s="28" t="s">
        <v>1333</v>
      </c>
      <c r="C661" s="28" t="s">
        <v>2330</v>
      </c>
      <c r="D661" s="9" t="s">
        <v>2619</v>
      </c>
      <c r="E661" s="28" t="s">
        <v>2536</v>
      </c>
      <c r="F661" s="31" t="s">
        <v>502</v>
      </c>
      <c r="G661" s="31" t="s">
        <v>502</v>
      </c>
      <c r="H661" s="31" t="s">
        <v>271</v>
      </c>
      <c r="I661" s="28" t="str">
        <f>VLOOKUP(E661,표준용어사전!$C$2:$D$494, 2, FALSE)</f>
        <v>코드V50</v>
      </c>
      <c r="J661" s="28" t="s">
        <v>718</v>
      </c>
      <c r="K661" s="29">
        <v>50</v>
      </c>
      <c r="L661" s="55" t="s">
        <v>571</v>
      </c>
      <c r="M661" s="29" t="s">
        <v>720</v>
      </c>
      <c r="N661" s="29" t="s">
        <v>75</v>
      </c>
      <c r="O661" s="9"/>
      <c r="P661" s="9" t="s">
        <v>76</v>
      </c>
      <c r="Q661" s="28"/>
      <c r="R661" s="29"/>
      <c r="S661" s="9"/>
      <c r="T661" s="9"/>
      <c r="U661" s="9" t="s">
        <v>75</v>
      </c>
      <c r="V661" s="9" t="s">
        <v>75</v>
      </c>
      <c r="W661" s="9"/>
    </row>
    <row r="662" spans="1:23" s="12" customFormat="1">
      <c r="A662" s="46" t="s">
        <v>572</v>
      </c>
      <c r="B662" s="28" t="s">
        <v>1333</v>
      </c>
      <c r="C662" s="28" t="s">
        <v>2330</v>
      </c>
      <c r="D662" s="9" t="s">
        <v>2619</v>
      </c>
      <c r="E662" s="28" t="s">
        <v>2539</v>
      </c>
      <c r="F662" s="31" t="s">
        <v>594</v>
      </c>
      <c r="G662" s="31" t="s">
        <v>594</v>
      </c>
      <c r="H662" s="31" t="s">
        <v>271</v>
      </c>
      <c r="I662" s="28" t="str">
        <f>VLOOKUP(E662,표준용어사전!$C$2:$D$494, 2, FALSE)</f>
        <v>코드V50</v>
      </c>
      <c r="J662" s="28" t="s">
        <v>718</v>
      </c>
      <c r="K662" s="29">
        <v>50</v>
      </c>
      <c r="L662" s="55" t="s">
        <v>571</v>
      </c>
      <c r="M662" s="29" t="s">
        <v>720</v>
      </c>
      <c r="N662" s="10" t="s">
        <v>75</v>
      </c>
      <c r="O662" s="9"/>
      <c r="P662" s="9" t="s">
        <v>76</v>
      </c>
      <c r="Q662" s="28"/>
      <c r="R662" s="29"/>
      <c r="S662" s="9"/>
      <c r="T662" s="9"/>
      <c r="U662" s="9" t="s">
        <v>75</v>
      </c>
      <c r="V662" s="9" t="s">
        <v>75</v>
      </c>
      <c r="W662" s="9"/>
    </row>
    <row r="663" spans="1:23" s="12" customFormat="1">
      <c r="A663" s="46" t="s">
        <v>572</v>
      </c>
      <c r="B663" s="28" t="s">
        <v>1333</v>
      </c>
      <c r="C663" s="28" t="s">
        <v>2330</v>
      </c>
      <c r="D663" s="9" t="s">
        <v>2619</v>
      </c>
      <c r="E663" s="28" t="s">
        <v>2540</v>
      </c>
      <c r="F663" s="31" t="s">
        <v>503</v>
      </c>
      <c r="G663" s="31" t="s">
        <v>503</v>
      </c>
      <c r="H663" s="31" t="s">
        <v>271</v>
      </c>
      <c r="I663" s="28" t="str">
        <f>VLOOKUP(E663,표준용어사전!$C$2:$D$494, 2, FALSE)</f>
        <v>명V512</v>
      </c>
      <c r="J663" s="28" t="s">
        <v>718</v>
      </c>
      <c r="K663" s="29">
        <v>512</v>
      </c>
      <c r="L663" s="55" t="s">
        <v>571</v>
      </c>
      <c r="M663" s="29" t="s">
        <v>721</v>
      </c>
      <c r="N663" s="10" t="s">
        <v>75</v>
      </c>
      <c r="O663" s="9"/>
      <c r="P663" s="9" t="s">
        <v>76</v>
      </c>
      <c r="Q663" s="28"/>
      <c r="R663" s="29"/>
      <c r="S663" s="9"/>
      <c r="T663" s="9"/>
      <c r="U663" s="9" t="s">
        <v>75</v>
      </c>
      <c r="V663" s="9" t="s">
        <v>75</v>
      </c>
      <c r="W663" s="9"/>
    </row>
    <row r="664" spans="1:23" s="12" customFormat="1">
      <c r="A664" s="46" t="s">
        <v>572</v>
      </c>
      <c r="B664" s="28" t="s">
        <v>1333</v>
      </c>
      <c r="C664" s="28" t="s">
        <v>2330</v>
      </c>
      <c r="D664" s="9" t="s">
        <v>2619</v>
      </c>
      <c r="E664" s="28" t="s">
        <v>2541</v>
      </c>
      <c r="F664" s="31" t="s">
        <v>504</v>
      </c>
      <c r="G664" s="31" t="s">
        <v>504</v>
      </c>
      <c r="H664" s="31" t="s">
        <v>271</v>
      </c>
      <c r="I664" s="28" t="str">
        <f>VLOOKUP(E664,표준용어사전!$C$2:$D$494, 2, FALSE)</f>
        <v>명V512</v>
      </c>
      <c r="J664" s="28" t="s">
        <v>718</v>
      </c>
      <c r="K664" s="29">
        <v>512</v>
      </c>
      <c r="L664" s="55" t="s">
        <v>571</v>
      </c>
      <c r="M664" s="29" t="s">
        <v>721</v>
      </c>
      <c r="N664" s="10" t="s">
        <v>75</v>
      </c>
      <c r="O664" s="9"/>
      <c r="P664" s="9" t="s">
        <v>76</v>
      </c>
      <c r="Q664" s="28"/>
      <c r="R664" s="29"/>
      <c r="S664" s="9"/>
      <c r="T664" s="9"/>
      <c r="U664" s="9" t="s">
        <v>75</v>
      </c>
      <c r="V664" s="9" t="s">
        <v>75</v>
      </c>
      <c r="W664" s="9"/>
    </row>
    <row r="665" spans="1:23" s="12" customFormat="1">
      <c r="A665" s="46" t="s">
        <v>572</v>
      </c>
      <c r="B665" s="28" t="s">
        <v>1333</v>
      </c>
      <c r="C665" s="28" t="s">
        <v>2330</v>
      </c>
      <c r="D665" s="9" t="s">
        <v>2619</v>
      </c>
      <c r="E665" s="28" t="s">
        <v>2542</v>
      </c>
      <c r="F665" s="31" t="s">
        <v>505</v>
      </c>
      <c r="G665" s="31" t="s">
        <v>505</v>
      </c>
      <c r="H665" s="31" t="s">
        <v>271</v>
      </c>
      <c r="I665" s="28" t="str">
        <f>VLOOKUP(E665,표준용어사전!$C$2:$D$494, 2, FALSE)</f>
        <v>내용V2000</v>
      </c>
      <c r="J665" s="28" t="s">
        <v>718</v>
      </c>
      <c r="K665" s="29">
        <v>2000</v>
      </c>
      <c r="L665" s="55" t="s">
        <v>571</v>
      </c>
      <c r="M665" s="29" t="s">
        <v>728</v>
      </c>
      <c r="N665" s="10" t="s">
        <v>75</v>
      </c>
      <c r="O665" s="9"/>
      <c r="P665" s="9" t="s">
        <v>76</v>
      </c>
      <c r="Q665" s="28"/>
      <c r="R665" s="29"/>
      <c r="S665" s="9"/>
      <c r="T665" s="9"/>
      <c r="U665" s="9" t="s">
        <v>75</v>
      </c>
      <c r="V665" s="9" t="s">
        <v>75</v>
      </c>
      <c r="W665" s="9"/>
    </row>
    <row r="666" spans="1:23" s="12" customFormat="1">
      <c r="A666" s="46" t="s">
        <v>572</v>
      </c>
      <c r="B666" s="28" t="s">
        <v>1333</v>
      </c>
      <c r="C666" s="28" t="s">
        <v>2330</v>
      </c>
      <c r="D666" s="9" t="s">
        <v>2619</v>
      </c>
      <c r="E666" s="28" t="s">
        <v>2543</v>
      </c>
      <c r="F666" s="31" t="s">
        <v>506</v>
      </c>
      <c r="G666" s="31" t="s">
        <v>506</v>
      </c>
      <c r="H666" s="31" t="s">
        <v>271</v>
      </c>
      <c r="I666" s="28" t="str">
        <f>VLOOKUP(E666,표준용어사전!$C$2:$D$494, 2, FALSE)</f>
        <v>내용V2000</v>
      </c>
      <c r="J666" s="28" t="s">
        <v>718</v>
      </c>
      <c r="K666" s="29">
        <v>2000</v>
      </c>
      <c r="L666" s="55" t="s">
        <v>571</v>
      </c>
      <c r="M666" s="29" t="s">
        <v>728</v>
      </c>
      <c r="N666" s="10" t="s">
        <v>75</v>
      </c>
      <c r="O666" s="9"/>
      <c r="P666" s="9" t="s">
        <v>76</v>
      </c>
      <c r="Q666" s="28"/>
      <c r="R666" s="29"/>
      <c r="S666" s="9"/>
      <c r="T666" s="9"/>
      <c r="U666" s="9" t="s">
        <v>75</v>
      </c>
      <c r="V666" s="9" t="s">
        <v>75</v>
      </c>
      <c r="W666" s="9"/>
    </row>
    <row r="667" spans="1:23" s="12" customFormat="1">
      <c r="A667" s="46" t="s">
        <v>572</v>
      </c>
      <c r="B667" s="28" t="s">
        <v>1333</v>
      </c>
      <c r="C667" s="28" t="s">
        <v>2330</v>
      </c>
      <c r="D667" s="9" t="s">
        <v>2619</v>
      </c>
      <c r="E667" s="28" t="s">
        <v>2544</v>
      </c>
      <c r="F667" s="31" t="s">
        <v>1412</v>
      </c>
      <c r="G667" s="31" t="s">
        <v>1412</v>
      </c>
      <c r="H667" s="31" t="s">
        <v>271</v>
      </c>
      <c r="I667" s="28" t="str">
        <f>VLOOKUP(E667,표준용어사전!$C$2:$D$494, 2, FALSE)</f>
        <v>번호N10</v>
      </c>
      <c r="J667" s="28" t="s">
        <v>748</v>
      </c>
      <c r="K667" s="29">
        <v>10</v>
      </c>
      <c r="L667" s="55" t="s">
        <v>571</v>
      </c>
      <c r="M667" s="29" t="s">
        <v>2592</v>
      </c>
      <c r="N667" s="10" t="s">
        <v>75</v>
      </c>
      <c r="O667" s="9"/>
      <c r="P667" s="9" t="s">
        <v>76</v>
      </c>
      <c r="Q667" s="28"/>
      <c r="R667" s="29"/>
      <c r="S667" s="9"/>
      <c r="T667" s="9"/>
      <c r="U667" s="9" t="s">
        <v>75</v>
      </c>
      <c r="V667" s="9" t="s">
        <v>75</v>
      </c>
      <c r="W667" s="9"/>
    </row>
    <row r="668" spans="1:23" s="12" customFormat="1">
      <c r="A668" s="46" t="s">
        <v>572</v>
      </c>
      <c r="B668" s="28" t="s">
        <v>1333</v>
      </c>
      <c r="C668" s="28" t="s">
        <v>2330</v>
      </c>
      <c r="D668" s="9" t="s">
        <v>2619</v>
      </c>
      <c r="E668" s="28" t="s">
        <v>90</v>
      </c>
      <c r="F668" s="31" t="s">
        <v>14</v>
      </c>
      <c r="G668" s="31" t="s">
        <v>14</v>
      </c>
      <c r="H668" s="31" t="s">
        <v>271</v>
      </c>
      <c r="I668" s="28" t="str">
        <f>VLOOKUP(E668,표준용어사전!$C$2:$D$494, 2, FALSE)</f>
        <v>연월일시분초TS</v>
      </c>
      <c r="J668" s="28" t="s">
        <v>719</v>
      </c>
      <c r="K668" s="29" t="s">
        <v>571</v>
      </c>
      <c r="L668" s="55" t="s">
        <v>571</v>
      </c>
      <c r="M668" s="29" t="s">
        <v>726</v>
      </c>
      <c r="N668" s="10" t="s">
        <v>973</v>
      </c>
      <c r="O668" s="9"/>
      <c r="P668" s="9" t="s">
        <v>76</v>
      </c>
      <c r="Q668" s="28"/>
      <c r="R668" s="29"/>
      <c r="S668" s="9"/>
      <c r="T668" s="9"/>
      <c r="U668" s="9" t="s">
        <v>75</v>
      </c>
      <c r="V668" s="9" t="s">
        <v>75</v>
      </c>
      <c r="W668" s="9"/>
    </row>
    <row r="669" spans="1:23" s="12" customFormat="1">
      <c r="A669" s="46" t="s">
        <v>572</v>
      </c>
      <c r="B669" s="28" t="s">
        <v>1333</v>
      </c>
      <c r="C669" s="28" t="s">
        <v>2330</v>
      </c>
      <c r="D669" s="9" t="s">
        <v>2619</v>
      </c>
      <c r="E669" s="28" t="s">
        <v>91</v>
      </c>
      <c r="F669" s="31" t="s">
        <v>369</v>
      </c>
      <c r="G669" s="31" t="s">
        <v>369</v>
      </c>
      <c r="H669" s="31" t="s">
        <v>271</v>
      </c>
      <c r="I669" s="28" t="str">
        <f>VLOOKUP(E669,표준용어사전!$C$2:$D$494, 2, FALSE)</f>
        <v>명V20</v>
      </c>
      <c r="J669" s="28" t="s">
        <v>718</v>
      </c>
      <c r="K669" s="29" t="s">
        <v>986</v>
      </c>
      <c r="L669" s="55" t="s">
        <v>571</v>
      </c>
      <c r="M669" s="29" t="s">
        <v>727</v>
      </c>
      <c r="N669" s="10" t="s">
        <v>75</v>
      </c>
      <c r="O669" s="9"/>
      <c r="P669" s="9" t="s">
        <v>76</v>
      </c>
      <c r="Q669" s="28"/>
      <c r="R669" s="29"/>
      <c r="S669" s="9"/>
      <c r="T669" s="9"/>
      <c r="U669" s="9" t="s">
        <v>75</v>
      </c>
      <c r="V669" s="9" t="s">
        <v>75</v>
      </c>
      <c r="W669" s="9"/>
    </row>
    <row r="670" spans="1:23" s="12" customFormat="1">
      <c r="A670" s="46" t="s">
        <v>572</v>
      </c>
      <c r="B670" s="28" t="s">
        <v>1333</v>
      </c>
      <c r="C670" s="28" t="s">
        <v>2330</v>
      </c>
      <c r="D670" s="9" t="s">
        <v>2619</v>
      </c>
      <c r="E670" s="28" t="s">
        <v>92</v>
      </c>
      <c r="F670" s="31" t="s">
        <v>15</v>
      </c>
      <c r="G670" s="31" t="s">
        <v>15</v>
      </c>
      <c r="H670" s="31" t="s">
        <v>271</v>
      </c>
      <c r="I670" s="28" t="str">
        <f>VLOOKUP(E670,표준용어사전!$C$2:$D$494, 2, FALSE)</f>
        <v>연월일시분초TS</v>
      </c>
      <c r="J670" s="28" t="s">
        <v>719</v>
      </c>
      <c r="K670" s="29" t="s">
        <v>571</v>
      </c>
      <c r="L670" s="55" t="s">
        <v>571</v>
      </c>
      <c r="M670" s="29" t="s">
        <v>726</v>
      </c>
      <c r="N670" s="10" t="s">
        <v>75</v>
      </c>
      <c r="O670" s="9"/>
      <c r="P670" s="9" t="s">
        <v>76</v>
      </c>
      <c r="Q670" s="28"/>
      <c r="R670" s="29"/>
      <c r="S670" s="9"/>
      <c r="T670" s="9"/>
      <c r="U670" s="9" t="s">
        <v>75</v>
      </c>
      <c r="V670" s="9" t="s">
        <v>75</v>
      </c>
      <c r="W670" s="9"/>
    </row>
    <row r="671" spans="1:23" s="12" customFormat="1">
      <c r="A671" s="46" t="s">
        <v>572</v>
      </c>
      <c r="B671" s="28" t="s">
        <v>1333</v>
      </c>
      <c r="C671" s="28" t="s">
        <v>2330</v>
      </c>
      <c r="D671" s="9" t="s">
        <v>2619</v>
      </c>
      <c r="E671" s="28" t="s">
        <v>93</v>
      </c>
      <c r="F671" s="31" t="s">
        <v>370</v>
      </c>
      <c r="G671" s="31" t="s">
        <v>370</v>
      </c>
      <c r="H671" s="31" t="s">
        <v>271</v>
      </c>
      <c r="I671" s="28" t="str">
        <f>VLOOKUP(E671,표준용어사전!$C$2:$D$494, 2, FALSE)</f>
        <v>명V20</v>
      </c>
      <c r="J671" s="28" t="s">
        <v>718</v>
      </c>
      <c r="K671" s="29" t="s">
        <v>986</v>
      </c>
      <c r="L671" s="55" t="s">
        <v>571</v>
      </c>
      <c r="M671" s="29" t="s">
        <v>727</v>
      </c>
      <c r="N671" s="10" t="s">
        <v>75</v>
      </c>
      <c r="O671" s="9"/>
      <c r="P671" s="9" t="s">
        <v>76</v>
      </c>
      <c r="Q671" s="28"/>
      <c r="R671" s="29"/>
      <c r="S671" s="9"/>
      <c r="T671" s="9"/>
      <c r="U671" s="9" t="s">
        <v>75</v>
      </c>
      <c r="V671" s="9" t="s">
        <v>75</v>
      </c>
      <c r="W671" s="9"/>
    </row>
    <row r="672" spans="1:23" s="12" customFormat="1">
      <c r="A672" s="46" t="s">
        <v>572</v>
      </c>
      <c r="B672" s="28" t="s">
        <v>1334</v>
      </c>
      <c r="C672" s="28" t="s">
        <v>2330</v>
      </c>
      <c r="D672" s="9" t="s">
        <v>2620</v>
      </c>
      <c r="E672" s="28" t="s">
        <v>842</v>
      </c>
      <c r="F672" s="31" t="s">
        <v>1609</v>
      </c>
      <c r="G672" s="31" t="s">
        <v>1609</v>
      </c>
      <c r="H672" s="31" t="s">
        <v>2367</v>
      </c>
      <c r="I672" s="28" t="str">
        <f>VLOOKUP(E672,표준용어사전!$C$2:$D$494, 2, FALSE)</f>
        <v>내용TXT</v>
      </c>
      <c r="J672" s="28" t="s">
        <v>713</v>
      </c>
      <c r="K672" s="29" t="s">
        <v>571</v>
      </c>
      <c r="L672" s="55" t="s">
        <v>571</v>
      </c>
      <c r="M672" s="29" t="s">
        <v>2590</v>
      </c>
      <c r="N672" s="10" t="s">
        <v>973</v>
      </c>
      <c r="O672" s="9"/>
      <c r="P672" s="9" t="s">
        <v>76</v>
      </c>
      <c r="Q672" s="28"/>
      <c r="R672" s="29"/>
      <c r="S672" s="9"/>
      <c r="T672" s="9"/>
      <c r="U672" s="9" t="s">
        <v>75</v>
      </c>
      <c r="V672" s="9" t="s">
        <v>75</v>
      </c>
      <c r="W672" s="9"/>
    </row>
    <row r="673" spans="1:23" s="12" customFormat="1">
      <c r="A673" s="46" t="s">
        <v>572</v>
      </c>
      <c r="B673" s="28" t="s">
        <v>1334</v>
      </c>
      <c r="C673" s="28" t="s">
        <v>2330</v>
      </c>
      <c r="D673" s="9" t="s">
        <v>2620</v>
      </c>
      <c r="E673" s="28" t="s">
        <v>2536</v>
      </c>
      <c r="F673" s="31" t="s">
        <v>502</v>
      </c>
      <c r="G673" s="31" t="s">
        <v>502</v>
      </c>
      <c r="H673" s="31" t="s">
        <v>1610</v>
      </c>
      <c r="I673" s="28" t="str">
        <f>VLOOKUP(E673,표준용어사전!$C$2:$D$494, 2, FALSE)</f>
        <v>코드V50</v>
      </c>
      <c r="J673" s="28" t="s">
        <v>718</v>
      </c>
      <c r="K673" s="29">
        <v>50</v>
      </c>
      <c r="L673" s="55" t="s">
        <v>571</v>
      </c>
      <c r="M673" s="29" t="s">
        <v>720</v>
      </c>
      <c r="N673" s="10" t="s">
        <v>973</v>
      </c>
      <c r="O673" s="9"/>
      <c r="P673" s="9" t="s">
        <v>76</v>
      </c>
      <c r="Q673" s="28"/>
      <c r="R673" s="29"/>
      <c r="S673" s="9"/>
      <c r="T673" s="9"/>
      <c r="U673" s="9" t="s">
        <v>75</v>
      </c>
      <c r="V673" s="9" t="s">
        <v>75</v>
      </c>
      <c r="W673" s="9"/>
    </row>
    <row r="674" spans="1:23" s="12" customFormat="1">
      <c r="A674" s="46" t="s">
        <v>572</v>
      </c>
      <c r="B674" s="28" t="s">
        <v>1333</v>
      </c>
      <c r="C674" s="28" t="s">
        <v>2330</v>
      </c>
      <c r="D674" s="9" t="s">
        <v>2621</v>
      </c>
      <c r="E674" s="28" t="s">
        <v>2545</v>
      </c>
      <c r="F674" s="31" t="s">
        <v>2049</v>
      </c>
      <c r="G674" s="31" t="s">
        <v>2049</v>
      </c>
      <c r="H674" s="31" t="s">
        <v>2368</v>
      </c>
      <c r="I674" s="28" t="str">
        <f>VLOOKUP(E674,표준용어사전!$C$2:$D$494, 2, FALSE)</f>
        <v>번호I</v>
      </c>
      <c r="J674" s="28" t="s">
        <v>717</v>
      </c>
      <c r="K674" s="29" t="s">
        <v>571</v>
      </c>
      <c r="L674" s="55" t="s">
        <v>571</v>
      </c>
      <c r="M674" s="29" t="s">
        <v>2591</v>
      </c>
      <c r="N674" s="10" t="s">
        <v>973</v>
      </c>
      <c r="O674" s="9" t="s">
        <v>73</v>
      </c>
      <c r="P674" s="9" t="s">
        <v>76</v>
      </c>
      <c r="Q674" s="28"/>
      <c r="R674" s="29"/>
      <c r="S674" s="9"/>
      <c r="T674" s="9"/>
      <c r="U674" s="9" t="s">
        <v>75</v>
      </c>
      <c r="V674" s="9" t="s">
        <v>75</v>
      </c>
      <c r="W674" s="9"/>
    </row>
    <row r="675" spans="1:23" s="12" customFormat="1">
      <c r="A675" s="46" t="s">
        <v>572</v>
      </c>
      <c r="B675" s="28" t="s">
        <v>1333</v>
      </c>
      <c r="C675" s="28" t="s">
        <v>2330</v>
      </c>
      <c r="D675" s="9" t="s">
        <v>2621</v>
      </c>
      <c r="E675" s="28" t="s">
        <v>246</v>
      </c>
      <c r="F675" s="31" t="s">
        <v>17</v>
      </c>
      <c r="G675" s="31" t="s">
        <v>17</v>
      </c>
      <c r="H675" s="31" t="s">
        <v>2368</v>
      </c>
      <c r="I675" s="28" t="str">
        <f>VLOOKUP(E675,표준용어사전!$C$2:$D$494, 2, FALSE)</f>
        <v>명V20</v>
      </c>
      <c r="J675" s="28" t="s">
        <v>718</v>
      </c>
      <c r="K675" s="29" t="s">
        <v>986</v>
      </c>
      <c r="L675" s="55" t="s">
        <v>571</v>
      </c>
      <c r="M675" s="29" t="s">
        <v>727</v>
      </c>
      <c r="N675" s="10" t="s">
        <v>973</v>
      </c>
      <c r="O675" s="9"/>
      <c r="P675" s="9" t="s">
        <v>76</v>
      </c>
      <c r="Q675" s="28"/>
      <c r="R675" s="29"/>
      <c r="S675" s="9"/>
      <c r="T675" s="9"/>
      <c r="U675" s="9" t="s">
        <v>75</v>
      </c>
      <c r="V675" s="9" t="s">
        <v>75</v>
      </c>
      <c r="W675" s="9"/>
    </row>
    <row r="676" spans="1:23" s="12" customFormat="1">
      <c r="A676" s="46" t="s">
        <v>572</v>
      </c>
      <c r="B676" s="28" t="s">
        <v>1333</v>
      </c>
      <c r="C676" s="28" t="s">
        <v>2330</v>
      </c>
      <c r="D676" s="9" t="s">
        <v>2621</v>
      </c>
      <c r="E676" s="28" t="s">
        <v>202</v>
      </c>
      <c r="F676" s="31" t="s">
        <v>451</v>
      </c>
      <c r="G676" s="31" t="s">
        <v>451</v>
      </c>
      <c r="H676" s="31" t="s">
        <v>2368</v>
      </c>
      <c r="I676" s="28" t="str">
        <f>VLOOKUP(E676,표준용어사전!$C$2:$D$494, 2, FALSE)</f>
        <v>명V20</v>
      </c>
      <c r="J676" s="28" t="s">
        <v>718</v>
      </c>
      <c r="K676" s="29" t="s">
        <v>986</v>
      </c>
      <c r="L676" s="55" t="s">
        <v>571</v>
      </c>
      <c r="M676" s="29" t="s">
        <v>727</v>
      </c>
      <c r="N676" s="10" t="s">
        <v>973</v>
      </c>
      <c r="O676" s="9"/>
      <c r="P676" s="9" t="s">
        <v>76</v>
      </c>
      <c r="Q676" s="28"/>
      <c r="R676" s="29"/>
      <c r="S676" s="9"/>
      <c r="T676" s="9"/>
      <c r="U676" s="9" t="s">
        <v>75</v>
      </c>
      <c r="V676" s="9" t="s">
        <v>75</v>
      </c>
      <c r="W676" s="9"/>
    </row>
    <row r="677" spans="1:23" s="12" customFormat="1">
      <c r="A677" s="46" t="s">
        <v>572</v>
      </c>
      <c r="B677" s="28" t="s">
        <v>1333</v>
      </c>
      <c r="C677" s="28" t="s">
        <v>2330</v>
      </c>
      <c r="D677" s="9" t="s">
        <v>2621</v>
      </c>
      <c r="E677" s="28" t="s">
        <v>268</v>
      </c>
      <c r="F677" s="31" t="s">
        <v>500</v>
      </c>
      <c r="G677" s="31" t="s">
        <v>500</v>
      </c>
      <c r="H677" s="31" t="s">
        <v>2368</v>
      </c>
      <c r="I677" s="28" t="str">
        <f>VLOOKUP(E677,표준용어사전!$C$2:$D$494, 2, FALSE)</f>
        <v>코드C1</v>
      </c>
      <c r="J677" s="28" t="s">
        <v>709</v>
      </c>
      <c r="K677" s="29">
        <v>1</v>
      </c>
      <c r="L677" s="55" t="s">
        <v>571</v>
      </c>
      <c r="M677" s="29" t="s">
        <v>722</v>
      </c>
      <c r="N677" s="10" t="s">
        <v>75</v>
      </c>
      <c r="O677" s="9"/>
      <c r="P677" s="9" t="s">
        <v>76</v>
      </c>
      <c r="Q677" s="28"/>
      <c r="R677" s="29"/>
      <c r="S677" s="9"/>
      <c r="T677" s="9"/>
      <c r="U677" s="9" t="s">
        <v>75</v>
      </c>
      <c r="V677" s="9" t="s">
        <v>75</v>
      </c>
      <c r="W677" s="9"/>
    </row>
    <row r="678" spans="1:23" s="12" customFormat="1">
      <c r="A678" s="46" t="s">
        <v>572</v>
      </c>
      <c r="B678" s="28" t="s">
        <v>1333</v>
      </c>
      <c r="C678" s="28" t="s">
        <v>2330</v>
      </c>
      <c r="D678" s="9" t="s">
        <v>2621</v>
      </c>
      <c r="E678" s="28" t="s">
        <v>252</v>
      </c>
      <c r="F678" s="31" t="s">
        <v>77</v>
      </c>
      <c r="G678" s="31" t="s">
        <v>77</v>
      </c>
      <c r="H678" s="31" t="s">
        <v>2368</v>
      </c>
      <c r="I678" s="28" t="str">
        <f>VLOOKUP(E678,표준용어사전!$C$2:$D$494, 2, FALSE)</f>
        <v>내용TXT</v>
      </c>
      <c r="J678" s="28" t="s">
        <v>713</v>
      </c>
      <c r="K678" s="29" t="s">
        <v>571</v>
      </c>
      <c r="L678" s="55" t="s">
        <v>571</v>
      </c>
      <c r="M678" s="29" t="s">
        <v>2590</v>
      </c>
      <c r="N678" s="10" t="s">
        <v>75</v>
      </c>
      <c r="O678" s="9"/>
      <c r="P678" s="9" t="s">
        <v>76</v>
      </c>
      <c r="Q678" s="28"/>
      <c r="R678" s="29"/>
      <c r="S678" s="9"/>
      <c r="T678" s="9"/>
      <c r="U678" s="9" t="s">
        <v>75</v>
      </c>
      <c r="V678" s="9" t="s">
        <v>75</v>
      </c>
      <c r="W678" s="9"/>
    </row>
    <row r="679" spans="1:23" s="12" customFormat="1">
      <c r="A679" s="46" t="s">
        <v>572</v>
      </c>
      <c r="B679" s="28" t="s">
        <v>1333</v>
      </c>
      <c r="C679" s="28" t="s">
        <v>2330</v>
      </c>
      <c r="D679" s="9" t="s">
        <v>2621</v>
      </c>
      <c r="E679" s="28" t="s">
        <v>90</v>
      </c>
      <c r="F679" s="31" t="s">
        <v>14</v>
      </c>
      <c r="G679" s="31" t="s">
        <v>14</v>
      </c>
      <c r="H679" s="31" t="s">
        <v>2368</v>
      </c>
      <c r="I679" s="28" t="str">
        <f>VLOOKUP(E679,표준용어사전!$C$2:$D$494, 2, FALSE)</f>
        <v>연월일시분초TS</v>
      </c>
      <c r="J679" s="28" t="s">
        <v>719</v>
      </c>
      <c r="K679" s="29" t="s">
        <v>571</v>
      </c>
      <c r="L679" s="55" t="s">
        <v>571</v>
      </c>
      <c r="M679" s="29" t="s">
        <v>726</v>
      </c>
      <c r="N679" s="10" t="s">
        <v>973</v>
      </c>
      <c r="O679" s="9"/>
      <c r="P679" s="9" t="s">
        <v>76</v>
      </c>
      <c r="Q679" s="28"/>
      <c r="R679" s="29"/>
      <c r="S679" s="9"/>
      <c r="T679" s="9"/>
      <c r="U679" s="9" t="s">
        <v>75</v>
      </c>
      <c r="V679" s="9" t="s">
        <v>75</v>
      </c>
      <c r="W679" s="9"/>
    </row>
    <row r="680" spans="1:23" s="12" customFormat="1">
      <c r="A680" s="46" t="s">
        <v>572</v>
      </c>
      <c r="B680" s="28" t="s">
        <v>1333</v>
      </c>
      <c r="C680" s="28" t="s">
        <v>2330</v>
      </c>
      <c r="D680" s="9" t="s">
        <v>2621</v>
      </c>
      <c r="E680" s="28" t="s">
        <v>91</v>
      </c>
      <c r="F680" s="31" t="s">
        <v>369</v>
      </c>
      <c r="G680" s="31" t="s">
        <v>369</v>
      </c>
      <c r="H680" s="31" t="s">
        <v>2368</v>
      </c>
      <c r="I680" s="28" t="str">
        <f>VLOOKUP(E680,표준용어사전!$C$2:$D$494, 2, FALSE)</f>
        <v>명V20</v>
      </c>
      <c r="J680" s="28" t="s">
        <v>718</v>
      </c>
      <c r="K680" s="29" t="s">
        <v>986</v>
      </c>
      <c r="L680" s="55" t="s">
        <v>571</v>
      </c>
      <c r="M680" s="29" t="s">
        <v>727</v>
      </c>
      <c r="N680" s="10" t="s">
        <v>75</v>
      </c>
      <c r="O680" s="9"/>
      <c r="P680" s="9" t="s">
        <v>76</v>
      </c>
      <c r="Q680" s="28"/>
      <c r="R680" s="29"/>
      <c r="S680" s="9"/>
      <c r="T680" s="9"/>
      <c r="U680" s="9" t="s">
        <v>75</v>
      </c>
      <c r="V680" s="9" t="s">
        <v>75</v>
      </c>
      <c r="W680" s="9"/>
    </row>
    <row r="681" spans="1:23" s="12" customFormat="1">
      <c r="A681" s="46" t="s">
        <v>572</v>
      </c>
      <c r="B681" s="28" t="s">
        <v>1333</v>
      </c>
      <c r="C681" s="28" t="s">
        <v>2330</v>
      </c>
      <c r="D681" s="9" t="s">
        <v>2621</v>
      </c>
      <c r="E681" s="28" t="s">
        <v>92</v>
      </c>
      <c r="F681" s="31" t="s">
        <v>15</v>
      </c>
      <c r="G681" s="31" t="s">
        <v>15</v>
      </c>
      <c r="H681" s="31" t="s">
        <v>2368</v>
      </c>
      <c r="I681" s="28" t="str">
        <f>VLOOKUP(E681,표준용어사전!$C$2:$D$494, 2, FALSE)</f>
        <v>연월일시분초TS</v>
      </c>
      <c r="J681" s="28" t="s">
        <v>719</v>
      </c>
      <c r="K681" s="29" t="s">
        <v>571</v>
      </c>
      <c r="L681" s="55" t="s">
        <v>571</v>
      </c>
      <c r="M681" s="29" t="s">
        <v>726</v>
      </c>
      <c r="N681" s="10" t="s">
        <v>75</v>
      </c>
      <c r="O681" s="9"/>
      <c r="P681" s="9" t="s">
        <v>76</v>
      </c>
      <c r="Q681" s="28"/>
      <c r="R681" s="29"/>
      <c r="S681" s="9"/>
      <c r="T681" s="9"/>
      <c r="U681" s="9" t="s">
        <v>75</v>
      </c>
      <c r="V681" s="9" t="s">
        <v>75</v>
      </c>
      <c r="W681" s="9"/>
    </row>
    <row r="682" spans="1:23" s="12" customFormat="1">
      <c r="A682" s="46" t="s">
        <v>572</v>
      </c>
      <c r="B682" s="28" t="s">
        <v>1333</v>
      </c>
      <c r="C682" s="28" t="s">
        <v>2330</v>
      </c>
      <c r="D682" s="9" t="s">
        <v>2621</v>
      </c>
      <c r="E682" s="28" t="s">
        <v>93</v>
      </c>
      <c r="F682" s="31" t="s">
        <v>370</v>
      </c>
      <c r="G682" s="31" t="s">
        <v>370</v>
      </c>
      <c r="H682" s="31" t="s">
        <v>2368</v>
      </c>
      <c r="I682" s="28" t="str">
        <f>VLOOKUP(E682,표준용어사전!$C$2:$D$494, 2, FALSE)</f>
        <v>명V20</v>
      </c>
      <c r="J682" s="28" t="s">
        <v>718</v>
      </c>
      <c r="K682" s="29" t="s">
        <v>986</v>
      </c>
      <c r="L682" s="55" t="s">
        <v>571</v>
      </c>
      <c r="M682" s="29" t="s">
        <v>727</v>
      </c>
      <c r="N682" s="10" t="s">
        <v>75</v>
      </c>
      <c r="O682" s="9"/>
      <c r="P682" s="9" t="s">
        <v>76</v>
      </c>
      <c r="Q682" s="28"/>
      <c r="R682" s="29"/>
      <c r="S682" s="9"/>
      <c r="T682" s="9"/>
      <c r="U682" s="9" t="s">
        <v>75</v>
      </c>
      <c r="V682" s="9" t="s">
        <v>75</v>
      </c>
      <c r="W682" s="9"/>
    </row>
    <row r="683" spans="1:23" s="12" customFormat="1">
      <c r="A683" s="46" t="s">
        <v>572</v>
      </c>
      <c r="B683" s="28" t="s">
        <v>1333</v>
      </c>
      <c r="C683" s="28" t="s">
        <v>2330</v>
      </c>
      <c r="D683" s="9" t="s">
        <v>2461</v>
      </c>
      <c r="E683" s="28" t="s">
        <v>202</v>
      </c>
      <c r="F683" s="31" t="s">
        <v>451</v>
      </c>
      <c r="G683" s="31" t="s">
        <v>451</v>
      </c>
      <c r="H683" s="31" t="s">
        <v>2369</v>
      </c>
      <c r="I683" s="28" t="str">
        <f>VLOOKUP(E683,표준용어사전!$C$2:$D$494, 2, FALSE)</f>
        <v>명V20</v>
      </c>
      <c r="J683" s="28" t="s">
        <v>718</v>
      </c>
      <c r="K683" s="29" t="s">
        <v>986</v>
      </c>
      <c r="L683" s="55" t="s">
        <v>571</v>
      </c>
      <c r="M683" s="29" t="s">
        <v>727</v>
      </c>
      <c r="N683" s="10" t="s">
        <v>973</v>
      </c>
      <c r="O683" s="9" t="s">
        <v>73</v>
      </c>
      <c r="P683" s="9" t="s">
        <v>76</v>
      </c>
      <c r="Q683" s="28"/>
      <c r="R683" s="29"/>
      <c r="S683" s="9"/>
      <c r="T683" s="9"/>
      <c r="U683" s="9" t="s">
        <v>75</v>
      </c>
      <c r="V683" s="9" t="s">
        <v>75</v>
      </c>
      <c r="W683" s="9"/>
    </row>
    <row r="684" spans="1:23" s="12" customFormat="1">
      <c r="A684" s="46" t="s">
        <v>572</v>
      </c>
      <c r="B684" s="28" t="s">
        <v>1333</v>
      </c>
      <c r="C684" s="28" t="s">
        <v>2330</v>
      </c>
      <c r="D684" s="9" t="s">
        <v>2461</v>
      </c>
      <c r="E684" s="28" t="s">
        <v>2525</v>
      </c>
      <c r="F684" s="31" t="s">
        <v>2047</v>
      </c>
      <c r="G684" s="31" t="s">
        <v>2047</v>
      </c>
      <c r="H684" s="31" t="s">
        <v>2369</v>
      </c>
      <c r="I684" s="28" t="str">
        <f>VLOOKUP(E684,표준용어사전!$C$2:$D$494, 2, FALSE)</f>
        <v>내용TXT</v>
      </c>
      <c r="J684" s="28" t="s">
        <v>713</v>
      </c>
      <c r="K684" s="29" t="s">
        <v>571</v>
      </c>
      <c r="L684" s="55" t="s">
        <v>571</v>
      </c>
      <c r="M684" s="29" t="s">
        <v>2590</v>
      </c>
      <c r="N684" s="10" t="s">
        <v>75</v>
      </c>
      <c r="O684" s="9"/>
      <c r="P684" s="9" t="s">
        <v>76</v>
      </c>
      <c r="Q684" s="28"/>
      <c r="R684" s="29"/>
      <c r="S684" s="9"/>
      <c r="T684" s="9"/>
      <c r="U684" s="9" t="s">
        <v>75</v>
      </c>
      <c r="V684" s="9" t="s">
        <v>75</v>
      </c>
      <c r="W684" s="9"/>
    </row>
    <row r="685" spans="1:23" s="12" customFormat="1">
      <c r="A685" s="46" t="s">
        <v>572</v>
      </c>
      <c r="B685" s="28" t="s">
        <v>1333</v>
      </c>
      <c r="C685" s="28" t="s">
        <v>2330</v>
      </c>
      <c r="D685" s="9" t="s">
        <v>2461</v>
      </c>
      <c r="E685" s="28" t="s">
        <v>2546</v>
      </c>
      <c r="F685" s="31" t="s">
        <v>2048</v>
      </c>
      <c r="G685" s="31" t="s">
        <v>2048</v>
      </c>
      <c r="H685" s="31" t="s">
        <v>2369</v>
      </c>
      <c r="I685" s="28" t="str">
        <f>VLOOKUP(E685,표준용어사전!$C$2:$D$494, 2, FALSE)</f>
        <v>내용TXT</v>
      </c>
      <c r="J685" s="28" t="s">
        <v>713</v>
      </c>
      <c r="K685" s="29" t="s">
        <v>571</v>
      </c>
      <c r="L685" s="55" t="s">
        <v>571</v>
      </c>
      <c r="M685" s="29" t="s">
        <v>2590</v>
      </c>
      <c r="N685" s="10" t="s">
        <v>75</v>
      </c>
      <c r="O685" s="9"/>
      <c r="P685" s="9" t="s">
        <v>76</v>
      </c>
      <c r="Q685" s="28"/>
      <c r="R685" s="29"/>
      <c r="S685" s="9"/>
      <c r="T685" s="9"/>
      <c r="U685" s="9" t="s">
        <v>75</v>
      </c>
      <c r="V685" s="9" t="s">
        <v>75</v>
      </c>
      <c r="W685" s="9"/>
    </row>
    <row r="686" spans="1:23" s="12" customFormat="1">
      <c r="A686" s="46" t="s">
        <v>572</v>
      </c>
      <c r="B686" s="28" t="s">
        <v>1333</v>
      </c>
      <c r="C686" s="28" t="s">
        <v>2330</v>
      </c>
      <c r="D686" s="9" t="s">
        <v>2461</v>
      </c>
      <c r="E686" s="28" t="s">
        <v>90</v>
      </c>
      <c r="F686" s="31" t="s">
        <v>14</v>
      </c>
      <c r="G686" s="31" t="s">
        <v>14</v>
      </c>
      <c r="H686" s="31" t="s">
        <v>2369</v>
      </c>
      <c r="I686" s="28" t="str">
        <f>VLOOKUP(E686,표준용어사전!$C$2:$D$494, 2, FALSE)</f>
        <v>연월일시분초TS</v>
      </c>
      <c r="J686" s="28" t="s">
        <v>719</v>
      </c>
      <c r="K686" s="29" t="s">
        <v>571</v>
      </c>
      <c r="L686" s="55" t="s">
        <v>571</v>
      </c>
      <c r="M686" s="29" t="s">
        <v>726</v>
      </c>
      <c r="N686" s="10" t="s">
        <v>973</v>
      </c>
      <c r="O686" s="9"/>
      <c r="P686" s="9" t="s">
        <v>76</v>
      </c>
      <c r="Q686" s="28"/>
      <c r="R686" s="29"/>
      <c r="S686" s="9"/>
      <c r="T686" s="9"/>
      <c r="U686" s="9" t="s">
        <v>75</v>
      </c>
      <c r="V686" s="9" t="s">
        <v>75</v>
      </c>
      <c r="W686" s="9"/>
    </row>
    <row r="687" spans="1:23" s="12" customFormat="1">
      <c r="A687" s="46" t="s">
        <v>572</v>
      </c>
      <c r="B687" s="28" t="s">
        <v>1333</v>
      </c>
      <c r="C687" s="28" t="s">
        <v>2330</v>
      </c>
      <c r="D687" s="9" t="s">
        <v>2461</v>
      </c>
      <c r="E687" s="28" t="s">
        <v>91</v>
      </c>
      <c r="F687" s="31" t="s">
        <v>369</v>
      </c>
      <c r="G687" s="31" t="s">
        <v>369</v>
      </c>
      <c r="H687" s="31" t="s">
        <v>2369</v>
      </c>
      <c r="I687" s="28" t="str">
        <f>VLOOKUP(E687,표준용어사전!$C$2:$D$494, 2, FALSE)</f>
        <v>명V20</v>
      </c>
      <c r="J687" s="28" t="s">
        <v>718</v>
      </c>
      <c r="K687" s="29" t="s">
        <v>986</v>
      </c>
      <c r="L687" s="55" t="s">
        <v>571</v>
      </c>
      <c r="M687" s="29" t="s">
        <v>727</v>
      </c>
      <c r="N687" s="10" t="s">
        <v>75</v>
      </c>
      <c r="O687" s="9"/>
      <c r="P687" s="9" t="s">
        <v>76</v>
      </c>
      <c r="Q687" s="28"/>
      <c r="R687" s="29"/>
      <c r="S687" s="9"/>
      <c r="T687" s="9"/>
      <c r="U687" s="9" t="s">
        <v>75</v>
      </c>
      <c r="V687" s="9" t="s">
        <v>75</v>
      </c>
      <c r="W687" s="9"/>
    </row>
    <row r="688" spans="1:23" s="12" customFormat="1">
      <c r="A688" s="46" t="s">
        <v>572</v>
      </c>
      <c r="B688" s="28" t="s">
        <v>1333</v>
      </c>
      <c r="C688" s="28" t="s">
        <v>2330</v>
      </c>
      <c r="D688" s="9" t="s">
        <v>2461</v>
      </c>
      <c r="E688" s="28" t="s">
        <v>92</v>
      </c>
      <c r="F688" s="31" t="s">
        <v>15</v>
      </c>
      <c r="G688" s="31" t="s">
        <v>15</v>
      </c>
      <c r="H688" s="31" t="s">
        <v>2369</v>
      </c>
      <c r="I688" s="28" t="str">
        <f>VLOOKUP(E688,표준용어사전!$C$2:$D$494, 2, FALSE)</f>
        <v>연월일시분초TS</v>
      </c>
      <c r="J688" s="28" t="s">
        <v>719</v>
      </c>
      <c r="K688" s="29" t="s">
        <v>571</v>
      </c>
      <c r="L688" s="55" t="s">
        <v>571</v>
      </c>
      <c r="M688" s="29" t="s">
        <v>726</v>
      </c>
      <c r="N688" s="10" t="s">
        <v>75</v>
      </c>
      <c r="O688" s="9"/>
      <c r="P688" s="9" t="s">
        <v>76</v>
      </c>
      <c r="Q688" s="28"/>
      <c r="R688" s="29"/>
      <c r="S688" s="9"/>
      <c r="T688" s="9"/>
      <c r="U688" s="9" t="s">
        <v>75</v>
      </c>
      <c r="V688" s="9" t="s">
        <v>75</v>
      </c>
      <c r="W688" s="9"/>
    </row>
    <row r="689" spans="1:23" s="12" customFormat="1">
      <c r="A689" s="46" t="s">
        <v>572</v>
      </c>
      <c r="B689" s="28" t="s">
        <v>1333</v>
      </c>
      <c r="C689" s="28" t="s">
        <v>2330</v>
      </c>
      <c r="D689" s="9" t="s">
        <v>2461</v>
      </c>
      <c r="E689" s="28" t="s">
        <v>93</v>
      </c>
      <c r="F689" s="31" t="s">
        <v>370</v>
      </c>
      <c r="G689" s="31" t="s">
        <v>370</v>
      </c>
      <c r="H689" s="31" t="s">
        <v>2369</v>
      </c>
      <c r="I689" s="28" t="str">
        <f>VLOOKUP(E689,표준용어사전!$C$2:$D$494, 2, FALSE)</f>
        <v>명V20</v>
      </c>
      <c r="J689" s="28" t="s">
        <v>718</v>
      </c>
      <c r="K689" s="29" t="s">
        <v>986</v>
      </c>
      <c r="L689" s="55" t="s">
        <v>571</v>
      </c>
      <c r="M689" s="29" t="s">
        <v>727</v>
      </c>
      <c r="N689" s="10" t="s">
        <v>75</v>
      </c>
      <c r="O689" s="9"/>
      <c r="P689" s="9" t="s">
        <v>76</v>
      </c>
      <c r="Q689" s="28"/>
      <c r="R689" s="29"/>
      <c r="S689" s="9"/>
      <c r="T689" s="9"/>
      <c r="U689" s="9" t="s">
        <v>75</v>
      </c>
      <c r="V689" s="9" t="s">
        <v>75</v>
      </c>
      <c r="W689" s="9"/>
    </row>
    <row r="690" spans="1:23" s="12" customFormat="1">
      <c r="A690" s="46" t="s">
        <v>572</v>
      </c>
      <c r="B690" s="28" t="s">
        <v>1333</v>
      </c>
      <c r="C690" s="28" t="s">
        <v>2330</v>
      </c>
      <c r="D690" s="9" t="s">
        <v>2462</v>
      </c>
      <c r="E690" s="28" t="s">
        <v>2547</v>
      </c>
      <c r="F690" s="31" t="s">
        <v>2039</v>
      </c>
      <c r="G690" s="31" t="s">
        <v>2039</v>
      </c>
      <c r="H690" s="31" t="s">
        <v>2370</v>
      </c>
      <c r="I690" s="28" t="str">
        <f>VLOOKUP(E690,표준용어사전!$C$2:$D$494, 2, FALSE)</f>
        <v>명V50</v>
      </c>
      <c r="J690" s="28" t="s">
        <v>718</v>
      </c>
      <c r="K690" s="29">
        <v>50</v>
      </c>
      <c r="L690" s="55" t="s">
        <v>571</v>
      </c>
      <c r="M690" s="29" t="s">
        <v>720</v>
      </c>
      <c r="N690" s="10" t="s">
        <v>973</v>
      </c>
      <c r="O690" s="9" t="s">
        <v>73</v>
      </c>
      <c r="P690" s="9" t="s">
        <v>76</v>
      </c>
      <c r="Q690" s="28"/>
      <c r="R690" s="29"/>
      <c r="S690" s="9"/>
      <c r="T690" s="9"/>
      <c r="U690" s="9" t="s">
        <v>75</v>
      </c>
      <c r="V690" s="9" t="s">
        <v>75</v>
      </c>
      <c r="W690" s="9"/>
    </row>
    <row r="691" spans="1:23" s="12" customFormat="1">
      <c r="A691" s="46" t="s">
        <v>572</v>
      </c>
      <c r="B691" s="28" t="s">
        <v>1333</v>
      </c>
      <c r="C691" s="28" t="s">
        <v>2330</v>
      </c>
      <c r="D691" s="9" t="s">
        <v>2462</v>
      </c>
      <c r="E691" s="28" t="s">
        <v>89</v>
      </c>
      <c r="F691" s="31" t="s">
        <v>501</v>
      </c>
      <c r="G691" s="31" t="s">
        <v>501</v>
      </c>
      <c r="H691" s="31" t="s">
        <v>2370</v>
      </c>
      <c r="I691" s="28" t="str">
        <f>VLOOKUP(E691,표준용어사전!$C$2:$D$494, 2, FALSE)</f>
        <v>명V20</v>
      </c>
      <c r="J691" s="28" t="s">
        <v>718</v>
      </c>
      <c r="K691" s="29" t="s">
        <v>986</v>
      </c>
      <c r="L691" s="55" t="s">
        <v>571</v>
      </c>
      <c r="M691" s="29" t="s">
        <v>727</v>
      </c>
      <c r="N691" s="10" t="s">
        <v>973</v>
      </c>
      <c r="O691" s="9" t="s">
        <v>74</v>
      </c>
      <c r="P691" s="9" t="s">
        <v>76</v>
      </c>
      <c r="Q691" s="28"/>
      <c r="R691" s="29"/>
      <c r="S691" s="9"/>
      <c r="T691" s="9"/>
      <c r="U691" s="9" t="s">
        <v>75</v>
      </c>
      <c r="V691" s="9" t="s">
        <v>75</v>
      </c>
      <c r="W691" s="9"/>
    </row>
    <row r="692" spans="1:23" s="12" customFormat="1">
      <c r="A692" s="46" t="s">
        <v>572</v>
      </c>
      <c r="B692" s="28" t="s">
        <v>1333</v>
      </c>
      <c r="C692" s="28" t="s">
        <v>2330</v>
      </c>
      <c r="D692" s="9" t="s">
        <v>2462</v>
      </c>
      <c r="E692" s="28" t="s">
        <v>202</v>
      </c>
      <c r="F692" s="31" t="s">
        <v>451</v>
      </c>
      <c r="G692" s="31" t="s">
        <v>451</v>
      </c>
      <c r="H692" s="31" t="s">
        <v>2370</v>
      </c>
      <c r="I692" s="28" t="str">
        <f>VLOOKUP(E692,표준용어사전!$C$2:$D$494, 2, FALSE)</f>
        <v>명V20</v>
      </c>
      <c r="J692" s="28" t="s">
        <v>718</v>
      </c>
      <c r="K692" s="29" t="s">
        <v>986</v>
      </c>
      <c r="L692" s="55" t="s">
        <v>571</v>
      </c>
      <c r="M692" s="29" t="s">
        <v>727</v>
      </c>
      <c r="N692" s="10" t="s">
        <v>973</v>
      </c>
      <c r="O692" s="9" t="s">
        <v>624</v>
      </c>
      <c r="P692" s="9" t="s">
        <v>76</v>
      </c>
      <c r="Q692" s="28"/>
      <c r="R692" s="29"/>
      <c r="S692" s="9"/>
      <c r="T692" s="9"/>
      <c r="U692" s="9" t="s">
        <v>75</v>
      </c>
      <c r="V692" s="9" t="s">
        <v>75</v>
      </c>
      <c r="W692" s="9"/>
    </row>
    <row r="693" spans="1:23" s="12" customFormat="1">
      <c r="A693" s="46" t="s">
        <v>572</v>
      </c>
      <c r="B693" s="28" t="s">
        <v>1333</v>
      </c>
      <c r="C693" s="28" t="s">
        <v>2330</v>
      </c>
      <c r="D693" s="28" t="s">
        <v>2462</v>
      </c>
      <c r="E693" s="28" t="s">
        <v>90</v>
      </c>
      <c r="F693" s="31" t="s">
        <v>14</v>
      </c>
      <c r="G693" s="31" t="s">
        <v>14</v>
      </c>
      <c r="H693" s="31" t="s">
        <v>2370</v>
      </c>
      <c r="I693" s="28" t="str">
        <f>VLOOKUP(E693,표준용어사전!$C$2:$D$494, 2, FALSE)</f>
        <v>연월일시분초TS</v>
      </c>
      <c r="J693" s="28" t="s">
        <v>719</v>
      </c>
      <c r="K693" s="29" t="s">
        <v>571</v>
      </c>
      <c r="L693" s="55" t="s">
        <v>571</v>
      </c>
      <c r="M693" s="29" t="s">
        <v>726</v>
      </c>
      <c r="N693" s="29" t="s">
        <v>973</v>
      </c>
      <c r="O693" s="28"/>
      <c r="P693" s="28" t="s">
        <v>76</v>
      </c>
      <c r="Q693" s="28"/>
      <c r="R693" s="29"/>
      <c r="S693" s="28"/>
      <c r="T693" s="28"/>
      <c r="U693" s="28" t="s">
        <v>75</v>
      </c>
      <c r="V693" s="28" t="s">
        <v>75</v>
      </c>
      <c r="W693" s="28"/>
    </row>
    <row r="694" spans="1:23" s="12" customFormat="1">
      <c r="A694" s="46" t="s">
        <v>572</v>
      </c>
      <c r="B694" s="28" t="s">
        <v>1333</v>
      </c>
      <c r="C694" s="28" t="s">
        <v>2330</v>
      </c>
      <c r="D694" s="28" t="s">
        <v>2462</v>
      </c>
      <c r="E694" s="28" t="s">
        <v>91</v>
      </c>
      <c r="F694" s="31" t="s">
        <v>369</v>
      </c>
      <c r="G694" s="31" t="s">
        <v>369</v>
      </c>
      <c r="H694" s="31" t="s">
        <v>2370</v>
      </c>
      <c r="I694" s="28" t="str">
        <f>VLOOKUP(E694,표준용어사전!$C$2:$D$494, 2, FALSE)</f>
        <v>명V20</v>
      </c>
      <c r="J694" s="28" t="s">
        <v>718</v>
      </c>
      <c r="K694" s="29" t="s">
        <v>986</v>
      </c>
      <c r="L694" s="55" t="s">
        <v>571</v>
      </c>
      <c r="M694" s="29" t="s">
        <v>727</v>
      </c>
      <c r="N694" s="29" t="s">
        <v>75</v>
      </c>
      <c r="O694" s="28"/>
      <c r="P694" s="28" t="s">
        <v>76</v>
      </c>
      <c r="Q694" s="28"/>
      <c r="R694" s="29"/>
      <c r="S694" s="28"/>
      <c r="T694" s="28"/>
      <c r="U694" s="28" t="s">
        <v>75</v>
      </c>
      <c r="V694" s="28" t="s">
        <v>75</v>
      </c>
      <c r="W694" s="28"/>
    </row>
    <row r="695" spans="1:23" s="12" customFormat="1">
      <c r="A695" s="46" t="s">
        <v>572</v>
      </c>
      <c r="B695" s="28" t="s">
        <v>1333</v>
      </c>
      <c r="C695" s="28" t="s">
        <v>2330</v>
      </c>
      <c r="D695" s="28" t="s">
        <v>2462</v>
      </c>
      <c r="E695" s="28" t="s">
        <v>92</v>
      </c>
      <c r="F695" s="31" t="s">
        <v>15</v>
      </c>
      <c r="G695" s="31" t="s">
        <v>15</v>
      </c>
      <c r="H695" s="31" t="s">
        <v>2370</v>
      </c>
      <c r="I695" s="28" t="str">
        <f>VLOOKUP(E695,표준용어사전!$C$2:$D$494, 2, FALSE)</f>
        <v>연월일시분초TS</v>
      </c>
      <c r="J695" s="28" t="s">
        <v>719</v>
      </c>
      <c r="K695" s="29" t="s">
        <v>571</v>
      </c>
      <c r="L695" s="55" t="s">
        <v>571</v>
      </c>
      <c r="M695" s="29" t="s">
        <v>726</v>
      </c>
      <c r="N695" s="29" t="s">
        <v>75</v>
      </c>
      <c r="O695" s="28"/>
      <c r="P695" s="28" t="s">
        <v>76</v>
      </c>
      <c r="Q695" s="28"/>
      <c r="R695" s="29"/>
      <c r="S695" s="28"/>
      <c r="T695" s="28"/>
      <c r="U695" s="28" t="s">
        <v>75</v>
      </c>
      <c r="V695" s="28" t="s">
        <v>75</v>
      </c>
      <c r="W695" s="28"/>
    </row>
    <row r="696" spans="1:23" s="12" customFormat="1">
      <c r="A696" s="46" t="s">
        <v>572</v>
      </c>
      <c r="B696" s="28" t="s">
        <v>1333</v>
      </c>
      <c r="C696" s="28" t="s">
        <v>2330</v>
      </c>
      <c r="D696" s="28" t="s">
        <v>2462</v>
      </c>
      <c r="E696" s="28" t="s">
        <v>93</v>
      </c>
      <c r="F696" s="31" t="s">
        <v>370</v>
      </c>
      <c r="G696" s="31" t="s">
        <v>370</v>
      </c>
      <c r="H696" s="31" t="s">
        <v>2370</v>
      </c>
      <c r="I696" s="28" t="str">
        <f>VLOOKUP(E696,표준용어사전!$C$2:$D$494, 2, FALSE)</f>
        <v>명V20</v>
      </c>
      <c r="J696" s="28" t="s">
        <v>718</v>
      </c>
      <c r="K696" s="29" t="s">
        <v>986</v>
      </c>
      <c r="L696" s="55" t="s">
        <v>571</v>
      </c>
      <c r="M696" s="29" t="s">
        <v>727</v>
      </c>
      <c r="N696" s="29" t="s">
        <v>75</v>
      </c>
      <c r="O696" s="28"/>
      <c r="P696" s="28" t="s">
        <v>76</v>
      </c>
      <c r="Q696" s="28"/>
      <c r="R696" s="29"/>
      <c r="S696" s="28"/>
      <c r="T696" s="28"/>
      <c r="U696" s="28" t="s">
        <v>75</v>
      </c>
      <c r="V696" s="28" t="s">
        <v>75</v>
      </c>
      <c r="W696" s="28"/>
    </row>
    <row r="697" spans="1:23" s="12" customFormat="1">
      <c r="A697" s="46" t="s">
        <v>572</v>
      </c>
      <c r="B697" s="28" t="s">
        <v>1333</v>
      </c>
      <c r="C697" s="28" t="s">
        <v>2330</v>
      </c>
      <c r="D697" s="28" t="s">
        <v>2463</v>
      </c>
      <c r="E697" s="28" t="s">
        <v>202</v>
      </c>
      <c r="F697" s="31" t="s">
        <v>451</v>
      </c>
      <c r="G697" s="31" t="s">
        <v>451</v>
      </c>
      <c r="H697" s="31" t="s">
        <v>2371</v>
      </c>
      <c r="I697" s="28" t="str">
        <f>VLOOKUP(E697,표준용어사전!$C$2:$D$494, 2, FALSE)</f>
        <v>명V20</v>
      </c>
      <c r="J697" s="28" t="s">
        <v>718</v>
      </c>
      <c r="K697" s="29" t="s">
        <v>986</v>
      </c>
      <c r="L697" s="55" t="s">
        <v>571</v>
      </c>
      <c r="M697" s="29" t="s">
        <v>727</v>
      </c>
      <c r="N697" s="29" t="s">
        <v>973</v>
      </c>
      <c r="O697" s="28" t="s">
        <v>73</v>
      </c>
      <c r="P697" s="28" t="s">
        <v>76</v>
      </c>
      <c r="Q697" s="28"/>
      <c r="R697" s="29"/>
      <c r="S697" s="28"/>
      <c r="T697" s="28"/>
      <c r="U697" s="28" t="s">
        <v>75</v>
      </c>
      <c r="V697" s="28" t="s">
        <v>75</v>
      </c>
      <c r="W697" s="28"/>
    </row>
    <row r="698" spans="1:23" s="12" customFormat="1">
      <c r="A698" s="46" t="s">
        <v>572</v>
      </c>
      <c r="B698" s="28" t="s">
        <v>1333</v>
      </c>
      <c r="C698" s="28" t="s">
        <v>2330</v>
      </c>
      <c r="D698" s="28" t="s">
        <v>2463</v>
      </c>
      <c r="E698" s="28" t="s">
        <v>2041</v>
      </c>
      <c r="F698" s="31" t="s">
        <v>2040</v>
      </c>
      <c r="G698" s="31" t="s">
        <v>2040</v>
      </c>
      <c r="H698" s="31" t="s">
        <v>2371</v>
      </c>
      <c r="I698" s="28" t="str">
        <f>VLOOKUP(E698,표준용어사전!$C$2:$D$494, 2, FALSE)</f>
        <v>내용V2000</v>
      </c>
      <c r="J698" s="28" t="s">
        <v>718</v>
      </c>
      <c r="K698" s="29">
        <v>2000</v>
      </c>
      <c r="L698" s="55" t="s">
        <v>571</v>
      </c>
      <c r="M698" s="29" t="s">
        <v>728</v>
      </c>
      <c r="N698" s="29" t="s">
        <v>75</v>
      </c>
      <c r="O698" s="28"/>
      <c r="P698" s="28" t="s">
        <v>76</v>
      </c>
      <c r="Q698" s="28"/>
      <c r="R698" s="29"/>
      <c r="S698" s="28"/>
      <c r="T698" s="28"/>
      <c r="U698" s="28" t="s">
        <v>75</v>
      </c>
      <c r="V698" s="28" t="s">
        <v>75</v>
      </c>
      <c r="W698" s="28"/>
    </row>
    <row r="699" spans="1:23" s="12" customFormat="1">
      <c r="A699" s="46" t="s">
        <v>572</v>
      </c>
      <c r="B699" s="28" t="s">
        <v>1333</v>
      </c>
      <c r="C699" s="28" t="s">
        <v>2330</v>
      </c>
      <c r="D699" s="28" t="s">
        <v>2463</v>
      </c>
      <c r="E699" s="28" t="s">
        <v>2548</v>
      </c>
      <c r="F699" s="31" t="s">
        <v>2042</v>
      </c>
      <c r="G699" s="31" t="s">
        <v>2042</v>
      </c>
      <c r="H699" s="31" t="s">
        <v>2371</v>
      </c>
      <c r="I699" s="28" t="str">
        <f>VLOOKUP(E699,표준용어사전!$C$2:$D$494, 2, FALSE)</f>
        <v>명V256</v>
      </c>
      <c r="J699" s="28" t="s">
        <v>718</v>
      </c>
      <c r="K699" s="29">
        <v>256</v>
      </c>
      <c r="L699" s="55" t="s">
        <v>571</v>
      </c>
      <c r="M699" s="29" t="s">
        <v>730</v>
      </c>
      <c r="N699" s="29" t="s">
        <v>75</v>
      </c>
      <c r="O699" s="28"/>
      <c r="P699" s="28" t="s">
        <v>76</v>
      </c>
      <c r="Q699" s="28"/>
      <c r="R699" s="29"/>
      <c r="S699" s="28"/>
      <c r="T699" s="28"/>
      <c r="U699" s="28" t="s">
        <v>75</v>
      </c>
      <c r="V699" s="28" t="s">
        <v>75</v>
      </c>
      <c r="W699" s="28"/>
    </row>
    <row r="700" spans="1:23" s="12" customFormat="1">
      <c r="A700" s="46" t="s">
        <v>572</v>
      </c>
      <c r="B700" s="28" t="s">
        <v>1333</v>
      </c>
      <c r="C700" s="28" t="s">
        <v>2330</v>
      </c>
      <c r="D700" s="28" t="s">
        <v>2463</v>
      </c>
      <c r="E700" s="28" t="s">
        <v>2524</v>
      </c>
      <c r="F700" s="31" t="s">
        <v>2043</v>
      </c>
      <c r="G700" s="31" t="s">
        <v>2043</v>
      </c>
      <c r="H700" s="31" t="s">
        <v>2371</v>
      </c>
      <c r="I700" s="28" t="str">
        <f>VLOOKUP(E700,표준용어사전!$C$2:$D$494, 2, FALSE)</f>
        <v>명TXT</v>
      </c>
      <c r="J700" s="28" t="s">
        <v>713</v>
      </c>
      <c r="K700" s="29" t="s">
        <v>571</v>
      </c>
      <c r="L700" s="55" t="s">
        <v>571</v>
      </c>
      <c r="M700" s="29" t="s">
        <v>2590</v>
      </c>
      <c r="N700" s="29" t="s">
        <v>75</v>
      </c>
      <c r="O700" s="28"/>
      <c r="P700" s="28" t="s">
        <v>76</v>
      </c>
      <c r="Q700" s="28"/>
      <c r="R700" s="29"/>
      <c r="S700" s="28"/>
      <c r="T700" s="28"/>
      <c r="U700" s="28" t="s">
        <v>75</v>
      </c>
      <c r="V700" s="28" t="s">
        <v>75</v>
      </c>
      <c r="W700" s="28"/>
    </row>
    <row r="701" spans="1:23" s="12" customFormat="1">
      <c r="A701" s="46" t="s">
        <v>572</v>
      </c>
      <c r="B701" s="28" t="s">
        <v>1333</v>
      </c>
      <c r="C701" s="28" t="s">
        <v>2330</v>
      </c>
      <c r="D701" s="9" t="s">
        <v>2463</v>
      </c>
      <c r="E701" s="28" t="s">
        <v>2527</v>
      </c>
      <c r="F701" s="31" t="s">
        <v>2044</v>
      </c>
      <c r="G701" s="31" t="s">
        <v>2044</v>
      </c>
      <c r="H701" s="31" t="s">
        <v>2371</v>
      </c>
      <c r="I701" s="28" t="str">
        <f>VLOOKUP(E701,표준용어사전!$C$2:$D$494, 2, FALSE)</f>
        <v>주소V2000</v>
      </c>
      <c r="J701" s="28" t="s">
        <v>718</v>
      </c>
      <c r="K701" s="29">
        <v>2000</v>
      </c>
      <c r="L701" s="55" t="s">
        <v>571</v>
      </c>
      <c r="M701" s="29" t="s">
        <v>728</v>
      </c>
      <c r="N701" s="29" t="s">
        <v>75</v>
      </c>
      <c r="O701" s="9"/>
      <c r="P701" s="9" t="s">
        <v>76</v>
      </c>
      <c r="Q701" s="28"/>
      <c r="R701" s="29"/>
      <c r="S701" s="9"/>
      <c r="T701" s="9"/>
      <c r="U701" s="9" t="s">
        <v>75</v>
      </c>
      <c r="V701" s="9" t="s">
        <v>75</v>
      </c>
      <c r="W701" s="9"/>
    </row>
    <row r="702" spans="1:23" s="12" customFormat="1">
      <c r="A702" s="46" t="s">
        <v>572</v>
      </c>
      <c r="B702" s="28" t="s">
        <v>1333</v>
      </c>
      <c r="C702" s="28" t="s">
        <v>2330</v>
      </c>
      <c r="D702" s="9" t="s">
        <v>2463</v>
      </c>
      <c r="E702" s="28" t="s">
        <v>2526</v>
      </c>
      <c r="F702" s="31" t="s">
        <v>2424</v>
      </c>
      <c r="G702" s="31" t="s">
        <v>2424</v>
      </c>
      <c r="H702" s="31" t="s">
        <v>2371</v>
      </c>
      <c r="I702" s="28" t="str">
        <f>VLOOKUP(E702,표준용어사전!$C$2:$D$494, 2, FALSE)</f>
        <v>연도C4</v>
      </c>
      <c r="J702" s="28" t="s">
        <v>709</v>
      </c>
      <c r="K702" s="29">
        <v>4</v>
      </c>
      <c r="L702" s="55" t="s">
        <v>571</v>
      </c>
      <c r="M702" s="29" t="s">
        <v>1352</v>
      </c>
      <c r="N702" s="10" t="s">
        <v>75</v>
      </c>
      <c r="O702" s="9"/>
      <c r="P702" s="9" t="s">
        <v>76</v>
      </c>
      <c r="Q702" s="28"/>
      <c r="R702" s="29"/>
      <c r="S702" s="9"/>
      <c r="T702" s="9"/>
      <c r="U702" s="9" t="s">
        <v>75</v>
      </c>
      <c r="V702" s="9" t="s">
        <v>75</v>
      </c>
      <c r="W702" s="9"/>
    </row>
    <row r="703" spans="1:23" s="12" customFormat="1">
      <c r="A703" s="46" t="s">
        <v>572</v>
      </c>
      <c r="B703" s="28" t="s">
        <v>1333</v>
      </c>
      <c r="C703" s="28" t="s">
        <v>2330</v>
      </c>
      <c r="D703" s="9" t="s">
        <v>2463</v>
      </c>
      <c r="E703" s="28" t="s">
        <v>2533</v>
      </c>
      <c r="F703" s="31" t="s">
        <v>2045</v>
      </c>
      <c r="G703" s="31" t="s">
        <v>2045</v>
      </c>
      <c r="H703" s="31" t="s">
        <v>2371</v>
      </c>
      <c r="I703" s="28" t="str">
        <f>VLOOKUP(E703,표준용어사전!$C$2:$D$494, 2, FALSE)</f>
        <v>여부C1</v>
      </c>
      <c r="J703" s="28" t="s">
        <v>709</v>
      </c>
      <c r="K703" s="29">
        <v>1</v>
      </c>
      <c r="L703" s="55" t="s">
        <v>571</v>
      </c>
      <c r="M703" s="29" t="s">
        <v>722</v>
      </c>
      <c r="N703" s="10" t="s">
        <v>2718</v>
      </c>
      <c r="O703" s="9"/>
      <c r="P703" s="9" t="s">
        <v>76</v>
      </c>
      <c r="Q703" s="28"/>
      <c r="R703" s="29"/>
      <c r="S703" s="9"/>
      <c r="T703" s="9"/>
      <c r="U703" s="9" t="s">
        <v>75</v>
      </c>
      <c r="V703" s="9" t="s">
        <v>75</v>
      </c>
      <c r="W703" s="9"/>
    </row>
    <row r="704" spans="1:23" s="12" customFormat="1">
      <c r="A704" s="46" t="s">
        <v>572</v>
      </c>
      <c r="B704" s="28" t="s">
        <v>1333</v>
      </c>
      <c r="C704" s="28" t="s">
        <v>2330</v>
      </c>
      <c r="D704" s="9" t="s">
        <v>2463</v>
      </c>
      <c r="E704" s="28" t="s">
        <v>2549</v>
      </c>
      <c r="F704" s="31" t="s">
        <v>2046</v>
      </c>
      <c r="G704" s="31" t="s">
        <v>2046</v>
      </c>
      <c r="H704" s="31" t="s">
        <v>2371</v>
      </c>
      <c r="I704" s="28" t="str">
        <f>VLOOKUP(E704,표준용어사전!$C$2:$D$494, 2, FALSE)</f>
        <v>여부C1</v>
      </c>
      <c r="J704" s="28" t="s">
        <v>709</v>
      </c>
      <c r="K704" s="29">
        <v>1</v>
      </c>
      <c r="L704" s="55" t="s">
        <v>571</v>
      </c>
      <c r="M704" s="29" t="s">
        <v>722</v>
      </c>
      <c r="N704" s="10" t="s">
        <v>75</v>
      </c>
      <c r="O704" s="9"/>
      <c r="P704" s="9" t="s">
        <v>76</v>
      </c>
      <c r="Q704" s="28"/>
      <c r="R704" s="29"/>
      <c r="S704" s="9"/>
      <c r="T704" s="9"/>
      <c r="U704" s="9" t="s">
        <v>75</v>
      </c>
      <c r="V704" s="9" t="s">
        <v>75</v>
      </c>
      <c r="W704" s="9"/>
    </row>
    <row r="705" spans="1:23" s="12" customFormat="1">
      <c r="A705" s="46" t="s">
        <v>572</v>
      </c>
      <c r="B705" s="28" t="s">
        <v>1333</v>
      </c>
      <c r="C705" s="28" t="s">
        <v>2330</v>
      </c>
      <c r="D705" s="28" t="s">
        <v>2463</v>
      </c>
      <c r="E705" s="28" t="s">
        <v>90</v>
      </c>
      <c r="F705" s="31" t="s">
        <v>14</v>
      </c>
      <c r="G705" s="31" t="s">
        <v>14</v>
      </c>
      <c r="H705" s="31" t="s">
        <v>2371</v>
      </c>
      <c r="I705" s="28" t="str">
        <f>VLOOKUP(E705,표준용어사전!$C$2:$D$494, 2, FALSE)</f>
        <v>연월일시분초TS</v>
      </c>
      <c r="J705" s="28" t="s">
        <v>719</v>
      </c>
      <c r="K705" s="29" t="s">
        <v>571</v>
      </c>
      <c r="L705" s="55" t="s">
        <v>571</v>
      </c>
      <c r="M705" s="29" t="s">
        <v>726</v>
      </c>
      <c r="N705" s="29" t="s">
        <v>973</v>
      </c>
      <c r="O705" s="28"/>
      <c r="P705" s="28" t="s">
        <v>76</v>
      </c>
      <c r="Q705" s="28"/>
      <c r="R705" s="29"/>
      <c r="S705" s="28"/>
      <c r="T705" s="28"/>
      <c r="U705" s="9" t="s">
        <v>75</v>
      </c>
      <c r="V705" s="9" t="s">
        <v>75</v>
      </c>
      <c r="W705" s="28"/>
    </row>
    <row r="706" spans="1:23" s="12" customFormat="1">
      <c r="A706" s="46" t="s">
        <v>572</v>
      </c>
      <c r="B706" s="28" t="s">
        <v>1333</v>
      </c>
      <c r="C706" s="28" t="s">
        <v>2330</v>
      </c>
      <c r="D706" s="9" t="s">
        <v>2463</v>
      </c>
      <c r="E706" s="28" t="s">
        <v>91</v>
      </c>
      <c r="F706" s="31" t="s">
        <v>369</v>
      </c>
      <c r="G706" s="31" t="s">
        <v>369</v>
      </c>
      <c r="H706" s="31" t="s">
        <v>2371</v>
      </c>
      <c r="I706" s="28" t="str">
        <f>VLOOKUP(E706,표준용어사전!$C$2:$D$494, 2, FALSE)</f>
        <v>명V20</v>
      </c>
      <c r="J706" s="28" t="s">
        <v>718</v>
      </c>
      <c r="K706" s="29" t="s">
        <v>986</v>
      </c>
      <c r="L706" s="55" t="s">
        <v>571</v>
      </c>
      <c r="M706" s="29" t="s">
        <v>727</v>
      </c>
      <c r="N706" s="29" t="s">
        <v>75</v>
      </c>
      <c r="O706" s="9"/>
      <c r="P706" s="9" t="s">
        <v>76</v>
      </c>
      <c r="Q706" s="28"/>
      <c r="R706" s="29"/>
      <c r="S706" s="9"/>
      <c r="T706" s="9"/>
      <c r="U706" s="9" t="s">
        <v>75</v>
      </c>
      <c r="V706" s="9" t="s">
        <v>75</v>
      </c>
      <c r="W706" s="9"/>
    </row>
    <row r="707" spans="1:23" s="12" customFormat="1">
      <c r="A707" s="46" t="s">
        <v>572</v>
      </c>
      <c r="B707" s="28" t="s">
        <v>1333</v>
      </c>
      <c r="C707" s="28" t="s">
        <v>2330</v>
      </c>
      <c r="D707" s="9" t="s">
        <v>2463</v>
      </c>
      <c r="E707" s="28" t="s">
        <v>92</v>
      </c>
      <c r="F707" s="31" t="s">
        <v>15</v>
      </c>
      <c r="G707" s="31" t="s">
        <v>15</v>
      </c>
      <c r="H707" s="31" t="s">
        <v>2371</v>
      </c>
      <c r="I707" s="28" t="str">
        <f>VLOOKUP(E707,표준용어사전!$C$2:$D$494, 2, FALSE)</f>
        <v>연월일시분초TS</v>
      </c>
      <c r="J707" s="28" t="s">
        <v>719</v>
      </c>
      <c r="K707" s="29" t="s">
        <v>571</v>
      </c>
      <c r="L707" s="55" t="s">
        <v>571</v>
      </c>
      <c r="M707" s="29" t="s">
        <v>726</v>
      </c>
      <c r="N707" s="10" t="s">
        <v>75</v>
      </c>
      <c r="O707" s="9"/>
      <c r="P707" s="9" t="s">
        <v>76</v>
      </c>
      <c r="Q707" s="28"/>
      <c r="R707" s="29"/>
      <c r="S707" s="9"/>
      <c r="T707" s="9"/>
      <c r="U707" s="9" t="s">
        <v>75</v>
      </c>
      <c r="V707" s="9" t="s">
        <v>75</v>
      </c>
      <c r="W707" s="9"/>
    </row>
    <row r="708" spans="1:23" s="12" customFormat="1">
      <c r="A708" s="46" t="s">
        <v>572</v>
      </c>
      <c r="B708" s="28" t="s">
        <v>1333</v>
      </c>
      <c r="C708" s="28" t="s">
        <v>2330</v>
      </c>
      <c r="D708" s="9" t="s">
        <v>2463</v>
      </c>
      <c r="E708" s="28" t="s">
        <v>93</v>
      </c>
      <c r="F708" s="31" t="s">
        <v>370</v>
      </c>
      <c r="G708" s="31" t="s">
        <v>370</v>
      </c>
      <c r="H708" s="31" t="s">
        <v>2371</v>
      </c>
      <c r="I708" s="28" t="str">
        <f>VLOOKUP(E708,표준용어사전!$C$2:$D$494, 2, FALSE)</f>
        <v>명V20</v>
      </c>
      <c r="J708" s="28" t="s">
        <v>718</v>
      </c>
      <c r="K708" s="29" t="s">
        <v>986</v>
      </c>
      <c r="L708" s="55" t="s">
        <v>571</v>
      </c>
      <c r="M708" s="29" t="s">
        <v>727</v>
      </c>
      <c r="N708" s="10" t="s">
        <v>75</v>
      </c>
      <c r="O708" s="9"/>
      <c r="P708" s="9" t="s">
        <v>76</v>
      </c>
      <c r="Q708" s="28"/>
      <c r="R708" s="29"/>
      <c r="S708" s="9"/>
      <c r="T708" s="9"/>
      <c r="U708" s="9" t="s">
        <v>75</v>
      </c>
      <c r="V708" s="9" t="s">
        <v>75</v>
      </c>
      <c r="W708" s="9"/>
    </row>
    <row r="709" spans="1:23" s="12" customFormat="1">
      <c r="A709" s="46" t="s">
        <v>572</v>
      </c>
      <c r="B709" s="28" t="s">
        <v>1333</v>
      </c>
      <c r="C709" s="28" t="s">
        <v>2330</v>
      </c>
      <c r="D709" s="9" t="s">
        <v>2622</v>
      </c>
      <c r="E709" s="28" t="s">
        <v>2550</v>
      </c>
      <c r="F709" s="31" t="s">
        <v>2038</v>
      </c>
      <c r="G709" s="31" t="s">
        <v>2038</v>
      </c>
      <c r="H709" s="31" t="s">
        <v>2372</v>
      </c>
      <c r="I709" s="28" t="str">
        <f>VLOOKUP(E709,표준용어사전!$C$2:$D$494, 2, FALSE)</f>
        <v>번호I</v>
      </c>
      <c r="J709" s="28" t="s">
        <v>717</v>
      </c>
      <c r="K709" s="29" t="s">
        <v>571</v>
      </c>
      <c r="L709" s="55" t="s">
        <v>571</v>
      </c>
      <c r="M709" s="29" t="s">
        <v>2591</v>
      </c>
      <c r="N709" s="29" t="s">
        <v>973</v>
      </c>
      <c r="O709" s="9" t="s">
        <v>73</v>
      </c>
      <c r="P709" s="9" t="s">
        <v>76</v>
      </c>
      <c r="Q709" s="28"/>
      <c r="R709" s="29"/>
      <c r="S709" s="9"/>
      <c r="T709" s="9"/>
      <c r="U709" s="9" t="s">
        <v>75</v>
      </c>
      <c r="V709" s="9" t="s">
        <v>75</v>
      </c>
      <c r="W709" s="9"/>
    </row>
    <row r="710" spans="1:23" s="12" customFormat="1">
      <c r="A710" s="46" t="s">
        <v>572</v>
      </c>
      <c r="B710" s="28" t="s">
        <v>1333</v>
      </c>
      <c r="C710" s="28" t="s">
        <v>2330</v>
      </c>
      <c r="D710" s="9" t="s">
        <v>2622</v>
      </c>
      <c r="E710" s="28" t="s">
        <v>246</v>
      </c>
      <c r="F710" s="31" t="s">
        <v>17</v>
      </c>
      <c r="G710" s="31" t="s">
        <v>17</v>
      </c>
      <c r="H710" s="31" t="s">
        <v>2372</v>
      </c>
      <c r="I710" s="28" t="str">
        <f>VLOOKUP(E710,표준용어사전!$C$2:$D$494, 2, FALSE)</f>
        <v>명V20</v>
      </c>
      <c r="J710" s="28" t="s">
        <v>718</v>
      </c>
      <c r="K710" s="29" t="s">
        <v>986</v>
      </c>
      <c r="L710" s="55" t="s">
        <v>571</v>
      </c>
      <c r="M710" s="29" t="s">
        <v>727</v>
      </c>
      <c r="N710" s="10" t="s">
        <v>973</v>
      </c>
      <c r="O710" s="9"/>
      <c r="P710" s="9" t="s">
        <v>76</v>
      </c>
      <c r="Q710" s="28"/>
      <c r="R710" s="29"/>
      <c r="S710" s="9"/>
      <c r="T710" s="9"/>
      <c r="U710" s="9" t="s">
        <v>75</v>
      </c>
      <c r="V710" s="9" t="s">
        <v>75</v>
      </c>
      <c r="W710" s="9"/>
    </row>
    <row r="711" spans="1:23" s="12" customFormat="1">
      <c r="A711" s="46" t="s">
        <v>572</v>
      </c>
      <c r="B711" s="28" t="s">
        <v>1333</v>
      </c>
      <c r="C711" s="28" t="s">
        <v>2330</v>
      </c>
      <c r="D711" s="9" t="s">
        <v>2622</v>
      </c>
      <c r="E711" s="28" t="s">
        <v>2547</v>
      </c>
      <c r="F711" s="31" t="s">
        <v>2039</v>
      </c>
      <c r="G711" s="31" t="s">
        <v>2039</v>
      </c>
      <c r="H711" s="31" t="s">
        <v>2372</v>
      </c>
      <c r="I711" s="28" t="str">
        <f>VLOOKUP(E711,표준용어사전!$C$2:$D$494, 2, FALSE)</f>
        <v>명V50</v>
      </c>
      <c r="J711" s="28" t="s">
        <v>718</v>
      </c>
      <c r="K711" s="29">
        <v>50</v>
      </c>
      <c r="L711" s="55" t="s">
        <v>571</v>
      </c>
      <c r="M711" s="29" t="s">
        <v>720</v>
      </c>
      <c r="N711" s="10" t="s">
        <v>973</v>
      </c>
      <c r="O711" s="9"/>
      <c r="P711" s="9" t="s">
        <v>76</v>
      </c>
      <c r="Q711" s="28"/>
      <c r="R711" s="29"/>
      <c r="S711" s="9"/>
      <c r="T711" s="9"/>
      <c r="U711" s="9" t="s">
        <v>75</v>
      </c>
      <c r="V711" s="9" t="s">
        <v>75</v>
      </c>
      <c r="W711" s="9"/>
    </row>
    <row r="712" spans="1:23" s="12" customFormat="1">
      <c r="A712" s="46" t="s">
        <v>572</v>
      </c>
      <c r="B712" s="28" t="s">
        <v>1333</v>
      </c>
      <c r="C712" s="28" t="s">
        <v>2330</v>
      </c>
      <c r="D712" s="28" t="s">
        <v>2622</v>
      </c>
      <c r="E712" s="28" t="s">
        <v>89</v>
      </c>
      <c r="F712" s="31" t="s">
        <v>501</v>
      </c>
      <c r="G712" s="31" t="s">
        <v>501</v>
      </c>
      <c r="H712" s="31" t="s">
        <v>2372</v>
      </c>
      <c r="I712" s="28" t="str">
        <f>VLOOKUP(E712,표준용어사전!$C$2:$D$494, 2, FALSE)</f>
        <v>명V20</v>
      </c>
      <c r="J712" s="28" t="s">
        <v>718</v>
      </c>
      <c r="K712" s="29" t="s">
        <v>986</v>
      </c>
      <c r="L712" s="55" t="s">
        <v>571</v>
      </c>
      <c r="M712" s="29" t="s">
        <v>727</v>
      </c>
      <c r="N712" s="29" t="s">
        <v>973</v>
      </c>
      <c r="O712" s="28"/>
      <c r="P712" s="28" t="s">
        <v>76</v>
      </c>
      <c r="Q712" s="28"/>
      <c r="R712" s="29"/>
      <c r="S712" s="28"/>
      <c r="T712" s="28"/>
      <c r="U712" s="9" t="s">
        <v>75</v>
      </c>
      <c r="V712" s="9" t="s">
        <v>75</v>
      </c>
      <c r="W712" s="28"/>
    </row>
    <row r="713" spans="1:23" s="12" customFormat="1">
      <c r="A713" s="46" t="s">
        <v>572</v>
      </c>
      <c r="B713" s="28" t="s">
        <v>1333</v>
      </c>
      <c r="C713" s="28" t="s">
        <v>2330</v>
      </c>
      <c r="D713" s="28" t="s">
        <v>2622</v>
      </c>
      <c r="E713" s="28" t="s">
        <v>268</v>
      </c>
      <c r="F713" s="31" t="s">
        <v>500</v>
      </c>
      <c r="G713" s="31" t="s">
        <v>500</v>
      </c>
      <c r="H713" s="31" t="s">
        <v>2372</v>
      </c>
      <c r="I713" s="28" t="str">
        <f>VLOOKUP(E713,표준용어사전!$C$2:$D$494, 2, FALSE)</f>
        <v>코드C1</v>
      </c>
      <c r="J713" s="28" t="s">
        <v>709</v>
      </c>
      <c r="K713" s="29">
        <v>1</v>
      </c>
      <c r="L713" s="55" t="s">
        <v>571</v>
      </c>
      <c r="M713" s="29" t="s">
        <v>722</v>
      </c>
      <c r="N713" s="29" t="s">
        <v>75</v>
      </c>
      <c r="O713" s="28"/>
      <c r="P713" s="28" t="s">
        <v>76</v>
      </c>
      <c r="Q713" s="28"/>
      <c r="R713" s="29"/>
      <c r="S713" s="28"/>
      <c r="T713" s="28"/>
      <c r="U713" s="9" t="s">
        <v>75</v>
      </c>
      <c r="V713" s="9" t="s">
        <v>75</v>
      </c>
      <c r="W713" s="28"/>
    </row>
    <row r="714" spans="1:23" s="12" customFormat="1">
      <c r="A714" s="46" t="s">
        <v>572</v>
      </c>
      <c r="B714" s="28" t="s">
        <v>1333</v>
      </c>
      <c r="C714" s="28" t="s">
        <v>2330</v>
      </c>
      <c r="D714" s="28" t="s">
        <v>2622</v>
      </c>
      <c r="E714" s="28" t="s">
        <v>252</v>
      </c>
      <c r="F714" s="31" t="s">
        <v>77</v>
      </c>
      <c r="G714" s="31" t="s">
        <v>77</v>
      </c>
      <c r="H714" s="31" t="s">
        <v>2372</v>
      </c>
      <c r="I714" s="28" t="str">
        <f>VLOOKUP(E714,표준용어사전!$C$2:$D$494, 2, FALSE)</f>
        <v>내용TXT</v>
      </c>
      <c r="J714" s="28" t="s">
        <v>713</v>
      </c>
      <c r="K714" s="29" t="s">
        <v>571</v>
      </c>
      <c r="L714" s="55" t="s">
        <v>571</v>
      </c>
      <c r="M714" s="29" t="s">
        <v>2590</v>
      </c>
      <c r="N714" s="29" t="s">
        <v>75</v>
      </c>
      <c r="O714" s="28"/>
      <c r="P714" s="28" t="s">
        <v>76</v>
      </c>
      <c r="Q714" s="28"/>
      <c r="R714" s="29"/>
      <c r="S714" s="28"/>
      <c r="T714" s="9"/>
      <c r="U714" s="9" t="s">
        <v>75</v>
      </c>
      <c r="V714" s="9" t="s">
        <v>75</v>
      </c>
      <c r="W714" s="28"/>
    </row>
    <row r="715" spans="1:23" s="12" customFormat="1">
      <c r="A715" s="46" t="s">
        <v>572</v>
      </c>
      <c r="B715" s="28" t="s">
        <v>1333</v>
      </c>
      <c r="C715" s="28" t="s">
        <v>2330</v>
      </c>
      <c r="D715" s="28" t="s">
        <v>2622</v>
      </c>
      <c r="E715" s="28" t="s">
        <v>90</v>
      </c>
      <c r="F715" s="31" t="s">
        <v>14</v>
      </c>
      <c r="G715" s="31" t="s">
        <v>14</v>
      </c>
      <c r="H715" s="31" t="s">
        <v>2372</v>
      </c>
      <c r="I715" s="28" t="str">
        <f>VLOOKUP(E715,표준용어사전!$C$2:$D$494, 2, FALSE)</f>
        <v>연월일시분초TS</v>
      </c>
      <c r="J715" s="28" t="s">
        <v>719</v>
      </c>
      <c r="K715" s="29" t="s">
        <v>571</v>
      </c>
      <c r="L715" s="55" t="s">
        <v>571</v>
      </c>
      <c r="M715" s="29" t="s">
        <v>726</v>
      </c>
      <c r="N715" s="29" t="s">
        <v>973</v>
      </c>
      <c r="O715" s="28"/>
      <c r="P715" s="28" t="s">
        <v>76</v>
      </c>
      <c r="Q715" s="28"/>
      <c r="R715" s="29"/>
      <c r="S715" s="28"/>
      <c r="T715" s="9"/>
      <c r="U715" s="9" t="s">
        <v>75</v>
      </c>
      <c r="V715" s="9" t="s">
        <v>75</v>
      </c>
      <c r="W715" s="28"/>
    </row>
    <row r="716" spans="1:23" s="12" customFormat="1">
      <c r="A716" s="46" t="s">
        <v>572</v>
      </c>
      <c r="B716" s="28" t="s">
        <v>1333</v>
      </c>
      <c r="C716" s="28" t="s">
        <v>2330</v>
      </c>
      <c r="D716" s="28" t="s">
        <v>2622</v>
      </c>
      <c r="E716" s="28" t="s">
        <v>91</v>
      </c>
      <c r="F716" s="31" t="s">
        <v>369</v>
      </c>
      <c r="G716" s="31" t="s">
        <v>369</v>
      </c>
      <c r="H716" s="31" t="s">
        <v>2372</v>
      </c>
      <c r="I716" s="28" t="str">
        <f>VLOOKUP(E716,표준용어사전!$C$2:$D$494, 2, FALSE)</f>
        <v>명V20</v>
      </c>
      <c r="J716" s="28" t="s">
        <v>718</v>
      </c>
      <c r="K716" s="29" t="s">
        <v>986</v>
      </c>
      <c r="L716" s="55" t="s">
        <v>571</v>
      </c>
      <c r="M716" s="29" t="s">
        <v>727</v>
      </c>
      <c r="N716" s="29" t="s">
        <v>75</v>
      </c>
      <c r="O716" s="28"/>
      <c r="P716" s="28" t="s">
        <v>76</v>
      </c>
      <c r="Q716" s="28"/>
      <c r="R716" s="29"/>
      <c r="S716" s="28"/>
      <c r="T716" s="9"/>
      <c r="U716" s="9" t="s">
        <v>75</v>
      </c>
      <c r="V716" s="9" t="s">
        <v>75</v>
      </c>
      <c r="W716" s="28"/>
    </row>
    <row r="717" spans="1:23" s="12" customFormat="1">
      <c r="A717" s="46" t="s">
        <v>572</v>
      </c>
      <c r="B717" s="28" t="s">
        <v>1333</v>
      </c>
      <c r="C717" s="28" t="s">
        <v>2330</v>
      </c>
      <c r="D717" s="9" t="s">
        <v>2622</v>
      </c>
      <c r="E717" s="28" t="s">
        <v>92</v>
      </c>
      <c r="F717" s="31" t="s">
        <v>15</v>
      </c>
      <c r="G717" s="31" t="s">
        <v>15</v>
      </c>
      <c r="H717" s="31" t="s">
        <v>2372</v>
      </c>
      <c r="I717" s="28" t="str">
        <f>VLOOKUP(E717,표준용어사전!$C$2:$D$494, 2, FALSE)</f>
        <v>연월일시분초TS</v>
      </c>
      <c r="J717" s="28" t="s">
        <v>719</v>
      </c>
      <c r="K717" s="29" t="s">
        <v>571</v>
      </c>
      <c r="L717" s="55" t="s">
        <v>571</v>
      </c>
      <c r="M717" s="29" t="s">
        <v>726</v>
      </c>
      <c r="N717" s="29" t="s">
        <v>75</v>
      </c>
      <c r="O717" s="9"/>
      <c r="P717" s="9" t="s">
        <v>76</v>
      </c>
      <c r="Q717" s="28"/>
      <c r="R717" s="29"/>
      <c r="S717" s="9"/>
      <c r="T717" s="9"/>
      <c r="U717" s="9" t="s">
        <v>75</v>
      </c>
      <c r="V717" s="9" t="s">
        <v>75</v>
      </c>
      <c r="W717" s="9"/>
    </row>
    <row r="718" spans="1:23" s="12" customFormat="1">
      <c r="A718" s="46" t="s">
        <v>572</v>
      </c>
      <c r="B718" s="28" t="s">
        <v>1333</v>
      </c>
      <c r="C718" s="28" t="s">
        <v>2330</v>
      </c>
      <c r="D718" s="28" t="s">
        <v>2622</v>
      </c>
      <c r="E718" s="28" t="s">
        <v>93</v>
      </c>
      <c r="F718" s="31" t="s">
        <v>370</v>
      </c>
      <c r="G718" s="31" t="s">
        <v>370</v>
      </c>
      <c r="H718" s="31" t="s">
        <v>2372</v>
      </c>
      <c r="I718" s="28" t="str">
        <f>VLOOKUP(E718,표준용어사전!$C$2:$D$494, 2, FALSE)</f>
        <v>명V20</v>
      </c>
      <c r="J718" s="28" t="s">
        <v>718</v>
      </c>
      <c r="K718" s="29" t="s">
        <v>986</v>
      </c>
      <c r="L718" s="55" t="s">
        <v>571</v>
      </c>
      <c r="M718" s="29" t="s">
        <v>727</v>
      </c>
      <c r="N718" s="29" t="s">
        <v>75</v>
      </c>
      <c r="O718" s="28"/>
      <c r="P718" s="28" t="s">
        <v>76</v>
      </c>
      <c r="Q718" s="28"/>
      <c r="R718" s="29"/>
      <c r="S718" s="28"/>
      <c r="T718" s="28"/>
      <c r="U718" s="9" t="s">
        <v>75</v>
      </c>
      <c r="V718" s="9" t="s">
        <v>75</v>
      </c>
      <c r="W718" s="28"/>
    </row>
    <row r="719" spans="1:23" s="12" customFormat="1">
      <c r="A719" s="46" t="s">
        <v>572</v>
      </c>
      <c r="B719" s="28" t="s">
        <v>1333</v>
      </c>
      <c r="C719" s="28" t="s">
        <v>2330</v>
      </c>
      <c r="D719" s="9" t="s">
        <v>2464</v>
      </c>
      <c r="E719" s="28" t="s">
        <v>2036</v>
      </c>
      <c r="F719" s="31" t="s">
        <v>457</v>
      </c>
      <c r="G719" s="31" t="s">
        <v>457</v>
      </c>
      <c r="H719" s="31" t="s">
        <v>214</v>
      </c>
      <c r="I719" s="28" t="str">
        <f>VLOOKUP(E719,표준용어사전!$C$2:$D$494, 2, FALSE)</f>
        <v>번호I</v>
      </c>
      <c r="J719" s="28" t="s">
        <v>717</v>
      </c>
      <c r="K719" s="29" t="s">
        <v>571</v>
      </c>
      <c r="L719" s="55" t="s">
        <v>571</v>
      </c>
      <c r="M719" s="29" t="s">
        <v>2591</v>
      </c>
      <c r="N719" s="10" t="s">
        <v>973</v>
      </c>
      <c r="O719" s="9" t="s">
        <v>73</v>
      </c>
      <c r="P719" s="9" t="s">
        <v>76</v>
      </c>
      <c r="Q719" s="28"/>
      <c r="R719" s="29"/>
      <c r="S719" s="9"/>
      <c r="T719" s="9"/>
      <c r="U719" s="9" t="s">
        <v>75</v>
      </c>
      <c r="V719" s="9" t="s">
        <v>75</v>
      </c>
      <c r="W719" s="9"/>
    </row>
    <row r="720" spans="1:23" s="12" customFormat="1">
      <c r="A720" s="46" t="s">
        <v>572</v>
      </c>
      <c r="B720" s="28" t="s">
        <v>1333</v>
      </c>
      <c r="C720" s="28" t="s">
        <v>2330</v>
      </c>
      <c r="D720" s="28" t="s">
        <v>2464</v>
      </c>
      <c r="E720" s="28" t="s">
        <v>202</v>
      </c>
      <c r="F720" s="31" t="s">
        <v>451</v>
      </c>
      <c r="G720" s="31" t="s">
        <v>451</v>
      </c>
      <c r="H720" s="31" t="s">
        <v>214</v>
      </c>
      <c r="I720" s="28" t="str">
        <f>VLOOKUP(E720,표준용어사전!$C$2:$D$494, 2, FALSE)</f>
        <v>명V20</v>
      </c>
      <c r="J720" s="28" t="s">
        <v>718</v>
      </c>
      <c r="K720" s="29" t="s">
        <v>986</v>
      </c>
      <c r="L720" s="55" t="s">
        <v>571</v>
      </c>
      <c r="M720" s="29" t="s">
        <v>727</v>
      </c>
      <c r="N720" s="29" t="s">
        <v>973</v>
      </c>
      <c r="O720" s="28" t="s">
        <v>74</v>
      </c>
      <c r="P720" s="28" t="s">
        <v>76</v>
      </c>
      <c r="Q720" s="28"/>
      <c r="R720" s="29"/>
      <c r="S720" s="28"/>
      <c r="T720" s="28"/>
      <c r="U720" s="9" t="s">
        <v>75</v>
      </c>
      <c r="V720" s="9" t="s">
        <v>75</v>
      </c>
      <c r="W720" s="9"/>
    </row>
    <row r="721" spans="1:23" s="12" customFormat="1">
      <c r="A721" s="46" t="s">
        <v>572</v>
      </c>
      <c r="B721" s="28" t="s">
        <v>1333</v>
      </c>
      <c r="C721" s="28" t="s">
        <v>2330</v>
      </c>
      <c r="D721" s="9" t="s">
        <v>2464</v>
      </c>
      <c r="E721" s="28" t="s">
        <v>2037</v>
      </c>
      <c r="F721" s="31" t="s">
        <v>479</v>
      </c>
      <c r="G721" s="31" t="s">
        <v>479</v>
      </c>
      <c r="H721" s="31" t="s">
        <v>214</v>
      </c>
      <c r="I721" s="28" t="str">
        <f>VLOOKUP(E721,표준용어사전!$C$2:$D$494, 2, FALSE)</f>
        <v>명TXT</v>
      </c>
      <c r="J721" s="28" t="s">
        <v>713</v>
      </c>
      <c r="K721" s="29" t="s">
        <v>571</v>
      </c>
      <c r="L721" s="55" t="s">
        <v>571</v>
      </c>
      <c r="M721" s="29" t="s">
        <v>2590</v>
      </c>
      <c r="N721" s="10" t="s">
        <v>75</v>
      </c>
      <c r="O721" s="9"/>
      <c r="P721" s="9" t="s">
        <v>76</v>
      </c>
      <c r="Q721" s="28"/>
      <c r="R721" s="29"/>
      <c r="S721" s="9"/>
      <c r="T721" s="9"/>
      <c r="U721" s="9" t="s">
        <v>75</v>
      </c>
      <c r="V721" s="9" t="s">
        <v>75</v>
      </c>
      <c r="W721" s="9"/>
    </row>
    <row r="722" spans="1:23" s="12" customFormat="1">
      <c r="A722" s="46" t="s">
        <v>572</v>
      </c>
      <c r="B722" s="28" t="s">
        <v>1333</v>
      </c>
      <c r="C722" s="28" t="s">
        <v>2330</v>
      </c>
      <c r="D722" s="9" t="s">
        <v>2464</v>
      </c>
      <c r="E722" s="28" t="s">
        <v>90</v>
      </c>
      <c r="F722" s="31" t="s">
        <v>14</v>
      </c>
      <c r="G722" s="31" t="s">
        <v>14</v>
      </c>
      <c r="H722" s="31" t="s">
        <v>214</v>
      </c>
      <c r="I722" s="28" t="str">
        <f>VLOOKUP(E722,표준용어사전!$C$2:$D$494, 2, FALSE)</f>
        <v>연월일시분초TS</v>
      </c>
      <c r="J722" s="28" t="s">
        <v>719</v>
      </c>
      <c r="K722" s="29" t="s">
        <v>571</v>
      </c>
      <c r="L722" s="55" t="s">
        <v>571</v>
      </c>
      <c r="M722" s="29" t="s">
        <v>726</v>
      </c>
      <c r="N722" s="29" t="s">
        <v>973</v>
      </c>
      <c r="O722" s="9"/>
      <c r="P722" s="9" t="s">
        <v>76</v>
      </c>
      <c r="Q722" s="28"/>
      <c r="R722" s="29"/>
      <c r="S722" s="9"/>
      <c r="T722" s="9"/>
      <c r="U722" s="9" t="s">
        <v>75</v>
      </c>
      <c r="V722" s="9" t="s">
        <v>75</v>
      </c>
      <c r="W722" s="9"/>
    </row>
    <row r="723" spans="1:23" s="12" customFormat="1">
      <c r="A723" s="46" t="s">
        <v>572</v>
      </c>
      <c r="B723" s="28" t="s">
        <v>1333</v>
      </c>
      <c r="C723" s="28" t="s">
        <v>2330</v>
      </c>
      <c r="D723" s="9" t="s">
        <v>2464</v>
      </c>
      <c r="E723" s="28" t="s">
        <v>91</v>
      </c>
      <c r="F723" s="31" t="s">
        <v>369</v>
      </c>
      <c r="G723" s="31" t="s">
        <v>369</v>
      </c>
      <c r="H723" s="31" t="s">
        <v>214</v>
      </c>
      <c r="I723" s="28" t="str">
        <f>VLOOKUP(E723,표준용어사전!$C$2:$D$494, 2, FALSE)</f>
        <v>명V20</v>
      </c>
      <c r="J723" s="28" t="s">
        <v>718</v>
      </c>
      <c r="K723" s="29" t="s">
        <v>986</v>
      </c>
      <c r="L723" s="55" t="s">
        <v>571</v>
      </c>
      <c r="M723" s="29" t="s">
        <v>727</v>
      </c>
      <c r="N723" s="10" t="s">
        <v>75</v>
      </c>
      <c r="O723" s="9"/>
      <c r="P723" s="9" t="s">
        <v>76</v>
      </c>
      <c r="Q723" s="28"/>
      <c r="R723" s="29"/>
      <c r="S723" s="9"/>
      <c r="T723" s="9"/>
      <c r="U723" s="9" t="s">
        <v>75</v>
      </c>
      <c r="V723" s="9" t="s">
        <v>75</v>
      </c>
      <c r="W723" s="9"/>
    </row>
    <row r="724" spans="1:23" s="12" customFormat="1">
      <c r="A724" s="46" t="s">
        <v>572</v>
      </c>
      <c r="B724" s="28" t="s">
        <v>1333</v>
      </c>
      <c r="C724" s="28" t="s">
        <v>2330</v>
      </c>
      <c r="D724" s="28" t="s">
        <v>2464</v>
      </c>
      <c r="E724" s="28" t="s">
        <v>92</v>
      </c>
      <c r="F724" s="31" t="s">
        <v>15</v>
      </c>
      <c r="G724" s="31" t="s">
        <v>15</v>
      </c>
      <c r="H724" s="31" t="s">
        <v>214</v>
      </c>
      <c r="I724" s="28" t="str">
        <f>VLOOKUP(E724,표준용어사전!$C$2:$D$494, 2, FALSE)</f>
        <v>연월일시분초TS</v>
      </c>
      <c r="J724" s="28" t="s">
        <v>719</v>
      </c>
      <c r="K724" s="29" t="s">
        <v>571</v>
      </c>
      <c r="L724" s="55" t="s">
        <v>571</v>
      </c>
      <c r="M724" s="29" t="s">
        <v>726</v>
      </c>
      <c r="N724" s="29" t="s">
        <v>75</v>
      </c>
      <c r="O724" s="28"/>
      <c r="P724" s="28" t="s">
        <v>76</v>
      </c>
      <c r="Q724" s="28"/>
      <c r="R724" s="29"/>
      <c r="S724" s="28"/>
      <c r="T724" s="28"/>
      <c r="U724" s="9" t="s">
        <v>75</v>
      </c>
      <c r="V724" s="9" t="s">
        <v>75</v>
      </c>
      <c r="W724" s="28"/>
    </row>
    <row r="725" spans="1:23" s="12" customFormat="1">
      <c r="A725" s="46" t="s">
        <v>572</v>
      </c>
      <c r="B725" s="28" t="s">
        <v>1333</v>
      </c>
      <c r="C725" s="28" t="s">
        <v>2330</v>
      </c>
      <c r="D725" s="28" t="s">
        <v>2464</v>
      </c>
      <c r="E725" s="28" t="s">
        <v>93</v>
      </c>
      <c r="F725" s="31" t="s">
        <v>370</v>
      </c>
      <c r="G725" s="31" t="s">
        <v>370</v>
      </c>
      <c r="H725" s="31" t="s">
        <v>214</v>
      </c>
      <c r="I725" s="28" t="str">
        <f>VLOOKUP(E725,표준용어사전!$C$2:$D$494, 2, FALSE)</f>
        <v>명V20</v>
      </c>
      <c r="J725" s="28" t="s">
        <v>718</v>
      </c>
      <c r="K725" s="29" t="s">
        <v>986</v>
      </c>
      <c r="L725" s="55" t="s">
        <v>571</v>
      </c>
      <c r="M725" s="29" t="s">
        <v>727</v>
      </c>
      <c r="N725" s="10" t="s">
        <v>75</v>
      </c>
      <c r="O725" s="28"/>
      <c r="P725" s="28" t="s">
        <v>76</v>
      </c>
      <c r="Q725" s="28"/>
      <c r="R725" s="29"/>
      <c r="S725" s="28"/>
      <c r="T725" s="9"/>
      <c r="U725" s="9" t="s">
        <v>75</v>
      </c>
      <c r="V725" s="9" t="s">
        <v>75</v>
      </c>
      <c r="W725" s="28"/>
    </row>
    <row r="726" spans="1:23" s="12" customFormat="1">
      <c r="A726" s="46" t="s">
        <v>572</v>
      </c>
      <c r="B726" s="28" t="s">
        <v>1333</v>
      </c>
      <c r="C726" s="28" t="s">
        <v>2330</v>
      </c>
      <c r="D726" s="9" t="s">
        <v>2465</v>
      </c>
      <c r="E726" s="28" t="s">
        <v>202</v>
      </c>
      <c r="F726" s="31" t="s">
        <v>451</v>
      </c>
      <c r="G726" s="31" t="s">
        <v>451</v>
      </c>
      <c r="H726" s="31" t="s">
        <v>592</v>
      </c>
      <c r="I726" s="28" t="str">
        <f>VLOOKUP(E726,표준용어사전!$C$2:$D$494, 2, FALSE)</f>
        <v>명V20</v>
      </c>
      <c r="J726" s="28" t="s">
        <v>718</v>
      </c>
      <c r="K726" s="29" t="s">
        <v>986</v>
      </c>
      <c r="L726" s="55" t="s">
        <v>571</v>
      </c>
      <c r="M726" s="29" t="s">
        <v>727</v>
      </c>
      <c r="N726" s="29" t="s">
        <v>973</v>
      </c>
      <c r="O726" s="9" t="s">
        <v>73</v>
      </c>
      <c r="P726" s="9" t="s">
        <v>76</v>
      </c>
      <c r="Q726" s="28"/>
      <c r="R726" s="29"/>
      <c r="S726" s="9"/>
      <c r="T726" s="9"/>
      <c r="U726" s="9" t="s">
        <v>75</v>
      </c>
      <c r="V726" s="9" t="s">
        <v>75</v>
      </c>
      <c r="W726" s="9"/>
    </row>
    <row r="727" spans="1:23" s="12" customFormat="1">
      <c r="A727" s="46" t="s">
        <v>572</v>
      </c>
      <c r="B727" s="28" t="s">
        <v>1333</v>
      </c>
      <c r="C727" s="28" t="s">
        <v>2330</v>
      </c>
      <c r="D727" s="28" t="s">
        <v>2465</v>
      </c>
      <c r="E727" s="28" t="s">
        <v>2512</v>
      </c>
      <c r="F727" s="31" t="s">
        <v>2207</v>
      </c>
      <c r="G727" s="31" t="s">
        <v>2207</v>
      </c>
      <c r="H727" s="31" t="s">
        <v>592</v>
      </c>
      <c r="I727" s="28" t="str">
        <f>VLOOKUP(E727,표준용어사전!$C$2:$D$494, 2, FALSE)</f>
        <v>코드C4</v>
      </c>
      <c r="J727" s="28" t="s">
        <v>709</v>
      </c>
      <c r="K727" s="29">
        <v>4</v>
      </c>
      <c r="L727" s="55" t="s">
        <v>571</v>
      </c>
      <c r="M727" s="29" t="s">
        <v>929</v>
      </c>
      <c r="N727" s="29" t="s">
        <v>973</v>
      </c>
      <c r="O727" s="28" t="s">
        <v>74</v>
      </c>
      <c r="P727" s="28" t="s">
        <v>76</v>
      </c>
      <c r="Q727" s="28"/>
      <c r="R727" s="29"/>
      <c r="S727" s="28"/>
      <c r="T727" s="28"/>
      <c r="U727" s="9" t="s">
        <v>75</v>
      </c>
      <c r="V727" s="9" t="s">
        <v>75</v>
      </c>
      <c r="W727" s="28"/>
    </row>
    <row r="728" spans="1:23" s="12" customFormat="1">
      <c r="A728" s="46" t="s">
        <v>572</v>
      </c>
      <c r="B728" s="28" t="s">
        <v>1333</v>
      </c>
      <c r="C728" s="28" t="s">
        <v>2330</v>
      </c>
      <c r="D728" s="9" t="s">
        <v>2465</v>
      </c>
      <c r="E728" s="28" t="s">
        <v>2511</v>
      </c>
      <c r="F728" s="31" t="s">
        <v>580</v>
      </c>
      <c r="G728" s="31" t="s">
        <v>580</v>
      </c>
      <c r="H728" s="31" t="s">
        <v>592</v>
      </c>
      <c r="I728" s="28" t="str">
        <f>VLOOKUP(E728,표준용어사전!$C$2:$D$494, 2, FALSE)</f>
        <v>명V20</v>
      </c>
      <c r="J728" s="28" t="s">
        <v>718</v>
      </c>
      <c r="K728" s="29" t="s">
        <v>986</v>
      </c>
      <c r="L728" s="55" t="s">
        <v>571</v>
      </c>
      <c r="M728" s="29" t="s">
        <v>727</v>
      </c>
      <c r="N728" s="10" t="s">
        <v>973</v>
      </c>
      <c r="O728" s="9" t="s">
        <v>624</v>
      </c>
      <c r="P728" s="9" t="s">
        <v>76</v>
      </c>
      <c r="Q728" s="28"/>
      <c r="R728" s="29"/>
      <c r="S728" s="9"/>
      <c r="T728" s="9"/>
      <c r="U728" s="9" t="s">
        <v>75</v>
      </c>
      <c r="V728" s="9" t="s">
        <v>75</v>
      </c>
      <c r="W728" s="9"/>
    </row>
    <row r="729" spans="1:23" s="12" customFormat="1">
      <c r="A729" s="46" t="s">
        <v>572</v>
      </c>
      <c r="B729" s="28" t="s">
        <v>1333</v>
      </c>
      <c r="C729" s="28" t="s">
        <v>2330</v>
      </c>
      <c r="D729" s="9" t="s">
        <v>2465</v>
      </c>
      <c r="E729" s="28" t="s">
        <v>90</v>
      </c>
      <c r="F729" s="31" t="s">
        <v>14</v>
      </c>
      <c r="G729" s="31" t="s">
        <v>14</v>
      </c>
      <c r="H729" s="31" t="s">
        <v>592</v>
      </c>
      <c r="I729" s="28" t="str">
        <f>VLOOKUP(E729,표준용어사전!$C$2:$D$494, 2, FALSE)</f>
        <v>연월일시분초TS</v>
      </c>
      <c r="J729" s="28" t="s">
        <v>719</v>
      </c>
      <c r="K729" s="29" t="s">
        <v>571</v>
      </c>
      <c r="L729" s="55" t="s">
        <v>571</v>
      </c>
      <c r="M729" s="29" t="s">
        <v>726</v>
      </c>
      <c r="N729" s="10" t="s">
        <v>973</v>
      </c>
      <c r="O729" s="9"/>
      <c r="P729" s="9" t="s">
        <v>76</v>
      </c>
      <c r="Q729" s="28"/>
      <c r="R729" s="29"/>
      <c r="S729" s="9"/>
      <c r="T729" s="9"/>
      <c r="U729" s="9" t="s">
        <v>75</v>
      </c>
      <c r="V729" s="9" t="s">
        <v>75</v>
      </c>
      <c r="W729" s="9"/>
    </row>
    <row r="730" spans="1:23" s="12" customFormat="1">
      <c r="A730" s="46" t="s">
        <v>572</v>
      </c>
      <c r="B730" s="28" t="s">
        <v>1333</v>
      </c>
      <c r="C730" s="28" t="s">
        <v>2330</v>
      </c>
      <c r="D730" s="9" t="s">
        <v>2465</v>
      </c>
      <c r="E730" s="28" t="s">
        <v>91</v>
      </c>
      <c r="F730" s="31" t="s">
        <v>369</v>
      </c>
      <c r="G730" s="31" t="s">
        <v>369</v>
      </c>
      <c r="H730" s="31" t="s">
        <v>592</v>
      </c>
      <c r="I730" s="28" t="str">
        <f>VLOOKUP(E730,표준용어사전!$C$2:$D$494, 2, FALSE)</f>
        <v>명V20</v>
      </c>
      <c r="J730" s="28" t="s">
        <v>718</v>
      </c>
      <c r="K730" s="29" t="s">
        <v>986</v>
      </c>
      <c r="L730" s="55" t="s">
        <v>571</v>
      </c>
      <c r="M730" s="29" t="s">
        <v>727</v>
      </c>
      <c r="N730" s="29" t="s">
        <v>75</v>
      </c>
      <c r="O730" s="9"/>
      <c r="P730" s="9" t="s">
        <v>76</v>
      </c>
      <c r="Q730" s="28"/>
      <c r="R730" s="29"/>
      <c r="S730" s="9"/>
      <c r="T730" s="9"/>
      <c r="U730" s="9" t="s">
        <v>75</v>
      </c>
      <c r="V730" s="9" t="s">
        <v>75</v>
      </c>
      <c r="W730" s="9"/>
    </row>
    <row r="731" spans="1:23" s="12" customFormat="1">
      <c r="A731" s="46" t="s">
        <v>572</v>
      </c>
      <c r="B731" s="28" t="s">
        <v>1333</v>
      </c>
      <c r="C731" s="28" t="s">
        <v>2330</v>
      </c>
      <c r="D731" s="9" t="s">
        <v>2465</v>
      </c>
      <c r="E731" s="28" t="s">
        <v>92</v>
      </c>
      <c r="F731" s="31" t="s">
        <v>15</v>
      </c>
      <c r="G731" s="31" t="s">
        <v>15</v>
      </c>
      <c r="H731" s="31" t="s">
        <v>592</v>
      </c>
      <c r="I731" s="28" t="str">
        <f>VLOOKUP(E731,표준용어사전!$C$2:$D$494, 2, FALSE)</f>
        <v>연월일시분초TS</v>
      </c>
      <c r="J731" s="28" t="s">
        <v>719</v>
      </c>
      <c r="K731" s="29" t="s">
        <v>571</v>
      </c>
      <c r="L731" s="55" t="s">
        <v>571</v>
      </c>
      <c r="M731" s="29" t="s">
        <v>726</v>
      </c>
      <c r="N731" s="10" t="s">
        <v>75</v>
      </c>
      <c r="O731" s="9"/>
      <c r="P731" s="9" t="s">
        <v>76</v>
      </c>
      <c r="Q731" s="28"/>
      <c r="R731" s="29"/>
      <c r="S731" s="9"/>
      <c r="T731" s="9"/>
      <c r="U731" s="9" t="s">
        <v>75</v>
      </c>
      <c r="V731" s="9" t="s">
        <v>75</v>
      </c>
      <c r="W731" s="9"/>
    </row>
    <row r="732" spans="1:23" s="12" customFormat="1">
      <c r="A732" s="46" t="s">
        <v>572</v>
      </c>
      <c r="B732" s="28" t="s">
        <v>1333</v>
      </c>
      <c r="C732" s="28" t="s">
        <v>2330</v>
      </c>
      <c r="D732" s="28" t="s">
        <v>2465</v>
      </c>
      <c r="E732" s="28" t="s">
        <v>93</v>
      </c>
      <c r="F732" s="31" t="s">
        <v>370</v>
      </c>
      <c r="G732" s="31" t="s">
        <v>370</v>
      </c>
      <c r="H732" s="31" t="s">
        <v>592</v>
      </c>
      <c r="I732" s="28" t="str">
        <f>VLOOKUP(E732,표준용어사전!$C$2:$D$494, 2, FALSE)</f>
        <v>명V20</v>
      </c>
      <c r="J732" s="28" t="s">
        <v>718</v>
      </c>
      <c r="K732" s="29" t="s">
        <v>986</v>
      </c>
      <c r="L732" s="55" t="s">
        <v>571</v>
      </c>
      <c r="M732" s="29" t="s">
        <v>727</v>
      </c>
      <c r="N732" s="10" t="s">
        <v>75</v>
      </c>
      <c r="O732" s="9"/>
      <c r="P732" s="9" t="s">
        <v>76</v>
      </c>
      <c r="Q732" s="28"/>
      <c r="R732" s="29"/>
      <c r="S732" s="9"/>
      <c r="T732" s="9"/>
      <c r="U732" s="9" t="s">
        <v>75</v>
      </c>
      <c r="V732" s="9" t="s">
        <v>75</v>
      </c>
      <c r="W732" s="9"/>
    </row>
    <row r="733" spans="1:23" s="12" customFormat="1">
      <c r="A733" s="46" t="s">
        <v>572</v>
      </c>
      <c r="B733" s="28" t="s">
        <v>1333</v>
      </c>
      <c r="C733" s="28" t="s">
        <v>2330</v>
      </c>
      <c r="D733" s="9" t="s">
        <v>2465</v>
      </c>
      <c r="E733" s="28" t="s">
        <v>2201</v>
      </c>
      <c r="F733" s="31" t="s">
        <v>1546</v>
      </c>
      <c r="G733" s="31" t="s">
        <v>1546</v>
      </c>
      <c r="H733" s="31" t="s">
        <v>592</v>
      </c>
      <c r="I733" s="28" t="str">
        <f>VLOOKUP(E733,표준용어사전!$C$2:$D$494, 2, FALSE)</f>
        <v>수N10,3</v>
      </c>
      <c r="J733" s="28" t="s">
        <v>748</v>
      </c>
      <c r="K733" s="29" t="s">
        <v>1061</v>
      </c>
      <c r="L733" s="55" t="s">
        <v>980</v>
      </c>
      <c r="M733" s="29" t="s">
        <v>2593</v>
      </c>
      <c r="N733" s="10" t="s">
        <v>75</v>
      </c>
      <c r="O733" s="9"/>
      <c r="P733" s="9" t="s">
        <v>76</v>
      </c>
      <c r="Q733" s="28"/>
      <c r="R733" s="29"/>
      <c r="S733" s="9"/>
      <c r="T733" s="9"/>
      <c r="U733" s="9" t="s">
        <v>75</v>
      </c>
      <c r="V733" s="9" t="s">
        <v>75</v>
      </c>
      <c r="W733" s="9"/>
    </row>
    <row r="734" spans="1:23" s="12" customFormat="1">
      <c r="A734" s="46" t="s">
        <v>572</v>
      </c>
      <c r="B734" s="28" t="s">
        <v>1333</v>
      </c>
      <c r="C734" s="28" t="s">
        <v>2330</v>
      </c>
      <c r="D734" s="9" t="s">
        <v>2466</v>
      </c>
      <c r="E734" s="28" t="s">
        <v>2034</v>
      </c>
      <c r="F734" s="31" t="s">
        <v>458</v>
      </c>
      <c r="G734" s="31" t="s">
        <v>458</v>
      </c>
      <c r="H734" s="31" t="s">
        <v>216</v>
      </c>
      <c r="I734" s="28" t="str">
        <f>VLOOKUP(E734,표준용어사전!$C$2:$D$494, 2, FALSE)</f>
        <v>번호I</v>
      </c>
      <c r="J734" s="28" t="s">
        <v>717</v>
      </c>
      <c r="K734" s="29" t="s">
        <v>571</v>
      </c>
      <c r="L734" s="55" t="s">
        <v>571</v>
      </c>
      <c r="M734" s="29" t="s">
        <v>2591</v>
      </c>
      <c r="N734" s="10" t="s">
        <v>973</v>
      </c>
      <c r="O734" s="9" t="s">
        <v>73</v>
      </c>
      <c r="P734" s="9" t="s">
        <v>76</v>
      </c>
      <c r="Q734" s="28"/>
      <c r="R734" s="29"/>
      <c r="S734" s="9"/>
      <c r="T734" s="9"/>
      <c r="U734" s="9" t="s">
        <v>75</v>
      </c>
      <c r="V734" s="9" t="s">
        <v>75</v>
      </c>
      <c r="W734" s="9"/>
    </row>
    <row r="735" spans="1:23" s="12" customFormat="1">
      <c r="A735" s="46" t="s">
        <v>572</v>
      </c>
      <c r="B735" s="28" t="s">
        <v>1333</v>
      </c>
      <c r="C735" s="28" t="s">
        <v>2330</v>
      </c>
      <c r="D735" s="28" t="s">
        <v>2466</v>
      </c>
      <c r="E735" s="28" t="s">
        <v>202</v>
      </c>
      <c r="F735" s="31" t="s">
        <v>451</v>
      </c>
      <c r="G735" s="31" t="s">
        <v>451</v>
      </c>
      <c r="H735" s="31" t="s">
        <v>216</v>
      </c>
      <c r="I735" s="28" t="str">
        <f>VLOOKUP(E735,표준용어사전!$C$2:$D$494, 2, FALSE)</f>
        <v>명V20</v>
      </c>
      <c r="J735" s="28" t="s">
        <v>718</v>
      </c>
      <c r="K735" s="29" t="s">
        <v>986</v>
      </c>
      <c r="L735" s="55" t="s">
        <v>571</v>
      </c>
      <c r="M735" s="29" t="s">
        <v>727</v>
      </c>
      <c r="N735" s="29" t="s">
        <v>973</v>
      </c>
      <c r="O735" s="28" t="s">
        <v>74</v>
      </c>
      <c r="P735" s="28" t="s">
        <v>76</v>
      </c>
      <c r="Q735" s="28"/>
      <c r="R735" s="29"/>
      <c r="S735" s="28"/>
      <c r="T735" s="28"/>
      <c r="U735" s="9" t="s">
        <v>75</v>
      </c>
      <c r="V735" s="9" t="s">
        <v>75</v>
      </c>
      <c r="W735" s="28"/>
    </row>
    <row r="736" spans="1:23" s="12" customFormat="1">
      <c r="A736" s="46" t="s">
        <v>572</v>
      </c>
      <c r="B736" s="28" t="s">
        <v>1333</v>
      </c>
      <c r="C736" s="28" t="s">
        <v>2330</v>
      </c>
      <c r="D736" s="9" t="s">
        <v>2466</v>
      </c>
      <c r="E736" s="28" t="s">
        <v>2035</v>
      </c>
      <c r="F736" s="31" t="s">
        <v>749</v>
      </c>
      <c r="G736" s="31" t="s">
        <v>749</v>
      </c>
      <c r="H736" s="31" t="s">
        <v>216</v>
      </c>
      <c r="I736" s="28" t="str">
        <f>VLOOKUP(E736,표준용어사전!$C$2:$D$494, 2, FALSE)</f>
        <v>명TXT</v>
      </c>
      <c r="J736" s="28" t="s">
        <v>713</v>
      </c>
      <c r="K736" s="29" t="s">
        <v>571</v>
      </c>
      <c r="L736" s="55" t="s">
        <v>571</v>
      </c>
      <c r="M736" s="29" t="s">
        <v>2590</v>
      </c>
      <c r="N736" s="10" t="s">
        <v>75</v>
      </c>
      <c r="O736" s="9"/>
      <c r="P736" s="9" t="s">
        <v>76</v>
      </c>
      <c r="Q736" s="28"/>
      <c r="R736" s="29"/>
      <c r="S736" s="9"/>
      <c r="T736" s="9"/>
      <c r="U736" s="9" t="s">
        <v>75</v>
      </c>
      <c r="V736" s="9" t="s">
        <v>75</v>
      </c>
      <c r="W736" s="9"/>
    </row>
    <row r="737" spans="1:23" s="12" customFormat="1">
      <c r="A737" s="46" t="s">
        <v>572</v>
      </c>
      <c r="B737" s="28" t="s">
        <v>1333</v>
      </c>
      <c r="C737" s="28" t="s">
        <v>2330</v>
      </c>
      <c r="D737" s="28" t="s">
        <v>2466</v>
      </c>
      <c r="E737" s="28" t="s">
        <v>90</v>
      </c>
      <c r="F737" s="31" t="s">
        <v>14</v>
      </c>
      <c r="G737" s="31" t="s">
        <v>14</v>
      </c>
      <c r="H737" s="31" t="s">
        <v>216</v>
      </c>
      <c r="I737" s="28" t="str">
        <f>VLOOKUP(E737,표준용어사전!$C$2:$D$494, 2, FALSE)</f>
        <v>연월일시분초TS</v>
      </c>
      <c r="J737" s="28" t="s">
        <v>719</v>
      </c>
      <c r="K737" s="29" t="s">
        <v>571</v>
      </c>
      <c r="L737" s="55" t="s">
        <v>571</v>
      </c>
      <c r="M737" s="29" t="s">
        <v>726</v>
      </c>
      <c r="N737" s="29" t="s">
        <v>973</v>
      </c>
      <c r="O737" s="28"/>
      <c r="P737" s="28" t="s">
        <v>76</v>
      </c>
      <c r="Q737" s="28"/>
      <c r="R737" s="29"/>
      <c r="S737" s="28"/>
      <c r="T737" s="9"/>
      <c r="U737" s="9" t="s">
        <v>75</v>
      </c>
      <c r="V737" s="9" t="s">
        <v>75</v>
      </c>
      <c r="W737" s="28"/>
    </row>
    <row r="738" spans="1:23" s="12" customFormat="1">
      <c r="A738" s="46" t="s">
        <v>572</v>
      </c>
      <c r="B738" s="28" t="s">
        <v>1333</v>
      </c>
      <c r="C738" s="28" t="s">
        <v>2330</v>
      </c>
      <c r="D738" s="9" t="s">
        <v>2466</v>
      </c>
      <c r="E738" s="28" t="s">
        <v>91</v>
      </c>
      <c r="F738" s="31" t="s">
        <v>369</v>
      </c>
      <c r="G738" s="31" t="s">
        <v>369</v>
      </c>
      <c r="H738" s="31" t="s">
        <v>216</v>
      </c>
      <c r="I738" s="28" t="str">
        <f>VLOOKUP(E738,표준용어사전!$C$2:$D$494, 2, FALSE)</f>
        <v>명V20</v>
      </c>
      <c r="J738" s="28" t="s">
        <v>718</v>
      </c>
      <c r="K738" s="29" t="s">
        <v>986</v>
      </c>
      <c r="L738" s="55" t="s">
        <v>571</v>
      </c>
      <c r="M738" s="29" t="s">
        <v>727</v>
      </c>
      <c r="N738" s="10" t="s">
        <v>75</v>
      </c>
      <c r="O738" s="9"/>
      <c r="P738" s="9" t="s">
        <v>76</v>
      </c>
      <c r="Q738" s="28"/>
      <c r="R738" s="29"/>
      <c r="S738" s="9"/>
      <c r="T738" s="9"/>
      <c r="U738" s="9" t="s">
        <v>75</v>
      </c>
      <c r="V738" s="9" t="s">
        <v>75</v>
      </c>
      <c r="W738" s="9"/>
    </row>
    <row r="739" spans="1:23" s="12" customFormat="1">
      <c r="A739" s="46" t="s">
        <v>572</v>
      </c>
      <c r="B739" s="28" t="s">
        <v>1333</v>
      </c>
      <c r="C739" s="28" t="s">
        <v>2330</v>
      </c>
      <c r="D739" s="28" t="s">
        <v>2466</v>
      </c>
      <c r="E739" s="28" t="s">
        <v>92</v>
      </c>
      <c r="F739" s="31" t="s">
        <v>15</v>
      </c>
      <c r="G739" s="31" t="s">
        <v>15</v>
      </c>
      <c r="H739" s="31" t="s">
        <v>216</v>
      </c>
      <c r="I739" s="28" t="str">
        <f>VLOOKUP(E739,표준용어사전!$C$2:$D$494, 2, FALSE)</f>
        <v>연월일시분초TS</v>
      </c>
      <c r="J739" s="28" t="s">
        <v>719</v>
      </c>
      <c r="K739" s="29" t="s">
        <v>571</v>
      </c>
      <c r="L739" s="55" t="s">
        <v>571</v>
      </c>
      <c r="M739" s="29" t="s">
        <v>726</v>
      </c>
      <c r="N739" s="29" t="s">
        <v>75</v>
      </c>
      <c r="O739" s="28"/>
      <c r="P739" s="28" t="s">
        <v>76</v>
      </c>
      <c r="Q739" s="28"/>
      <c r="R739" s="29"/>
      <c r="S739" s="28"/>
      <c r="T739" s="28"/>
      <c r="U739" s="9" t="s">
        <v>75</v>
      </c>
      <c r="V739" s="9" t="s">
        <v>75</v>
      </c>
      <c r="W739" s="28"/>
    </row>
    <row r="740" spans="1:23" s="12" customFormat="1">
      <c r="A740" s="46" t="s">
        <v>572</v>
      </c>
      <c r="B740" s="28" t="s">
        <v>1333</v>
      </c>
      <c r="C740" s="28" t="s">
        <v>2330</v>
      </c>
      <c r="D740" s="9" t="s">
        <v>2466</v>
      </c>
      <c r="E740" s="28" t="s">
        <v>93</v>
      </c>
      <c r="F740" s="31" t="s">
        <v>370</v>
      </c>
      <c r="G740" s="31" t="s">
        <v>370</v>
      </c>
      <c r="H740" s="31" t="s">
        <v>216</v>
      </c>
      <c r="I740" s="28" t="str">
        <f>VLOOKUP(E740,표준용어사전!$C$2:$D$494, 2, FALSE)</f>
        <v>명V20</v>
      </c>
      <c r="J740" s="28" t="s">
        <v>718</v>
      </c>
      <c r="K740" s="29" t="s">
        <v>986</v>
      </c>
      <c r="L740" s="55" t="s">
        <v>571</v>
      </c>
      <c r="M740" s="29" t="s">
        <v>727</v>
      </c>
      <c r="N740" s="10" t="s">
        <v>75</v>
      </c>
      <c r="O740" s="9"/>
      <c r="P740" s="9" t="s">
        <v>76</v>
      </c>
      <c r="Q740" s="28"/>
      <c r="R740" s="29"/>
      <c r="S740" s="9"/>
      <c r="T740" s="9"/>
      <c r="U740" s="9" t="s">
        <v>75</v>
      </c>
      <c r="V740" s="9" t="s">
        <v>75</v>
      </c>
      <c r="W740" s="9"/>
    </row>
    <row r="741" spans="1:23" s="12" customFormat="1">
      <c r="A741" s="46" t="s">
        <v>572</v>
      </c>
      <c r="B741" s="28" t="s">
        <v>1334</v>
      </c>
      <c r="C741" s="28" t="s">
        <v>2330</v>
      </c>
      <c r="D741" s="28" t="s">
        <v>664</v>
      </c>
      <c r="E741" s="28" t="s">
        <v>833</v>
      </c>
      <c r="F741" s="31" t="s">
        <v>1418</v>
      </c>
      <c r="G741" s="31" t="s">
        <v>1418</v>
      </c>
      <c r="H741" s="31" t="s">
        <v>695</v>
      </c>
      <c r="I741" s="28" t="str">
        <f>VLOOKUP(E741,표준용어사전!$C$2:$D$494, 2, FALSE)</f>
        <v>번호N10</v>
      </c>
      <c r="J741" s="28" t="s">
        <v>748</v>
      </c>
      <c r="K741" s="29">
        <v>10</v>
      </c>
      <c r="L741" s="55" t="s">
        <v>571</v>
      </c>
      <c r="M741" s="29" t="s">
        <v>2592</v>
      </c>
      <c r="N741" s="29" t="s">
        <v>973</v>
      </c>
      <c r="O741" s="28" t="s">
        <v>73</v>
      </c>
      <c r="P741" s="28" t="s">
        <v>76</v>
      </c>
      <c r="Q741" s="28"/>
      <c r="R741" s="29"/>
      <c r="S741" s="28"/>
      <c r="T741" s="9"/>
      <c r="U741" s="9" t="s">
        <v>75</v>
      </c>
      <c r="V741" s="9" t="s">
        <v>75</v>
      </c>
      <c r="W741" s="28"/>
    </row>
    <row r="742" spans="1:23" s="12" customFormat="1">
      <c r="A742" s="46" t="s">
        <v>572</v>
      </c>
      <c r="B742" s="28" t="s">
        <v>1334</v>
      </c>
      <c r="C742" s="28" t="s">
        <v>2330</v>
      </c>
      <c r="D742" s="9" t="s">
        <v>664</v>
      </c>
      <c r="E742" s="28" t="s">
        <v>364</v>
      </c>
      <c r="F742" s="31" t="s">
        <v>566</v>
      </c>
      <c r="G742" s="31" t="s">
        <v>566</v>
      </c>
      <c r="H742" s="31" t="s">
        <v>695</v>
      </c>
      <c r="I742" s="28" t="str">
        <f>VLOOKUP(E742,표준용어사전!$C$2:$D$494, 2, FALSE)</f>
        <v>명V20</v>
      </c>
      <c r="J742" s="28" t="s">
        <v>718</v>
      </c>
      <c r="K742" s="29" t="s">
        <v>986</v>
      </c>
      <c r="L742" s="55" t="s">
        <v>571</v>
      </c>
      <c r="M742" s="29" t="s">
        <v>727</v>
      </c>
      <c r="N742" s="10" t="s">
        <v>973</v>
      </c>
      <c r="O742" s="9"/>
      <c r="P742" s="9" t="s">
        <v>76</v>
      </c>
      <c r="Q742" s="28"/>
      <c r="R742" s="29"/>
      <c r="S742" s="9"/>
      <c r="T742" s="9"/>
      <c r="U742" s="9" t="s">
        <v>75</v>
      </c>
      <c r="V742" s="9" t="s">
        <v>75</v>
      </c>
      <c r="W742" s="9"/>
    </row>
    <row r="743" spans="1:23" s="12" customFormat="1">
      <c r="A743" s="46" t="s">
        <v>572</v>
      </c>
      <c r="B743" s="28" t="s">
        <v>1334</v>
      </c>
      <c r="C743" s="28" t="s">
        <v>2330</v>
      </c>
      <c r="D743" s="9" t="s">
        <v>664</v>
      </c>
      <c r="E743" s="28" t="s">
        <v>639</v>
      </c>
      <c r="F743" s="31" t="s">
        <v>2397</v>
      </c>
      <c r="G743" s="31" t="s">
        <v>2397</v>
      </c>
      <c r="H743" s="31" t="s">
        <v>695</v>
      </c>
      <c r="I743" s="28" t="str">
        <f>VLOOKUP(E743,표준용어사전!$C$2:$D$494, 2, FALSE)</f>
        <v>코드C4</v>
      </c>
      <c r="J743" s="28" t="s">
        <v>709</v>
      </c>
      <c r="K743" s="29">
        <v>4</v>
      </c>
      <c r="L743" s="55" t="s">
        <v>571</v>
      </c>
      <c r="M743" s="29" t="s">
        <v>929</v>
      </c>
      <c r="N743" s="10" t="s">
        <v>75</v>
      </c>
      <c r="O743" s="9"/>
      <c r="P743" s="9" t="s">
        <v>76</v>
      </c>
      <c r="Q743" s="28"/>
      <c r="R743" s="29"/>
      <c r="S743" s="9"/>
      <c r="T743" s="9"/>
      <c r="U743" s="9" t="s">
        <v>75</v>
      </c>
      <c r="V743" s="9" t="s">
        <v>75</v>
      </c>
      <c r="W743" s="9"/>
    </row>
    <row r="744" spans="1:23" s="12" customFormat="1">
      <c r="A744" s="46" t="s">
        <v>572</v>
      </c>
      <c r="B744" s="28" t="s">
        <v>1334</v>
      </c>
      <c r="C744" s="28" t="s">
        <v>2330</v>
      </c>
      <c r="D744" s="9" t="s">
        <v>664</v>
      </c>
      <c r="E744" s="28" t="s">
        <v>2033</v>
      </c>
      <c r="F744" s="31" t="s">
        <v>745</v>
      </c>
      <c r="G744" s="31" t="s">
        <v>745</v>
      </c>
      <c r="H744" s="31" t="s">
        <v>695</v>
      </c>
      <c r="I744" s="28" t="str">
        <f>VLOOKUP(E744,표준용어사전!$C$2:$D$494, 2, FALSE)</f>
        <v>코드C2</v>
      </c>
      <c r="J744" s="28" t="s">
        <v>709</v>
      </c>
      <c r="K744" s="29">
        <v>2</v>
      </c>
      <c r="L744" s="55" t="s">
        <v>571</v>
      </c>
      <c r="M744" s="29" t="s">
        <v>766</v>
      </c>
      <c r="N744" s="10" t="s">
        <v>75</v>
      </c>
      <c r="O744" s="9"/>
      <c r="P744" s="9" t="s">
        <v>76</v>
      </c>
      <c r="Q744" s="28"/>
      <c r="R744" s="29"/>
      <c r="S744" s="9"/>
      <c r="T744" s="9"/>
      <c r="U744" s="9" t="s">
        <v>75</v>
      </c>
      <c r="V744" s="9" t="s">
        <v>75</v>
      </c>
      <c r="W744" s="9"/>
    </row>
    <row r="745" spans="1:23" s="12" customFormat="1">
      <c r="A745" s="46" t="s">
        <v>572</v>
      </c>
      <c r="B745" s="28" t="s">
        <v>1334</v>
      </c>
      <c r="C745" s="28" t="s">
        <v>2330</v>
      </c>
      <c r="D745" s="9" t="s">
        <v>664</v>
      </c>
      <c r="E745" s="28" t="s">
        <v>2697</v>
      </c>
      <c r="F745" s="31" t="s">
        <v>1543</v>
      </c>
      <c r="G745" s="31" t="s">
        <v>1543</v>
      </c>
      <c r="H745" s="31" t="s">
        <v>695</v>
      </c>
      <c r="I745" s="28" t="str">
        <f>VLOOKUP(E745,표준용어사전!$C$2:$D$494, 2, FALSE)</f>
        <v>명V40</v>
      </c>
      <c r="J745" s="28" t="s">
        <v>718</v>
      </c>
      <c r="K745" s="29" t="s">
        <v>2696</v>
      </c>
      <c r="L745" s="55" t="s">
        <v>571</v>
      </c>
      <c r="M745" s="29" t="s">
        <v>1051</v>
      </c>
      <c r="N745" s="10" t="s">
        <v>75</v>
      </c>
      <c r="O745" s="9"/>
      <c r="P745" s="9" t="s">
        <v>76</v>
      </c>
      <c r="Q745" s="28"/>
      <c r="R745" s="29"/>
      <c r="S745" s="9"/>
      <c r="T745" s="9"/>
      <c r="U745" s="9" t="s">
        <v>75</v>
      </c>
      <c r="V745" s="9" t="s">
        <v>75</v>
      </c>
      <c r="W745" s="9"/>
    </row>
    <row r="746" spans="1:23" s="12" customFormat="1">
      <c r="A746" s="46" t="s">
        <v>572</v>
      </c>
      <c r="B746" s="28" t="s">
        <v>1334</v>
      </c>
      <c r="C746" s="28" t="s">
        <v>2330</v>
      </c>
      <c r="D746" s="9" t="s">
        <v>664</v>
      </c>
      <c r="E746" s="28" t="s">
        <v>835</v>
      </c>
      <c r="F746" s="31" t="s">
        <v>747</v>
      </c>
      <c r="G746" s="31" t="s">
        <v>747</v>
      </c>
      <c r="H746" s="31" t="s">
        <v>695</v>
      </c>
      <c r="I746" s="28" t="str">
        <f>VLOOKUP(E746,표준용어사전!$C$2:$D$494, 2, FALSE)</f>
        <v>내용V2000</v>
      </c>
      <c r="J746" s="28" t="s">
        <v>718</v>
      </c>
      <c r="K746" s="29">
        <v>2000</v>
      </c>
      <c r="L746" s="55" t="s">
        <v>571</v>
      </c>
      <c r="M746" s="29" t="s">
        <v>728</v>
      </c>
      <c r="N746" s="10" t="s">
        <v>75</v>
      </c>
      <c r="O746" s="9"/>
      <c r="P746" s="9" t="s">
        <v>76</v>
      </c>
      <c r="Q746" s="28"/>
      <c r="R746" s="29"/>
      <c r="S746" s="9"/>
      <c r="T746" s="9"/>
      <c r="U746" s="9" t="s">
        <v>75</v>
      </c>
      <c r="V746" s="9" t="s">
        <v>75</v>
      </c>
      <c r="W746" s="9"/>
    </row>
    <row r="747" spans="1:23" s="12" customFormat="1">
      <c r="A747" s="46" t="s">
        <v>572</v>
      </c>
      <c r="B747" s="28" t="s">
        <v>1334</v>
      </c>
      <c r="C747" s="28" t="s">
        <v>2330</v>
      </c>
      <c r="D747" s="9" t="s">
        <v>664</v>
      </c>
      <c r="E747" s="28" t="s">
        <v>90</v>
      </c>
      <c r="F747" s="31" t="s">
        <v>14</v>
      </c>
      <c r="G747" s="31" t="s">
        <v>14</v>
      </c>
      <c r="H747" s="31" t="s">
        <v>695</v>
      </c>
      <c r="I747" s="28" t="str">
        <f>VLOOKUP(E747,표준용어사전!$C$2:$D$494, 2, FALSE)</f>
        <v>연월일시분초TS</v>
      </c>
      <c r="J747" s="28" t="s">
        <v>719</v>
      </c>
      <c r="K747" s="29" t="s">
        <v>571</v>
      </c>
      <c r="L747" s="55" t="s">
        <v>571</v>
      </c>
      <c r="M747" s="29" t="s">
        <v>726</v>
      </c>
      <c r="N747" s="10" t="s">
        <v>973</v>
      </c>
      <c r="O747" s="9"/>
      <c r="P747" s="9" t="s">
        <v>76</v>
      </c>
      <c r="Q747" s="28"/>
      <c r="R747" s="29"/>
      <c r="S747" s="9"/>
      <c r="T747" s="9"/>
      <c r="U747" s="9" t="s">
        <v>75</v>
      </c>
      <c r="V747" s="9" t="s">
        <v>75</v>
      </c>
      <c r="W747" s="9"/>
    </row>
    <row r="748" spans="1:23" s="12" customFormat="1">
      <c r="A748" s="46" t="s">
        <v>572</v>
      </c>
      <c r="B748" s="28" t="s">
        <v>1334</v>
      </c>
      <c r="C748" s="28" t="s">
        <v>2330</v>
      </c>
      <c r="D748" s="9" t="s">
        <v>664</v>
      </c>
      <c r="E748" s="28" t="s">
        <v>91</v>
      </c>
      <c r="F748" s="31" t="s">
        <v>369</v>
      </c>
      <c r="G748" s="31" t="s">
        <v>369</v>
      </c>
      <c r="H748" s="31" t="s">
        <v>695</v>
      </c>
      <c r="I748" s="28" t="str">
        <f>VLOOKUP(E748,표준용어사전!$C$2:$D$494, 2, FALSE)</f>
        <v>명V20</v>
      </c>
      <c r="J748" s="28" t="s">
        <v>718</v>
      </c>
      <c r="K748" s="29" t="s">
        <v>986</v>
      </c>
      <c r="L748" s="55" t="s">
        <v>571</v>
      </c>
      <c r="M748" s="29" t="s">
        <v>727</v>
      </c>
      <c r="N748" s="10" t="s">
        <v>75</v>
      </c>
      <c r="O748" s="9"/>
      <c r="P748" s="9" t="s">
        <v>76</v>
      </c>
      <c r="Q748" s="28"/>
      <c r="R748" s="29"/>
      <c r="S748" s="9"/>
      <c r="T748" s="9"/>
      <c r="U748" s="9" t="s">
        <v>75</v>
      </c>
      <c r="V748" s="9" t="s">
        <v>75</v>
      </c>
      <c r="W748" s="9"/>
    </row>
    <row r="749" spans="1:23" s="12" customFormat="1">
      <c r="A749" s="46" t="s">
        <v>572</v>
      </c>
      <c r="B749" s="28" t="s">
        <v>1334</v>
      </c>
      <c r="C749" s="28" t="s">
        <v>2330</v>
      </c>
      <c r="D749" s="28" t="s">
        <v>363</v>
      </c>
      <c r="E749" s="28" t="s">
        <v>364</v>
      </c>
      <c r="F749" s="31" t="s">
        <v>566</v>
      </c>
      <c r="G749" s="31" t="s">
        <v>566</v>
      </c>
      <c r="H749" s="31" t="s">
        <v>365</v>
      </c>
      <c r="I749" s="28" t="str">
        <f>VLOOKUP(E749,표준용어사전!$C$2:$D$494, 2, FALSE)</f>
        <v>명V20</v>
      </c>
      <c r="J749" s="28" t="s">
        <v>718</v>
      </c>
      <c r="K749" s="29" t="s">
        <v>986</v>
      </c>
      <c r="L749" s="55" t="s">
        <v>571</v>
      </c>
      <c r="M749" s="29" t="s">
        <v>727</v>
      </c>
      <c r="N749" s="29" t="s">
        <v>973</v>
      </c>
      <c r="O749" s="28" t="s">
        <v>73</v>
      </c>
      <c r="P749" s="28" t="s">
        <v>76</v>
      </c>
      <c r="Q749" s="28"/>
      <c r="R749" s="29"/>
      <c r="S749" s="28"/>
      <c r="T749" s="28"/>
      <c r="U749" s="9" t="s">
        <v>75</v>
      </c>
      <c r="V749" s="9" t="s">
        <v>75</v>
      </c>
      <c r="W749" s="28"/>
    </row>
    <row r="750" spans="1:23" s="12" customFormat="1">
      <c r="A750" s="46" t="s">
        <v>572</v>
      </c>
      <c r="B750" s="28" t="s">
        <v>1334</v>
      </c>
      <c r="C750" s="28" t="s">
        <v>2330</v>
      </c>
      <c r="D750" s="9" t="s">
        <v>363</v>
      </c>
      <c r="E750" s="28" t="s">
        <v>2025</v>
      </c>
      <c r="F750" s="31" t="s">
        <v>567</v>
      </c>
      <c r="G750" s="31" t="s">
        <v>567</v>
      </c>
      <c r="H750" s="31" t="s">
        <v>365</v>
      </c>
      <c r="I750" s="28" t="str">
        <f>VLOOKUP(E750,표준용어사전!$C$2:$D$494, 2, FALSE)</f>
        <v>코드C4</v>
      </c>
      <c r="J750" s="28" t="s">
        <v>709</v>
      </c>
      <c r="K750" s="29">
        <v>4</v>
      </c>
      <c r="L750" s="55" t="s">
        <v>571</v>
      </c>
      <c r="M750" s="29" t="s">
        <v>929</v>
      </c>
      <c r="N750" s="10" t="s">
        <v>973</v>
      </c>
      <c r="O750" s="9"/>
      <c r="P750" s="9" t="s">
        <v>76</v>
      </c>
      <c r="Q750" s="28"/>
      <c r="R750" s="29"/>
      <c r="S750" s="9"/>
      <c r="T750" s="9"/>
      <c r="U750" s="9" t="s">
        <v>75</v>
      </c>
      <c r="V750" s="9" t="s">
        <v>75</v>
      </c>
      <c r="W750" s="9"/>
    </row>
    <row r="751" spans="1:23" s="12" customFormat="1">
      <c r="A751" s="46" t="s">
        <v>572</v>
      </c>
      <c r="B751" s="28" t="s">
        <v>1334</v>
      </c>
      <c r="C751" s="28" t="s">
        <v>2330</v>
      </c>
      <c r="D751" s="9" t="s">
        <v>363</v>
      </c>
      <c r="E751" s="28" t="s">
        <v>2028</v>
      </c>
      <c r="F751" s="31" t="s">
        <v>2027</v>
      </c>
      <c r="G751" s="31" t="s">
        <v>2027</v>
      </c>
      <c r="H751" s="31" t="s">
        <v>365</v>
      </c>
      <c r="I751" s="28" t="str">
        <f>VLOOKUP(E751,표준용어사전!$C$2:$D$494, 2, FALSE)</f>
        <v>명V2000</v>
      </c>
      <c r="J751" s="28" t="s">
        <v>718</v>
      </c>
      <c r="K751" s="29" t="s">
        <v>1062</v>
      </c>
      <c r="L751" s="55" t="s">
        <v>571</v>
      </c>
      <c r="M751" s="29" t="s">
        <v>728</v>
      </c>
      <c r="N751" s="10" t="s">
        <v>973</v>
      </c>
      <c r="O751" s="9"/>
      <c r="P751" s="9" t="s">
        <v>76</v>
      </c>
      <c r="Q751" s="28"/>
      <c r="R751" s="29"/>
      <c r="S751" s="9"/>
      <c r="T751" s="9"/>
      <c r="U751" s="9" t="s">
        <v>75</v>
      </c>
      <c r="V751" s="9" t="s">
        <v>75</v>
      </c>
      <c r="W751" s="9"/>
    </row>
    <row r="752" spans="1:23" s="12" customFormat="1">
      <c r="A752" s="46" t="s">
        <v>572</v>
      </c>
      <c r="B752" s="28" t="s">
        <v>1334</v>
      </c>
      <c r="C752" s="28" t="s">
        <v>2330</v>
      </c>
      <c r="D752" s="9" t="s">
        <v>363</v>
      </c>
      <c r="E752" s="28" t="s">
        <v>367</v>
      </c>
      <c r="F752" s="31" t="s">
        <v>2426</v>
      </c>
      <c r="G752" s="31" t="s">
        <v>2426</v>
      </c>
      <c r="H752" s="31" t="s">
        <v>365</v>
      </c>
      <c r="I752" s="28" t="str">
        <f>VLOOKUP(E752,표준용어사전!$C$2:$D$494, 2, FALSE)</f>
        <v>코드C3</v>
      </c>
      <c r="J752" s="28" t="s">
        <v>709</v>
      </c>
      <c r="K752" s="29">
        <v>3</v>
      </c>
      <c r="L752" s="55" t="s">
        <v>571</v>
      </c>
      <c r="M752" s="29" t="s">
        <v>981</v>
      </c>
      <c r="N752" s="10" t="s">
        <v>973</v>
      </c>
      <c r="O752" s="9"/>
      <c r="P752" s="9" t="s">
        <v>76</v>
      </c>
      <c r="Q752" s="28"/>
      <c r="R752" s="29"/>
      <c r="S752" s="9"/>
      <c r="T752" s="9"/>
      <c r="U752" s="9" t="s">
        <v>75</v>
      </c>
      <c r="V752" s="9" t="s">
        <v>75</v>
      </c>
      <c r="W752" s="9"/>
    </row>
    <row r="753" spans="1:23" s="12" customFormat="1">
      <c r="A753" s="46" t="s">
        <v>572</v>
      </c>
      <c r="B753" s="28" t="s">
        <v>1334</v>
      </c>
      <c r="C753" s="28" t="s">
        <v>2330</v>
      </c>
      <c r="D753" s="9" t="s">
        <v>363</v>
      </c>
      <c r="E753" s="28" t="s">
        <v>368</v>
      </c>
      <c r="F753" s="31" t="s">
        <v>569</v>
      </c>
      <c r="G753" s="31" t="s">
        <v>569</v>
      </c>
      <c r="H753" s="31" t="s">
        <v>365</v>
      </c>
      <c r="I753" s="28" t="str">
        <f>VLOOKUP(E753,표준용어사전!$C$2:$D$494, 2, FALSE)</f>
        <v>여부C1</v>
      </c>
      <c r="J753" s="28" t="s">
        <v>709</v>
      </c>
      <c r="K753" s="29">
        <v>1</v>
      </c>
      <c r="L753" s="55" t="s">
        <v>571</v>
      </c>
      <c r="M753" s="29" t="s">
        <v>722</v>
      </c>
      <c r="N753" s="10" t="s">
        <v>973</v>
      </c>
      <c r="O753" s="9"/>
      <c r="P753" s="9" t="s">
        <v>76</v>
      </c>
      <c r="Q753" s="28"/>
      <c r="R753" s="29"/>
      <c r="S753" s="9"/>
      <c r="T753" s="9"/>
      <c r="U753" s="9" t="s">
        <v>75</v>
      </c>
      <c r="V753" s="9" t="s">
        <v>75</v>
      </c>
      <c r="W753" s="9"/>
    </row>
    <row r="754" spans="1:23" s="12" customFormat="1">
      <c r="A754" s="46" t="s">
        <v>572</v>
      </c>
      <c r="B754" s="28" t="s">
        <v>1334</v>
      </c>
      <c r="C754" s="28" t="s">
        <v>2330</v>
      </c>
      <c r="D754" s="9" t="s">
        <v>363</v>
      </c>
      <c r="E754" s="28" t="s">
        <v>90</v>
      </c>
      <c r="F754" s="31" t="s">
        <v>14</v>
      </c>
      <c r="G754" s="31" t="s">
        <v>14</v>
      </c>
      <c r="H754" s="31" t="s">
        <v>365</v>
      </c>
      <c r="I754" s="28" t="str">
        <f>VLOOKUP(E754,표준용어사전!$C$2:$D$494, 2, FALSE)</f>
        <v>연월일시분초TS</v>
      </c>
      <c r="J754" s="28" t="s">
        <v>719</v>
      </c>
      <c r="K754" s="29" t="s">
        <v>571</v>
      </c>
      <c r="L754" s="55" t="s">
        <v>571</v>
      </c>
      <c r="M754" s="29" t="s">
        <v>726</v>
      </c>
      <c r="N754" s="10" t="s">
        <v>973</v>
      </c>
      <c r="O754" s="9"/>
      <c r="P754" s="9" t="s">
        <v>76</v>
      </c>
      <c r="Q754" s="28"/>
      <c r="R754" s="29"/>
      <c r="S754" s="9"/>
      <c r="T754" s="9"/>
      <c r="U754" s="9" t="s">
        <v>75</v>
      </c>
      <c r="V754" s="9" t="s">
        <v>75</v>
      </c>
      <c r="W754" s="9"/>
    </row>
    <row r="755" spans="1:23" s="12" customFormat="1">
      <c r="A755" s="46" t="s">
        <v>572</v>
      </c>
      <c r="B755" s="28" t="s">
        <v>1334</v>
      </c>
      <c r="C755" s="28" t="s">
        <v>2330</v>
      </c>
      <c r="D755" s="9" t="s">
        <v>363</v>
      </c>
      <c r="E755" s="28" t="s">
        <v>91</v>
      </c>
      <c r="F755" s="31" t="s">
        <v>369</v>
      </c>
      <c r="G755" s="31" t="s">
        <v>369</v>
      </c>
      <c r="H755" s="31" t="s">
        <v>365</v>
      </c>
      <c r="I755" s="28" t="str">
        <f>VLOOKUP(E755,표준용어사전!$C$2:$D$494, 2, FALSE)</f>
        <v>명V20</v>
      </c>
      <c r="J755" s="28" t="s">
        <v>718</v>
      </c>
      <c r="K755" s="29" t="s">
        <v>986</v>
      </c>
      <c r="L755" s="55" t="s">
        <v>571</v>
      </c>
      <c r="M755" s="29" t="s">
        <v>727</v>
      </c>
      <c r="N755" s="10" t="s">
        <v>973</v>
      </c>
      <c r="O755" s="9"/>
      <c r="P755" s="9" t="s">
        <v>76</v>
      </c>
      <c r="Q755" s="28"/>
      <c r="R755" s="29"/>
      <c r="S755" s="9"/>
      <c r="T755" s="9"/>
      <c r="U755" s="9" t="s">
        <v>75</v>
      </c>
      <c r="V755" s="9" t="s">
        <v>75</v>
      </c>
      <c r="W755" s="9"/>
    </row>
    <row r="756" spans="1:23" s="12" customFormat="1">
      <c r="A756" s="46" t="s">
        <v>572</v>
      </c>
      <c r="B756" s="28" t="s">
        <v>1333</v>
      </c>
      <c r="C756" s="28" t="s">
        <v>2330</v>
      </c>
      <c r="D756" s="28" t="s">
        <v>2467</v>
      </c>
      <c r="E756" s="28" t="s">
        <v>2024</v>
      </c>
      <c r="F756" s="31" t="s">
        <v>741</v>
      </c>
      <c r="G756" s="31" t="s">
        <v>741</v>
      </c>
      <c r="H756" s="31" t="s">
        <v>694</v>
      </c>
      <c r="I756" s="28" t="str">
        <f>VLOOKUP(E756,표준용어사전!$C$2:$D$494, 2, FALSE)</f>
        <v>번호I</v>
      </c>
      <c r="J756" s="28" t="s">
        <v>717</v>
      </c>
      <c r="K756" s="29" t="s">
        <v>571</v>
      </c>
      <c r="L756" s="55" t="s">
        <v>571</v>
      </c>
      <c r="M756" s="29" t="s">
        <v>2591</v>
      </c>
      <c r="N756" s="29" t="s">
        <v>973</v>
      </c>
      <c r="O756" s="28" t="s">
        <v>73</v>
      </c>
      <c r="P756" s="28" t="s">
        <v>76</v>
      </c>
      <c r="Q756" s="28"/>
      <c r="R756" s="29"/>
      <c r="S756" s="28"/>
      <c r="T756" s="28"/>
      <c r="U756" s="9" t="s">
        <v>75</v>
      </c>
      <c r="V756" s="9" t="s">
        <v>75</v>
      </c>
      <c r="W756" s="28"/>
    </row>
    <row r="757" spans="1:23" s="12" customFormat="1">
      <c r="A757" s="46" t="s">
        <v>572</v>
      </c>
      <c r="B757" s="28" t="s">
        <v>1333</v>
      </c>
      <c r="C757" s="28" t="s">
        <v>2330</v>
      </c>
      <c r="D757" s="9" t="s">
        <v>2467</v>
      </c>
      <c r="E757" s="28" t="s">
        <v>246</v>
      </c>
      <c r="F757" s="31" t="s">
        <v>17</v>
      </c>
      <c r="G757" s="31" t="s">
        <v>17</v>
      </c>
      <c r="H757" s="31" t="s">
        <v>694</v>
      </c>
      <c r="I757" s="28" t="str">
        <f>VLOOKUP(E757,표준용어사전!$C$2:$D$494, 2, FALSE)</f>
        <v>명V20</v>
      </c>
      <c r="J757" s="28" t="s">
        <v>718</v>
      </c>
      <c r="K757" s="29" t="s">
        <v>986</v>
      </c>
      <c r="L757" s="55" t="s">
        <v>571</v>
      </c>
      <c r="M757" s="29" t="s">
        <v>727</v>
      </c>
      <c r="N757" s="10" t="s">
        <v>973</v>
      </c>
      <c r="O757" s="9"/>
      <c r="P757" s="9" t="s">
        <v>76</v>
      </c>
      <c r="Q757" s="28"/>
      <c r="R757" s="29"/>
      <c r="S757" s="9"/>
      <c r="T757" s="9"/>
      <c r="U757" s="9" t="s">
        <v>75</v>
      </c>
      <c r="V757" s="9" t="s">
        <v>75</v>
      </c>
      <c r="W757" s="9"/>
    </row>
    <row r="758" spans="1:23" s="12" customFormat="1">
      <c r="A758" s="46" t="s">
        <v>572</v>
      </c>
      <c r="B758" s="28" t="s">
        <v>1333</v>
      </c>
      <c r="C758" s="28" t="s">
        <v>2330</v>
      </c>
      <c r="D758" s="28" t="s">
        <v>2467</v>
      </c>
      <c r="E758" s="28" t="s">
        <v>2004</v>
      </c>
      <c r="F758" s="31" t="s">
        <v>459</v>
      </c>
      <c r="G758" s="31" t="s">
        <v>459</v>
      </c>
      <c r="H758" s="31" t="s">
        <v>694</v>
      </c>
      <c r="I758" s="28" t="str">
        <f>VLOOKUP(E758,표준용어사전!$C$2:$D$494, 2, FALSE)</f>
        <v>명V20</v>
      </c>
      <c r="J758" s="28" t="s">
        <v>718</v>
      </c>
      <c r="K758" s="29" t="s">
        <v>986</v>
      </c>
      <c r="L758" s="55" t="s">
        <v>571</v>
      </c>
      <c r="M758" s="29" t="s">
        <v>727</v>
      </c>
      <c r="N758" s="10" t="s">
        <v>973</v>
      </c>
      <c r="O758" s="9"/>
      <c r="P758" s="9" t="s">
        <v>76</v>
      </c>
      <c r="Q758" s="28"/>
      <c r="R758" s="29"/>
      <c r="S758" s="9"/>
      <c r="T758" s="9"/>
      <c r="U758" s="9" t="s">
        <v>75</v>
      </c>
      <c r="V758" s="9" t="s">
        <v>75</v>
      </c>
      <c r="W758" s="9"/>
    </row>
    <row r="759" spans="1:23" s="12" customFormat="1">
      <c r="A759" s="46" t="s">
        <v>572</v>
      </c>
      <c r="B759" s="28" t="s">
        <v>1333</v>
      </c>
      <c r="C759" s="28" t="s">
        <v>2330</v>
      </c>
      <c r="D759" s="9" t="s">
        <v>2467</v>
      </c>
      <c r="E759" s="28" t="s">
        <v>268</v>
      </c>
      <c r="F759" s="31" t="s">
        <v>500</v>
      </c>
      <c r="G759" s="31" t="s">
        <v>500</v>
      </c>
      <c r="H759" s="31" t="s">
        <v>694</v>
      </c>
      <c r="I759" s="28" t="str">
        <f>VLOOKUP(E759,표준용어사전!$C$2:$D$494, 2, FALSE)</f>
        <v>코드C1</v>
      </c>
      <c r="J759" s="28" t="s">
        <v>709</v>
      </c>
      <c r="K759" s="29">
        <v>1</v>
      </c>
      <c r="L759" s="55" t="s">
        <v>571</v>
      </c>
      <c r="M759" s="29" t="s">
        <v>722</v>
      </c>
      <c r="N759" s="10" t="s">
        <v>75</v>
      </c>
      <c r="O759" s="9"/>
      <c r="P759" s="9" t="s">
        <v>76</v>
      </c>
      <c r="Q759" s="28"/>
      <c r="R759" s="29"/>
      <c r="S759" s="9"/>
      <c r="T759" s="9"/>
      <c r="U759" s="9" t="s">
        <v>75</v>
      </c>
      <c r="V759" s="9" t="s">
        <v>75</v>
      </c>
      <c r="W759" s="9"/>
    </row>
    <row r="760" spans="1:23" s="12" customFormat="1">
      <c r="A760" s="46" t="s">
        <v>572</v>
      </c>
      <c r="B760" s="28" t="s">
        <v>1333</v>
      </c>
      <c r="C760" s="28" t="s">
        <v>2330</v>
      </c>
      <c r="D760" s="28" t="s">
        <v>2467</v>
      </c>
      <c r="E760" s="28" t="s">
        <v>252</v>
      </c>
      <c r="F760" s="31" t="s">
        <v>77</v>
      </c>
      <c r="G760" s="31" t="s">
        <v>77</v>
      </c>
      <c r="H760" s="31" t="s">
        <v>694</v>
      </c>
      <c r="I760" s="28" t="str">
        <f>VLOOKUP(E760,표준용어사전!$C$2:$D$494, 2, FALSE)</f>
        <v>내용TXT</v>
      </c>
      <c r="J760" s="28" t="s">
        <v>713</v>
      </c>
      <c r="K760" s="29" t="s">
        <v>571</v>
      </c>
      <c r="L760" s="55" t="s">
        <v>571</v>
      </c>
      <c r="M760" s="29" t="s">
        <v>2590</v>
      </c>
      <c r="N760" s="29" t="s">
        <v>75</v>
      </c>
      <c r="O760" s="28"/>
      <c r="P760" s="28" t="s">
        <v>76</v>
      </c>
      <c r="Q760" s="28"/>
      <c r="R760" s="29"/>
      <c r="S760" s="28"/>
      <c r="T760" s="9"/>
      <c r="U760" s="9" t="s">
        <v>75</v>
      </c>
      <c r="V760" s="9" t="s">
        <v>75</v>
      </c>
      <c r="W760" s="28"/>
    </row>
    <row r="761" spans="1:23" s="12" customFormat="1">
      <c r="A761" s="46" t="s">
        <v>572</v>
      </c>
      <c r="B761" s="28" t="s">
        <v>1333</v>
      </c>
      <c r="C761" s="28" t="s">
        <v>2330</v>
      </c>
      <c r="D761" s="9" t="s">
        <v>2467</v>
      </c>
      <c r="E761" s="28" t="s">
        <v>90</v>
      </c>
      <c r="F761" s="31" t="s">
        <v>14</v>
      </c>
      <c r="G761" s="31" t="s">
        <v>14</v>
      </c>
      <c r="H761" s="31" t="s">
        <v>694</v>
      </c>
      <c r="I761" s="28" t="str">
        <f>VLOOKUP(E761,표준용어사전!$C$2:$D$494, 2, FALSE)</f>
        <v>연월일시분초TS</v>
      </c>
      <c r="J761" s="28" t="s">
        <v>719</v>
      </c>
      <c r="K761" s="29" t="s">
        <v>571</v>
      </c>
      <c r="L761" s="55" t="s">
        <v>571</v>
      </c>
      <c r="M761" s="29" t="s">
        <v>726</v>
      </c>
      <c r="N761" s="10" t="s">
        <v>973</v>
      </c>
      <c r="O761" s="9"/>
      <c r="P761" s="9" t="s">
        <v>76</v>
      </c>
      <c r="Q761" s="28"/>
      <c r="R761" s="29"/>
      <c r="S761" s="9"/>
      <c r="T761" s="9"/>
      <c r="U761" s="9" t="s">
        <v>75</v>
      </c>
      <c r="V761" s="9" t="s">
        <v>75</v>
      </c>
      <c r="W761" s="9"/>
    </row>
    <row r="762" spans="1:23" s="12" customFormat="1">
      <c r="A762" s="46" t="s">
        <v>572</v>
      </c>
      <c r="B762" s="28" t="s">
        <v>1333</v>
      </c>
      <c r="C762" s="28" t="s">
        <v>2330</v>
      </c>
      <c r="D762" s="28" t="s">
        <v>2467</v>
      </c>
      <c r="E762" s="28" t="s">
        <v>91</v>
      </c>
      <c r="F762" s="31" t="s">
        <v>369</v>
      </c>
      <c r="G762" s="31" t="s">
        <v>369</v>
      </c>
      <c r="H762" s="31" t="s">
        <v>694</v>
      </c>
      <c r="I762" s="28" t="str">
        <f>VLOOKUP(E762,표준용어사전!$C$2:$D$494, 2, FALSE)</f>
        <v>명V20</v>
      </c>
      <c r="J762" s="28" t="s">
        <v>718</v>
      </c>
      <c r="K762" s="29" t="s">
        <v>986</v>
      </c>
      <c r="L762" s="55" t="s">
        <v>571</v>
      </c>
      <c r="M762" s="29" t="s">
        <v>727</v>
      </c>
      <c r="N762" s="29" t="s">
        <v>75</v>
      </c>
      <c r="O762" s="28"/>
      <c r="P762" s="28" t="s">
        <v>76</v>
      </c>
      <c r="Q762" s="28"/>
      <c r="R762" s="29"/>
      <c r="S762" s="28"/>
      <c r="T762" s="9"/>
      <c r="U762" s="9" t="s">
        <v>75</v>
      </c>
      <c r="V762" s="9" t="s">
        <v>75</v>
      </c>
      <c r="W762" s="28"/>
    </row>
    <row r="763" spans="1:23" s="12" customFormat="1">
      <c r="A763" s="46" t="s">
        <v>572</v>
      </c>
      <c r="B763" s="28" t="s">
        <v>1333</v>
      </c>
      <c r="C763" s="28" t="s">
        <v>2330</v>
      </c>
      <c r="D763" s="9" t="s">
        <v>2467</v>
      </c>
      <c r="E763" s="28" t="s">
        <v>92</v>
      </c>
      <c r="F763" s="31" t="s">
        <v>15</v>
      </c>
      <c r="G763" s="31" t="s">
        <v>15</v>
      </c>
      <c r="H763" s="31" t="s">
        <v>694</v>
      </c>
      <c r="I763" s="28" t="str">
        <f>VLOOKUP(E763,표준용어사전!$C$2:$D$494, 2, FALSE)</f>
        <v>연월일시분초TS</v>
      </c>
      <c r="J763" s="28" t="s">
        <v>719</v>
      </c>
      <c r="K763" s="29" t="s">
        <v>571</v>
      </c>
      <c r="L763" s="55" t="s">
        <v>571</v>
      </c>
      <c r="M763" s="29" t="s">
        <v>726</v>
      </c>
      <c r="N763" s="29" t="s">
        <v>75</v>
      </c>
      <c r="O763" s="9"/>
      <c r="P763" s="9" t="s">
        <v>76</v>
      </c>
      <c r="Q763" s="28"/>
      <c r="R763" s="29"/>
      <c r="S763" s="9"/>
      <c r="T763" s="9"/>
      <c r="U763" s="9" t="s">
        <v>75</v>
      </c>
      <c r="V763" s="9" t="s">
        <v>75</v>
      </c>
      <c r="W763" s="9"/>
    </row>
    <row r="764" spans="1:23" s="12" customFormat="1">
      <c r="A764" s="46" t="s">
        <v>572</v>
      </c>
      <c r="B764" s="28" t="s">
        <v>1333</v>
      </c>
      <c r="C764" s="28" t="s">
        <v>2330</v>
      </c>
      <c r="D764" s="9" t="s">
        <v>2467</v>
      </c>
      <c r="E764" s="28" t="s">
        <v>93</v>
      </c>
      <c r="F764" s="31" t="s">
        <v>370</v>
      </c>
      <c r="G764" s="31" t="s">
        <v>370</v>
      </c>
      <c r="H764" s="31" t="s">
        <v>694</v>
      </c>
      <c r="I764" s="28" t="str">
        <f>VLOOKUP(E764,표준용어사전!$C$2:$D$494, 2, FALSE)</f>
        <v>명V20</v>
      </c>
      <c r="J764" s="28" t="s">
        <v>718</v>
      </c>
      <c r="K764" s="29" t="s">
        <v>986</v>
      </c>
      <c r="L764" s="55" t="s">
        <v>571</v>
      </c>
      <c r="M764" s="29" t="s">
        <v>727</v>
      </c>
      <c r="N764" s="10" t="s">
        <v>75</v>
      </c>
      <c r="O764" s="9"/>
      <c r="P764" s="9" t="s">
        <v>76</v>
      </c>
      <c r="Q764" s="28"/>
      <c r="R764" s="29"/>
      <c r="S764" s="9"/>
      <c r="T764" s="9"/>
      <c r="U764" s="9" t="s">
        <v>75</v>
      </c>
      <c r="V764" s="9" t="s">
        <v>75</v>
      </c>
      <c r="W764" s="9"/>
    </row>
    <row r="765" spans="1:23" s="12" customFormat="1">
      <c r="A765" s="46" t="s">
        <v>572</v>
      </c>
      <c r="B765" s="28" t="s">
        <v>1331</v>
      </c>
      <c r="C765" s="28" t="s">
        <v>2330</v>
      </c>
      <c r="D765" s="28" t="s">
        <v>2623</v>
      </c>
      <c r="E765" s="28" t="s">
        <v>2551</v>
      </c>
      <c r="F765" s="31" t="s">
        <v>560</v>
      </c>
      <c r="G765" s="31" t="s">
        <v>560</v>
      </c>
      <c r="H765" s="31" t="s">
        <v>353</v>
      </c>
      <c r="I765" s="28" t="str">
        <f>VLOOKUP(E765,표준용어사전!$C$2:$D$494, 2, FALSE)</f>
        <v>연월C6</v>
      </c>
      <c r="J765" s="28" t="s">
        <v>709</v>
      </c>
      <c r="K765" s="29">
        <v>6</v>
      </c>
      <c r="L765" s="55" t="s">
        <v>571</v>
      </c>
      <c r="M765" s="29" t="s">
        <v>733</v>
      </c>
      <c r="N765" s="29" t="s">
        <v>973</v>
      </c>
      <c r="O765" s="28" t="s">
        <v>73</v>
      </c>
      <c r="P765" s="28" t="s">
        <v>76</v>
      </c>
      <c r="Q765" s="28"/>
      <c r="R765" s="29"/>
      <c r="S765" s="28"/>
      <c r="T765" s="28"/>
      <c r="U765" s="9" t="s">
        <v>75</v>
      </c>
      <c r="V765" s="9" t="s">
        <v>75</v>
      </c>
      <c r="W765" s="28"/>
    </row>
    <row r="766" spans="1:23" s="12" customFormat="1">
      <c r="A766" s="46" t="s">
        <v>572</v>
      </c>
      <c r="B766" s="28" t="s">
        <v>1331</v>
      </c>
      <c r="C766" s="28" t="s">
        <v>2330</v>
      </c>
      <c r="D766" s="9" t="s">
        <v>2623</v>
      </c>
      <c r="E766" s="28" t="s">
        <v>2552</v>
      </c>
      <c r="F766" s="31" t="s">
        <v>510</v>
      </c>
      <c r="G766" s="31" t="s">
        <v>510</v>
      </c>
      <c r="H766" s="31" t="s">
        <v>353</v>
      </c>
      <c r="I766" s="28" t="str">
        <f>VLOOKUP(E766,표준용어사전!$C$2:$D$494, 2, FALSE)</f>
        <v>코드V50</v>
      </c>
      <c r="J766" s="28" t="s">
        <v>718</v>
      </c>
      <c r="K766" s="29">
        <v>50</v>
      </c>
      <c r="L766" s="55" t="s">
        <v>571</v>
      </c>
      <c r="M766" s="29" t="s">
        <v>720</v>
      </c>
      <c r="N766" s="10" t="s">
        <v>973</v>
      </c>
      <c r="O766" s="9" t="s">
        <v>74</v>
      </c>
      <c r="P766" s="9" t="s">
        <v>76</v>
      </c>
      <c r="Q766" s="28"/>
      <c r="R766" s="29"/>
      <c r="S766" s="9"/>
      <c r="T766" s="9"/>
      <c r="U766" s="9" t="s">
        <v>75</v>
      </c>
      <c r="V766" s="9" t="s">
        <v>75</v>
      </c>
      <c r="W766" s="9"/>
    </row>
    <row r="767" spans="1:23" s="12" customFormat="1">
      <c r="A767" s="46" t="s">
        <v>572</v>
      </c>
      <c r="B767" s="28" t="s">
        <v>1331</v>
      </c>
      <c r="C767" s="28" t="s">
        <v>2330</v>
      </c>
      <c r="D767" s="9" t="s">
        <v>2623</v>
      </c>
      <c r="E767" s="28" t="s">
        <v>2553</v>
      </c>
      <c r="F767" s="31" t="s">
        <v>561</v>
      </c>
      <c r="G767" s="31" t="s">
        <v>561</v>
      </c>
      <c r="H767" s="31" t="s">
        <v>353</v>
      </c>
      <c r="I767" s="28" t="str">
        <f>VLOOKUP(E767,표준용어사전!$C$2:$D$494, 2, FALSE)</f>
        <v>수N10</v>
      </c>
      <c r="J767" s="28" t="s">
        <v>748</v>
      </c>
      <c r="K767" s="29" t="s">
        <v>1061</v>
      </c>
      <c r="L767" s="55" t="s">
        <v>571</v>
      </c>
      <c r="M767" s="29" t="s">
        <v>2592</v>
      </c>
      <c r="N767" s="10" t="s">
        <v>75</v>
      </c>
      <c r="O767" s="9"/>
      <c r="P767" s="9" t="s">
        <v>76</v>
      </c>
      <c r="Q767" s="28"/>
      <c r="R767" s="29"/>
      <c r="S767" s="9"/>
      <c r="T767" s="9"/>
      <c r="U767" s="9" t="s">
        <v>75</v>
      </c>
      <c r="V767" s="9" t="s">
        <v>75</v>
      </c>
      <c r="W767" s="9"/>
    </row>
    <row r="768" spans="1:23" s="12" customFormat="1">
      <c r="A768" s="46" t="s">
        <v>572</v>
      </c>
      <c r="B768" s="28" t="s">
        <v>1331</v>
      </c>
      <c r="C768" s="28" t="s">
        <v>2330</v>
      </c>
      <c r="D768" s="9" t="s">
        <v>2623</v>
      </c>
      <c r="E768" s="28" t="s">
        <v>2554</v>
      </c>
      <c r="F768" s="31" t="s">
        <v>1831</v>
      </c>
      <c r="G768" s="31" t="s">
        <v>1831</v>
      </c>
      <c r="H768" s="31" t="s">
        <v>353</v>
      </c>
      <c r="I768" s="28" t="str">
        <f>VLOOKUP(E768,표준용어사전!$C$2:$D$494, 2, FALSE)</f>
        <v>시분초N10</v>
      </c>
      <c r="J768" s="28" t="s">
        <v>748</v>
      </c>
      <c r="K768" s="29">
        <v>10</v>
      </c>
      <c r="L768" s="55" t="s">
        <v>571</v>
      </c>
      <c r="M768" s="29" t="s">
        <v>2592</v>
      </c>
      <c r="N768" s="10" t="s">
        <v>75</v>
      </c>
      <c r="O768" s="9"/>
      <c r="P768" s="9" t="s">
        <v>76</v>
      </c>
      <c r="Q768" s="28"/>
      <c r="R768" s="29"/>
      <c r="S768" s="9"/>
      <c r="T768" s="9"/>
      <c r="U768" s="9" t="s">
        <v>75</v>
      </c>
      <c r="V768" s="9" t="s">
        <v>75</v>
      </c>
      <c r="W768" s="9"/>
    </row>
    <row r="769" spans="1:23" s="12" customFormat="1">
      <c r="A769" s="46" t="s">
        <v>572</v>
      </c>
      <c r="B769" s="28" t="s">
        <v>1331</v>
      </c>
      <c r="C769" s="28" t="s">
        <v>2330</v>
      </c>
      <c r="D769" s="28" t="s">
        <v>2623</v>
      </c>
      <c r="E769" s="28" t="s">
        <v>2274</v>
      </c>
      <c r="F769" s="31" t="s">
        <v>2425</v>
      </c>
      <c r="G769" s="31" t="s">
        <v>2425</v>
      </c>
      <c r="H769" s="31" t="s">
        <v>353</v>
      </c>
      <c r="I769" s="28" t="str">
        <f>VLOOKUP(E769,표준용어사전!$C$2:$D$494, 2, FALSE)</f>
        <v>코드V50</v>
      </c>
      <c r="J769" s="28" t="s">
        <v>718</v>
      </c>
      <c r="K769" s="29">
        <v>50</v>
      </c>
      <c r="L769" s="55" t="s">
        <v>571</v>
      </c>
      <c r="M769" s="29" t="s">
        <v>720</v>
      </c>
      <c r="N769" s="10" t="s">
        <v>973</v>
      </c>
      <c r="O769" s="9" t="s">
        <v>624</v>
      </c>
      <c r="P769" s="9" t="s">
        <v>76</v>
      </c>
      <c r="Q769" s="28"/>
      <c r="R769" s="29"/>
      <c r="S769" s="9"/>
      <c r="T769" s="9"/>
      <c r="U769" s="9" t="s">
        <v>75</v>
      </c>
      <c r="V769" s="9" t="s">
        <v>75</v>
      </c>
      <c r="W769" s="9"/>
    </row>
    <row r="770" spans="1:23" s="12" customFormat="1">
      <c r="A770" s="46" t="s">
        <v>572</v>
      </c>
      <c r="B770" s="28" t="s">
        <v>1333</v>
      </c>
      <c r="C770" s="28" t="s">
        <v>2330</v>
      </c>
      <c r="D770" s="28" t="s">
        <v>2468</v>
      </c>
      <c r="E770" s="28" t="s">
        <v>2004</v>
      </c>
      <c r="F770" s="31" t="s">
        <v>459</v>
      </c>
      <c r="G770" s="31" t="s">
        <v>459</v>
      </c>
      <c r="H770" s="31" t="s">
        <v>590</v>
      </c>
      <c r="I770" s="28" t="str">
        <f>VLOOKUP(E770,표준용어사전!$C$2:$D$494, 2, FALSE)</f>
        <v>명V20</v>
      </c>
      <c r="J770" s="28" t="s">
        <v>718</v>
      </c>
      <c r="K770" s="29" t="s">
        <v>986</v>
      </c>
      <c r="L770" s="55" t="s">
        <v>571</v>
      </c>
      <c r="M770" s="29" t="s">
        <v>727</v>
      </c>
      <c r="N770" s="10" t="s">
        <v>973</v>
      </c>
      <c r="O770" s="28" t="s">
        <v>73</v>
      </c>
      <c r="P770" s="9" t="s">
        <v>76</v>
      </c>
      <c r="Q770" s="28"/>
      <c r="R770" s="29"/>
      <c r="S770" s="9"/>
      <c r="T770" s="9"/>
      <c r="U770" s="28" t="s">
        <v>75</v>
      </c>
      <c r="V770" s="28" t="s">
        <v>75</v>
      </c>
      <c r="W770" s="9"/>
    </row>
    <row r="771" spans="1:23" s="12" customFormat="1">
      <c r="A771" s="46" t="s">
        <v>572</v>
      </c>
      <c r="B771" s="28" t="s">
        <v>1333</v>
      </c>
      <c r="C771" s="28" t="s">
        <v>2330</v>
      </c>
      <c r="D771" s="28" t="s">
        <v>2468</v>
      </c>
      <c r="E771" s="28" t="s">
        <v>2512</v>
      </c>
      <c r="F771" s="31" t="s">
        <v>2207</v>
      </c>
      <c r="G771" s="31" t="s">
        <v>2207</v>
      </c>
      <c r="H771" s="31" t="s">
        <v>590</v>
      </c>
      <c r="I771" s="28" t="str">
        <f>VLOOKUP(E771,표준용어사전!$C$2:$D$494, 2, FALSE)</f>
        <v>코드C4</v>
      </c>
      <c r="J771" s="28" t="s">
        <v>709</v>
      </c>
      <c r="K771" s="29">
        <v>4</v>
      </c>
      <c r="L771" s="55" t="s">
        <v>571</v>
      </c>
      <c r="M771" s="29" t="s">
        <v>929</v>
      </c>
      <c r="N771" s="10" t="s">
        <v>973</v>
      </c>
      <c r="O771" s="28" t="s">
        <v>74</v>
      </c>
      <c r="P771" s="9" t="s">
        <v>76</v>
      </c>
      <c r="Q771" s="28"/>
      <c r="R771" s="29"/>
      <c r="S771" s="9"/>
      <c r="T771" s="9"/>
      <c r="U771" s="28" t="s">
        <v>75</v>
      </c>
      <c r="V771" s="28" t="s">
        <v>75</v>
      </c>
      <c r="W771" s="9"/>
    </row>
    <row r="772" spans="1:23" s="12" customFormat="1">
      <c r="A772" s="46" t="s">
        <v>572</v>
      </c>
      <c r="B772" s="28" t="s">
        <v>1333</v>
      </c>
      <c r="C772" s="28" t="s">
        <v>2330</v>
      </c>
      <c r="D772" s="28" t="s">
        <v>2468</v>
      </c>
      <c r="E772" s="28" t="s">
        <v>2511</v>
      </c>
      <c r="F772" s="31" t="s">
        <v>580</v>
      </c>
      <c r="G772" s="31" t="s">
        <v>580</v>
      </c>
      <c r="H772" s="31" t="s">
        <v>590</v>
      </c>
      <c r="I772" s="28" t="str">
        <f>VLOOKUP(E772,표준용어사전!$C$2:$D$494, 2, FALSE)</f>
        <v>명V20</v>
      </c>
      <c r="J772" s="28" t="s">
        <v>718</v>
      </c>
      <c r="K772" s="29" t="s">
        <v>986</v>
      </c>
      <c r="L772" s="55" t="s">
        <v>571</v>
      </c>
      <c r="M772" s="29" t="s">
        <v>727</v>
      </c>
      <c r="N772" s="29" t="s">
        <v>973</v>
      </c>
      <c r="O772" s="28" t="s">
        <v>624</v>
      </c>
      <c r="P772" s="28" t="s">
        <v>76</v>
      </c>
      <c r="Q772" s="28"/>
      <c r="R772" s="29"/>
      <c r="S772" s="28"/>
      <c r="T772" s="28"/>
      <c r="U772" s="28" t="s">
        <v>75</v>
      </c>
      <c r="V772" s="28" t="s">
        <v>75</v>
      </c>
      <c r="W772" s="28"/>
    </row>
    <row r="773" spans="1:23" s="12" customFormat="1">
      <c r="A773" s="46" t="s">
        <v>572</v>
      </c>
      <c r="B773" s="28" t="s">
        <v>1333</v>
      </c>
      <c r="C773" s="28" t="s">
        <v>2330</v>
      </c>
      <c r="D773" s="28" t="s">
        <v>2468</v>
      </c>
      <c r="E773" s="28" t="s">
        <v>90</v>
      </c>
      <c r="F773" s="31" t="s">
        <v>14</v>
      </c>
      <c r="G773" s="31" t="s">
        <v>14</v>
      </c>
      <c r="H773" s="31" t="s">
        <v>590</v>
      </c>
      <c r="I773" s="28" t="str">
        <f>VLOOKUP(E773,표준용어사전!$C$2:$D$494, 2, FALSE)</f>
        <v>연월일시분초TS</v>
      </c>
      <c r="J773" s="28" t="s">
        <v>719</v>
      </c>
      <c r="K773" s="29" t="s">
        <v>571</v>
      </c>
      <c r="L773" s="55" t="s">
        <v>571</v>
      </c>
      <c r="M773" s="29" t="s">
        <v>726</v>
      </c>
      <c r="N773" s="29" t="s">
        <v>973</v>
      </c>
      <c r="O773" s="9"/>
      <c r="P773" s="28" t="s">
        <v>76</v>
      </c>
      <c r="Q773" s="28"/>
      <c r="R773" s="29"/>
      <c r="S773" s="28"/>
      <c r="T773" s="28"/>
      <c r="U773" s="28" t="s">
        <v>75</v>
      </c>
      <c r="V773" s="28" t="s">
        <v>75</v>
      </c>
      <c r="W773" s="28"/>
    </row>
    <row r="774" spans="1:23" s="12" customFormat="1">
      <c r="A774" s="46" t="s">
        <v>572</v>
      </c>
      <c r="B774" s="28" t="s">
        <v>1333</v>
      </c>
      <c r="C774" s="28" t="s">
        <v>2330</v>
      </c>
      <c r="D774" s="28" t="s">
        <v>2468</v>
      </c>
      <c r="E774" s="28" t="s">
        <v>91</v>
      </c>
      <c r="F774" s="31" t="s">
        <v>369</v>
      </c>
      <c r="G774" s="31" t="s">
        <v>369</v>
      </c>
      <c r="H774" s="31" t="s">
        <v>590</v>
      </c>
      <c r="I774" s="28" t="str">
        <f>VLOOKUP(E774,표준용어사전!$C$2:$D$494, 2, FALSE)</f>
        <v>명V20</v>
      </c>
      <c r="J774" s="28" t="s">
        <v>718</v>
      </c>
      <c r="K774" s="29" t="s">
        <v>986</v>
      </c>
      <c r="L774" s="55" t="s">
        <v>571</v>
      </c>
      <c r="M774" s="29" t="s">
        <v>727</v>
      </c>
      <c r="N774" s="10" t="s">
        <v>75</v>
      </c>
      <c r="O774" s="9"/>
      <c r="P774" s="9" t="s">
        <v>76</v>
      </c>
      <c r="Q774" s="28"/>
      <c r="R774" s="29"/>
      <c r="S774" s="9"/>
      <c r="T774" s="9"/>
      <c r="U774" s="28" t="s">
        <v>75</v>
      </c>
      <c r="V774" s="28" t="s">
        <v>75</v>
      </c>
      <c r="W774" s="9"/>
    </row>
    <row r="775" spans="1:23" s="12" customFormat="1">
      <c r="A775" s="46" t="s">
        <v>572</v>
      </c>
      <c r="B775" s="28" t="s">
        <v>1333</v>
      </c>
      <c r="C775" s="28" t="s">
        <v>2330</v>
      </c>
      <c r="D775" s="28" t="s">
        <v>2468</v>
      </c>
      <c r="E775" s="28" t="s">
        <v>92</v>
      </c>
      <c r="F775" s="31" t="s">
        <v>15</v>
      </c>
      <c r="G775" s="31" t="s">
        <v>15</v>
      </c>
      <c r="H775" s="31" t="s">
        <v>590</v>
      </c>
      <c r="I775" s="28" t="str">
        <f>VLOOKUP(E775,표준용어사전!$C$2:$D$494, 2, FALSE)</f>
        <v>연월일시분초TS</v>
      </c>
      <c r="J775" s="28" t="s">
        <v>719</v>
      </c>
      <c r="K775" s="29" t="s">
        <v>571</v>
      </c>
      <c r="L775" s="55" t="s">
        <v>571</v>
      </c>
      <c r="M775" s="29" t="s">
        <v>726</v>
      </c>
      <c r="N775" s="10" t="s">
        <v>75</v>
      </c>
      <c r="O775" s="9"/>
      <c r="P775" s="9" t="s">
        <v>76</v>
      </c>
      <c r="Q775" s="28"/>
      <c r="R775" s="29"/>
      <c r="S775" s="9"/>
      <c r="T775" s="9"/>
      <c r="U775" s="28" t="s">
        <v>75</v>
      </c>
      <c r="V775" s="28" t="s">
        <v>75</v>
      </c>
      <c r="W775" s="9"/>
    </row>
    <row r="776" spans="1:23" s="12" customFormat="1">
      <c r="A776" s="46" t="s">
        <v>572</v>
      </c>
      <c r="B776" s="28" t="s">
        <v>1333</v>
      </c>
      <c r="C776" s="28" t="s">
        <v>2330</v>
      </c>
      <c r="D776" s="28" t="s">
        <v>2468</v>
      </c>
      <c r="E776" s="28" t="s">
        <v>93</v>
      </c>
      <c r="F776" s="31" t="s">
        <v>370</v>
      </c>
      <c r="G776" s="31" t="s">
        <v>370</v>
      </c>
      <c r="H776" s="31" t="s">
        <v>590</v>
      </c>
      <c r="I776" s="28" t="str">
        <f>VLOOKUP(E776,표준용어사전!$C$2:$D$494, 2, FALSE)</f>
        <v>명V20</v>
      </c>
      <c r="J776" s="28" t="s">
        <v>718</v>
      </c>
      <c r="K776" s="29" t="s">
        <v>986</v>
      </c>
      <c r="L776" s="55" t="s">
        <v>571</v>
      </c>
      <c r="M776" s="29" t="s">
        <v>727</v>
      </c>
      <c r="N776" s="10" t="s">
        <v>75</v>
      </c>
      <c r="O776" s="9"/>
      <c r="P776" s="9" t="s">
        <v>76</v>
      </c>
      <c r="Q776" s="28"/>
      <c r="R776" s="29"/>
      <c r="S776" s="9"/>
      <c r="T776" s="9"/>
      <c r="U776" s="28" t="s">
        <v>75</v>
      </c>
      <c r="V776" s="28" t="s">
        <v>75</v>
      </c>
      <c r="W776" s="9"/>
    </row>
    <row r="777" spans="1:23" s="12" customFormat="1">
      <c r="A777" s="46" t="s">
        <v>572</v>
      </c>
      <c r="B777" s="28" t="s">
        <v>1333</v>
      </c>
      <c r="C777" s="28" t="s">
        <v>2330</v>
      </c>
      <c r="D777" s="28" t="s">
        <v>2468</v>
      </c>
      <c r="E777" s="28" t="s">
        <v>2200</v>
      </c>
      <c r="F777" s="31" t="s">
        <v>1341</v>
      </c>
      <c r="G777" s="31" t="s">
        <v>1341</v>
      </c>
      <c r="H777" s="31" t="s">
        <v>590</v>
      </c>
      <c r="I777" s="28" t="str">
        <f>VLOOKUP(E777,표준용어사전!$C$2:$D$494, 2, FALSE)</f>
        <v>수N10,3</v>
      </c>
      <c r="J777" s="28" t="s">
        <v>748</v>
      </c>
      <c r="K777" s="29" t="s">
        <v>1061</v>
      </c>
      <c r="L777" s="55" t="s">
        <v>980</v>
      </c>
      <c r="M777" s="29" t="s">
        <v>2593</v>
      </c>
      <c r="N777" s="10" t="s">
        <v>75</v>
      </c>
      <c r="O777" s="9"/>
      <c r="P777" s="9" t="s">
        <v>76</v>
      </c>
      <c r="Q777" s="28"/>
      <c r="R777" s="29"/>
      <c r="S777" s="9"/>
      <c r="T777" s="9"/>
      <c r="U777" s="28" t="s">
        <v>75</v>
      </c>
      <c r="V777" s="28" t="s">
        <v>75</v>
      </c>
      <c r="W777" s="9"/>
    </row>
    <row r="778" spans="1:23" s="12" customFormat="1">
      <c r="A778" s="46" t="s">
        <v>572</v>
      </c>
      <c r="B778" s="28" t="s">
        <v>1333</v>
      </c>
      <c r="C778" s="28" t="s">
        <v>2330</v>
      </c>
      <c r="D778" s="28" t="s">
        <v>2624</v>
      </c>
      <c r="E778" s="28" t="s">
        <v>2511</v>
      </c>
      <c r="F778" s="31" t="s">
        <v>580</v>
      </c>
      <c r="G778" s="31" t="s">
        <v>580</v>
      </c>
      <c r="H778" s="31" t="s">
        <v>283</v>
      </c>
      <c r="I778" s="28" t="str">
        <f>VLOOKUP(E778,표준용어사전!$C$2:$D$494, 2, FALSE)</f>
        <v>명V20</v>
      </c>
      <c r="J778" s="28" t="s">
        <v>718</v>
      </c>
      <c r="K778" s="29" t="s">
        <v>986</v>
      </c>
      <c r="L778" s="55" t="s">
        <v>571</v>
      </c>
      <c r="M778" s="29" t="s">
        <v>727</v>
      </c>
      <c r="N778" s="10" t="s">
        <v>973</v>
      </c>
      <c r="O778" s="9" t="s">
        <v>73</v>
      </c>
      <c r="P778" s="9" t="s">
        <v>76</v>
      </c>
      <c r="Q778" s="28"/>
      <c r="R778" s="29"/>
      <c r="S778" s="9"/>
      <c r="T778" s="9"/>
      <c r="U778" s="28" t="s">
        <v>75</v>
      </c>
      <c r="V778" s="28" t="s">
        <v>75</v>
      </c>
      <c r="W778" s="9"/>
    </row>
    <row r="779" spans="1:23" s="12" customFormat="1">
      <c r="A779" s="46" t="s">
        <v>572</v>
      </c>
      <c r="B779" s="28" t="s">
        <v>1333</v>
      </c>
      <c r="C779" s="28" t="s">
        <v>2330</v>
      </c>
      <c r="D779" s="28" t="s">
        <v>2624</v>
      </c>
      <c r="E779" s="28" t="s">
        <v>2552</v>
      </c>
      <c r="F779" s="31" t="s">
        <v>510</v>
      </c>
      <c r="G779" s="31" t="s">
        <v>510</v>
      </c>
      <c r="H779" s="31" t="s">
        <v>283</v>
      </c>
      <c r="I779" s="28" t="str">
        <f>VLOOKUP(E779,표준용어사전!$C$2:$D$494, 2, FALSE)</f>
        <v>코드V50</v>
      </c>
      <c r="J779" s="28" t="s">
        <v>718</v>
      </c>
      <c r="K779" s="29">
        <v>50</v>
      </c>
      <c r="L779" s="55" t="s">
        <v>571</v>
      </c>
      <c r="M779" s="29" t="s">
        <v>720</v>
      </c>
      <c r="N779" s="10" t="s">
        <v>75</v>
      </c>
      <c r="O779" s="9"/>
      <c r="P779" s="9" t="s">
        <v>76</v>
      </c>
      <c r="Q779" s="28"/>
      <c r="R779" s="29"/>
      <c r="S779" s="9"/>
      <c r="T779" s="9"/>
      <c r="U779" s="28" t="s">
        <v>75</v>
      </c>
      <c r="V779" s="28" t="s">
        <v>75</v>
      </c>
      <c r="W779" s="9"/>
    </row>
    <row r="780" spans="1:23" s="12" customFormat="1">
      <c r="A780" s="46" t="s">
        <v>572</v>
      </c>
      <c r="B780" s="28" t="s">
        <v>1333</v>
      </c>
      <c r="C780" s="28" t="s">
        <v>2330</v>
      </c>
      <c r="D780" s="28" t="s">
        <v>2624</v>
      </c>
      <c r="E780" s="28" t="s">
        <v>2555</v>
      </c>
      <c r="F780" s="31" t="s">
        <v>597</v>
      </c>
      <c r="G780" s="31" t="s">
        <v>597</v>
      </c>
      <c r="H780" s="31" t="s">
        <v>283</v>
      </c>
      <c r="I780" s="28" t="str">
        <f>VLOOKUP(E780,표준용어사전!$C$2:$D$494, 2, FALSE)</f>
        <v>코드V50</v>
      </c>
      <c r="J780" s="28" t="s">
        <v>718</v>
      </c>
      <c r="K780" s="29">
        <v>50</v>
      </c>
      <c r="L780" s="55" t="s">
        <v>571</v>
      </c>
      <c r="M780" s="29" t="s">
        <v>720</v>
      </c>
      <c r="N780" s="10" t="s">
        <v>75</v>
      </c>
      <c r="O780" s="9"/>
      <c r="P780" s="9" t="s">
        <v>76</v>
      </c>
      <c r="Q780" s="28"/>
      <c r="R780" s="29"/>
      <c r="S780" s="9"/>
      <c r="T780" s="9"/>
      <c r="U780" s="28" t="s">
        <v>75</v>
      </c>
      <c r="V780" s="28" t="s">
        <v>75</v>
      </c>
      <c r="W780" s="9"/>
    </row>
    <row r="781" spans="1:23" s="12" customFormat="1">
      <c r="A781" s="46" t="s">
        <v>572</v>
      </c>
      <c r="B781" s="28" t="s">
        <v>1333</v>
      </c>
      <c r="C781" s="28" t="s">
        <v>2330</v>
      </c>
      <c r="D781" s="28" t="s">
        <v>2624</v>
      </c>
      <c r="E781" s="28" t="s">
        <v>2021</v>
      </c>
      <c r="F781" s="31" t="s">
        <v>460</v>
      </c>
      <c r="G781" s="31" t="s">
        <v>460</v>
      </c>
      <c r="H781" s="31" t="s">
        <v>283</v>
      </c>
      <c r="I781" s="28" t="str">
        <f>VLOOKUP(E781,표준용어사전!$C$2:$D$494, 2, FALSE)</f>
        <v>코드V50</v>
      </c>
      <c r="J781" s="28" t="s">
        <v>718</v>
      </c>
      <c r="K781" s="29">
        <v>50</v>
      </c>
      <c r="L781" s="55" t="s">
        <v>571</v>
      </c>
      <c r="M781" s="29" t="s">
        <v>720</v>
      </c>
      <c r="N781" s="10" t="s">
        <v>75</v>
      </c>
      <c r="O781" s="9"/>
      <c r="P781" s="9" t="s">
        <v>76</v>
      </c>
      <c r="Q781" s="28"/>
      <c r="R781" s="29"/>
      <c r="S781" s="9"/>
      <c r="T781" s="9"/>
      <c r="U781" s="28" t="s">
        <v>75</v>
      </c>
      <c r="V781" s="28" t="s">
        <v>75</v>
      </c>
      <c r="W781" s="9"/>
    </row>
    <row r="782" spans="1:23" s="12" customFormat="1">
      <c r="A782" s="46" t="s">
        <v>572</v>
      </c>
      <c r="B782" s="28" t="s">
        <v>1333</v>
      </c>
      <c r="C782" s="28" t="s">
        <v>2330</v>
      </c>
      <c r="D782" s="28" t="s">
        <v>2624</v>
      </c>
      <c r="E782" s="28" t="s">
        <v>2556</v>
      </c>
      <c r="F782" s="31" t="s">
        <v>734</v>
      </c>
      <c r="G782" s="31" t="s">
        <v>734</v>
      </c>
      <c r="H782" s="31" t="s">
        <v>283</v>
      </c>
      <c r="I782" s="28" t="str">
        <f>VLOOKUP(E782,표준용어사전!$C$2:$D$494, 2, FALSE)</f>
        <v>내용V2000</v>
      </c>
      <c r="J782" s="28" t="s">
        <v>718</v>
      </c>
      <c r="K782" s="29">
        <v>2000</v>
      </c>
      <c r="L782" s="55" t="s">
        <v>571</v>
      </c>
      <c r="M782" s="29" t="s">
        <v>728</v>
      </c>
      <c r="N782" s="29" t="s">
        <v>75</v>
      </c>
      <c r="O782" s="28"/>
      <c r="P782" s="28" t="s">
        <v>76</v>
      </c>
      <c r="Q782" s="28"/>
      <c r="R782" s="29"/>
      <c r="S782" s="28"/>
      <c r="T782" s="28"/>
      <c r="U782" s="28" t="s">
        <v>75</v>
      </c>
      <c r="V782" s="28" t="s">
        <v>75</v>
      </c>
      <c r="W782" s="28"/>
    </row>
    <row r="783" spans="1:23" s="12" customFormat="1">
      <c r="A783" s="46" t="s">
        <v>572</v>
      </c>
      <c r="B783" s="28" t="s">
        <v>1333</v>
      </c>
      <c r="C783" s="28" t="s">
        <v>2330</v>
      </c>
      <c r="D783" s="28" t="s">
        <v>2624</v>
      </c>
      <c r="E783" s="28" t="s">
        <v>2557</v>
      </c>
      <c r="F783" s="31" t="s">
        <v>735</v>
      </c>
      <c r="G783" s="31" t="s">
        <v>735</v>
      </c>
      <c r="H783" s="31" t="s">
        <v>283</v>
      </c>
      <c r="I783" s="28" t="str">
        <f>VLOOKUP(E783,표준용어사전!$C$2:$D$494, 2, FALSE)</f>
        <v>내용V2000</v>
      </c>
      <c r="J783" s="28" t="s">
        <v>718</v>
      </c>
      <c r="K783" s="29">
        <v>2000</v>
      </c>
      <c r="L783" s="55" t="s">
        <v>571</v>
      </c>
      <c r="M783" s="29" t="s">
        <v>728</v>
      </c>
      <c r="N783" s="29" t="s">
        <v>75</v>
      </c>
      <c r="O783" s="28"/>
      <c r="P783" s="28" t="s">
        <v>76</v>
      </c>
      <c r="Q783" s="28"/>
      <c r="R783" s="29"/>
      <c r="S783" s="28"/>
      <c r="T783" s="28"/>
      <c r="U783" s="28" t="s">
        <v>75</v>
      </c>
      <c r="V783" s="28" t="s">
        <v>75</v>
      </c>
      <c r="W783" s="28"/>
    </row>
    <row r="784" spans="1:23" s="12" customFormat="1">
      <c r="A784" s="46" t="s">
        <v>572</v>
      </c>
      <c r="B784" s="28" t="s">
        <v>1333</v>
      </c>
      <c r="C784" s="28" t="s">
        <v>2330</v>
      </c>
      <c r="D784" s="28" t="s">
        <v>2624</v>
      </c>
      <c r="E784" s="28" t="s">
        <v>219</v>
      </c>
      <c r="F784" s="31" t="s">
        <v>461</v>
      </c>
      <c r="G784" s="31" t="s">
        <v>461</v>
      </c>
      <c r="H784" s="31" t="s">
        <v>283</v>
      </c>
      <c r="I784" s="28" t="str">
        <f>VLOOKUP(E784,표준용어사전!$C$2:$D$494, 2, FALSE)</f>
        <v>번호V100</v>
      </c>
      <c r="J784" s="28" t="s">
        <v>718</v>
      </c>
      <c r="K784" s="29">
        <v>100</v>
      </c>
      <c r="L784" s="55" t="s">
        <v>571</v>
      </c>
      <c r="M784" s="29" t="s">
        <v>729</v>
      </c>
      <c r="N784" s="29" t="s">
        <v>75</v>
      </c>
      <c r="O784" s="28"/>
      <c r="P784" s="28" t="s">
        <v>76</v>
      </c>
      <c r="Q784" s="28"/>
      <c r="R784" s="29"/>
      <c r="S784" s="28"/>
      <c r="T784" s="28"/>
      <c r="U784" s="28" t="s">
        <v>75</v>
      </c>
      <c r="V784" s="28" t="s">
        <v>75</v>
      </c>
      <c r="W784" s="28"/>
    </row>
    <row r="785" spans="1:23" s="12" customFormat="1">
      <c r="A785" s="46" t="s">
        <v>572</v>
      </c>
      <c r="B785" s="28" t="s">
        <v>1333</v>
      </c>
      <c r="C785" s="28" t="s">
        <v>2330</v>
      </c>
      <c r="D785" s="28" t="s">
        <v>2624</v>
      </c>
      <c r="E785" s="28" t="s">
        <v>2544</v>
      </c>
      <c r="F785" s="31" t="s">
        <v>1412</v>
      </c>
      <c r="G785" s="31" t="s">
        <v>1412</v>
      </c>
      <c r="H785" s="31" t="s">
        <v>283</v>
      </c>
      <c r="I785" s="28" t="str">
        <f>VLOOKUP(E785,표준용어사전!$C$2:$D$494, 2, FALSE)</f>
        <v>번호N10</v>
      </c>
      <c r="J785" s="28" t="s">
        <v>748</v>
      </c>
      <c r="K785" s="29">
        <v>10</v>
      </c>
      <c r="L785" s="55" t="s">
        <v>571</v>
      </c>
      <c r="M785" s="29" t="s">
        <v>2592</v>
      </c>
      <c r="N785" s="29" t="s">
        <v>75</v>
      </c>
      <c r="O785" s="28"/>
      <c r="P785" s="28" t="s">
        <v>76</v>
      </c>
      <c r="Q785" s="28"/>
      <c r="R785" s="29"/>
      <c r="S785" s="28"/>
      <c r="T785" s="28"/>
      <c r="U785" s="28" t="s">
        <v>75</v>
      </c>
      <c r="V785" s="28" t="s">
        <v>75</v>
      </c>
      <c r="W785" s="28"/>
    </row>
    <row r="786" spans="1:23" s="12" customFormat="1">
      <c r="A786" s="46" t="s">
        <v>572</v>
      </c>
      <c r="B786" s="28" t="s">
        <v>1333</v>
      </c>
      <c r="C786" s="28" t="s">
        <v>2330</v>
      </c>
      <c r="D786" s="28" t="s">
        <v>2624</v>
      </c>
      <c r="E786" s="28" t="s">
        <v>90</v>
      </c>
      <c r="F786" s="31" t="s">
        <v>14</v>
      </c>
      <c r="G786" s="31" t="s">
        <v>14</v>
      </c>
      <c r="H786" s="31" t="s">
        <v>283</v>
      </c>
      <c r="I786" s="28" t="str">
        <f>VLOOKUP(E786,표준용어사전!$C$2:$D$494, 2, FALSE)</f>
        <v>연월일시분초TS</v>
      </c>
      <c r="J786" s="28" t="s">
        <v>719</v>
      </c>
      <c r="K786" s="29" t="s">
        <v>571</v>
      </c>
      <c r="L786" s="55" t="s">
        <v>571</v>
      </c>
      <c r="M786" s="29" t="s">
        <v>726</v>
      </c>
      <c r="N786" s="29" t="s">
        <v>973</v>
      </c>
      <c r="O786" s="28"/>
      <c r="P786" s="28" t="s">
        <v>76</v>
      </c>
      <c r="Q786" s="28"/>
      <c r="R786" s="29"/>
      <c r="S786" s="28"/>
      <c r="T786" s="28"/>
      <c r="U786" s="28" t="s">
        <v>75</v>
      </c>
      <c r="V786" s="28" t="s">
        <v>75</v>
      </c>
      <c r="W786" s="28"/>
    </row>
    <row r="787" spans="1:23" s="12" customFormat="1">
      <c r="A787" s="46" t="s">
        <v>572</v>
      </c>
      <c r="B787" s="28" t="s">
        <v>1333</v>
      </c>
      <c r="C787" s="28" t="s">
        <v>2330</v>
      </c>
      <c r="D787" s="28" t="s">
        <v>2624</v>
      </c>
      <c r="E787" s="28" t="s">
        <v>91</v>
      </c>
      <c r="F787" s="31" t="s">
        <v>369</v>
      </c>
      <c r="G787" s="31" t="s">
        <v>369</v>
      </c>
      <c r="H787" s="31" t="s">
        <v>283</v>
      </c>
      <c r="I787" s="28" t="str">
        <f>VLOOKUP(E787,표준용어사전!$C$2:$D$494, 2, FALSE)</f>
        <v>명V20</v>
      </c>
      <c r="J787" s="28" t="s">
        <v>718</v>
      </c>
      <c r="K787" s="29" t="s">
        <v>986</v>
      </c>
      <c r="L787" s="55" t="s">
        <v>571</v>
      </c>
      <c r="M787" s="29" t="s">
        <v>727</v>
      </c>
      <c r="N787" s="29" t="s">
        <v>75</v>
      </c>
      <c r="O787" s="28"/>
      <c r="P787" s="28" t="s">
        <v>76</v>
      </c>
      <c r="Q787" s="28"/>
      <c r="R787" s="29"/>
      <c r="S787" s="28"/>
      <c r="T787" s="28"/>
      <c r="U787" s="28" t="s">
        <v>75</v>
      </c>
      <c r="V787" s="28" t="s">
        <v>75</v>
      </c>
      <c r="W787" s="28"/>
    </row>
    <row r="788" spans="1:23" s="12" customFormat="1">
      <c r="A788" s="46" t="s">
        <v>572</v>
      </c>
      <c r="B788" s="28" t="s">
        <v>1333</v>
      </c>
      <c r="C788" s="28" t="s">
        <v>2330</v>
      </c>
      <c r="D788" s="28" t="s">
        <v>2624</v>
      </c>
      <c r="E788" s="28" t="s">
        <v>92</v>
      </c>
      <c r="F788" s="31" t="s">
        <v>15</v>
      </c>
      <c r="G788" s="31" t="s">
        <v>15</v>
      </c>
      <c r="H788" s="31" t="s">
        <v>283</v>
      </c>
      <c r="I788" s="28" t="str">
        <f>VLOOKUP(E788,표준용어사전!$C$2:$D$494, 2, FALSE)</f>
        <v>연월일시분초TS</v>
      </c>
      <c r="J788" s="28" t="s">
        <v>719</v>
      </c>
      <c r="K788" s="29" t="s">
        <v>571</v>
      </c>
      <c r="L788" s="55" t="s">
        <v>571</v>
      </c>
      <c r="M788" s="29" t="s">
        <v>726</v>
      </c>
      <c r="N788" s="29" t="s">
        <v>75</v>
      </c>
      <c r="O788" s="28"/>
      <c r="P788" s="28" t="s">
        <v>76</v>
      </c>
      <c r="Q788" s="28"/>
      <c r="R788" s="29"/>
      <c r="S788" s="28"/>
      <c r="T788" s="28"/>
      <c r="U788" s="28" t="s">
        <v>75</v>
      </c>
      <c r="V788" s="28" t="s">
        <v>75</v>
      </c>
      <c r="W788" s="28"/>
    </row>
    <row r="789" spans="1:23" s="12" customFormat="1">
      <c r="A789" s="46" t="s">
        <v>572</v>
      </c>
      <c r="B789" s="28" t="s">
        <v>1333</v>
      </c>
      <c r="C789" s="28" t="s">
        <v>2330</v>
      </c>
      <c r="D789" s="28" t="s">
        <v>2624</v>
      </c>
      <c r="E789" s="28" t="s">
        <v>93</v>
      </c>
      <c r="F789" s="31" t="s">
        <v>370</v>
      </c>
      <c r="G789" s="31" t="s">
        <v>370</v>
      </c>
      <c r="H789" s="31" t="s">
        <v>283</v>
      </c>
      <c r="I789" s="28" t="str">
        <f>VLOOKUP(E789,표준용어사전!$C$2:$D$494, 2, FALSE)</f>
        <v>명V20</v>
      </c>
      <c r="J789" s="28" t="s">
        <v>718</v>
      </c>
      <c r="K789" s="29" t="s">
        <v>986</v>
      </c>
      <c r="L789" s="55" t="s">
        <v>571</v>
      </c>
      <c r="M789" s="29" t="s">
        <v>727</v>
      </c>
      <c r="N789" s="29" t="s">
        <v>75</v>
      </c>
      <c r="O789" s="9"/>
      <c r="P789" s="28" t="s">
        <v>76</v>
      </c>
      <c r="Q789" s="28"/>
      <c r="R789" s="29"/>
      <c r="S789" s="28"/>
      <c r="T789" s="28"/>
      <c r="U789" s="28" t="s">
        <v>75</v>
      </c>
      <c r="V789" s="28" t="s">
        <v>75</v>
      </c>
      <c r="W789" s="28"/>
    </row>
    <row r="790" spans="1:23" s="12" customFormat="1">
      <c r="A790" s="46" t="s">
        <v>572</v>
      </c>
      <c r="B790" s="28" t="s">
        <v>1333</v>
      </c>
      <c r="C790" s="28" t="s">
        <v>2330</v>
      </c>
      <c r="D790" s="28" t="s">
        <v>2624</v>
      </c>
      <c r="E790" s="28" t="s">
        <v>220</v>
      </c>
      <c r="F790" s="31" t="s">
        <v>462</v>
      </c>
      <c r="G790" s="31" t="s">
        <v>462</v>
      </c>
      <c r="H790" s="31" t="s">
        <v>283</v>
      </c>
      <c r="I790" s="28" t="str">
        <f>VLOOKUP(E790,표준용어사전!$C$2:$D$494, 2, FALSE)</f>
        <v>내용V2000</v>
      </c>
      <c r="J790" s="28" t="s">
        <v>718</v>
      </c>
      <c r="K790" s="29">
        <v>2000</v>
      </c>
      <c r="L790" s="55" t="s">
        <v>571</v>
      </c>
      <c r="M790" s="29" t="s">
        <v>728</v>
      </c>
      <c r="N790" s="29" t="s">
        <v>75</v>
      </c>
      <c r="O790" s="28"/>
      <c r="P790" s="28" t="s">
        <v>76</v>
      </c>
      <c r="Q790" s="28"/>
      <c r="R790" s="29"/>
      <c r="S790" s="28"/>
      <c r="T790" s="28"/>
      <c r="U790" s="28" t="s">
        <v>75</v>
      </c>
      <c r="V790" s="28" t="s">
        <v>75</v>
      </c>
      <c r="W790" s="28"/>
    </row>
    <row r="791" spans="1:23" s="12" customFormat="1">
      <c r="A791" s="46" t="s">
        <v>572</v>
      </c>
      <c r="B791" s="28" t="s">
        <v>1333</v>
      </c>
      <c r="C791" s="28" t="s">
        <v>2330</v>
      </c>
      <c r="D791" s="28" t="s">
        <v>2624</v>
      </c>
      <c r="E791" s="28" t="s">
        <v>221</v>
      </c>
      <c r="F791" s="31" t="s">
        <v>463</v>
      </c>
      <c r="G791" s="31" t="s">
        <v>463</v>
      </c>
      <c r="H791" s="31" t="s">
        <v>283</v>
      </c>
      <c r="I791" s="28" t="str">
        <f>VLOOKUP(E791,표준용어사전!$C$2:$D$494, 2, FALSE)</f>
        <v>내용V2000</v>
      </c>
      <c r="J791" s="28" t="s">
        <v>718</v>
      </c>
      <c r="K791" s="29">
        <v>2000</v>
      </c>
      <c r="L791" s="55" t="s">
        <v>571</v>
      </c>
      <c r="M791" s="29" t="s">
        <v>728</v>
      </c>
      <c r="N791" s="29" t="s">
        <v>75</v>
      </c>
      <c r="O791" s="28"/>
      <c r="P791" s="28" t="s">
        <v>76</v>
      </c>
      <c r="Q791" s="28"/>
      <c r="R791" s="29"/>
      <c r="S791" s="28"/>
      <c r="T791" s="28"/>
      <c r="U791" s="28" t="s">
        <v>75</v>
      </c>
      <c r="V791" s="28" t="s">
        <v>75</v>
      </c>
      <c r="W791" s="28"/>
    </row>
    <row r="792" spans="1:23" s="12" customFormat="1">
      <c r="A792" s="46" t="s">
        <v>572</v>
      </c>
      <c r="B792" s="28" t="s">
        <v>1333</v>
      </c>
      <c r="C792" s="28" t="s">
        <v>2330</v>
      </c>
      <c r="D792" s="28" t="s">
        <v>2624</v>
      </c>
      <c r="E792" s="28" t="s">
        <v>222</v>
      </c>
      <c r="F792" s="31" t="s">
        <v>464</v>
      </c>
      <c r="G792" s="31" t="s">
        <v>464</v>
      </c>
      <c r="H792" s="31" t="s">
        <v>283</v>
      </c>
      <c r="I792" s="28" t="str">
        <f>VLOOKUP(E792,표준용어사전!$C$2:$D$494, 2, FALSE)</f>
        <v>내용V2000</v>
      </c>
      <c r="J792" s="28" t="s">
        <v>718</v>
      </c>
      <c r="K792" s="29">
        <v>2000</v>
      </c>
      <c r="L792" s="55" t="s">
        <v>571</v>
      </c>
      <c r="M792" s="29" t="s">
        <v>728</v>
      </c>
      <c r="N792" s="29" t="s">
        <v>75</v>
      </c>
      <c r="O792" s="28"/>
      <c r="P792" s="28" t="s">
        <v>76</v>
      </c>
      <c r="Q792" s="28"/>
      <c r="R792" s="29"/>
      <c r="S792" s="28"/>
      <c r="T792" s="28"/>
      <c r="U792" s="28" t="s">
        <v>75</v>
      </c>
      <c r="V792" s="28" t="s">
        <v>75</v>
      </c>
      <c r="W792" s="28"/>
    </row>
    <row r="793" spans="1:23" s="12" customFormat="1">
      <c r="A793" s="46" t="s">
        <v>572</v>
      </c>
      <c r="B793" s="28" t="s">
        <v>1333</v>
      </c>
      <c r="C793" s="28" t="s">
        <v>2330</v>
      </c>
      <c r="D793" s="28" t="s">
        <v>2624</v>
      </c>
      <c r="E793" s="28" t="s">
        <v>2023</v>
      </c>
      <c r="F793" s="31" t="s">
        <v>1596</v>
      </c>
      <c r="G793" s="31" t="s">
        <v>1596</v>
      </c>
      <c r="H793" s="31" t="s">
        <v>283</v>
      </c>
      <c r="I793" s="28" t="str">
        <f>VLOOKUP(E793,표준용어사전!$C$2:$D$494, 2, FALSE)</f>
        <v>수N10</v>
      </c>
      <c r="J793" s="28" t="s">
        <v>748</v>
      </c>
      <c r="K793" s="29" t="s">
        <v>1061</v>
      </c>
      <c r="L793" s="55" t="s">
        <v>571</v>
      </c>
      <c r="M793" s="29" t="s">
        <v>2592</v>
      </c>
      <c r="N793" s="29" t="s">
        <v>75</v>
      </c>
      <c r="O793" s="28"/>
      <c r="P793" s="28" t="s">
        <v>76</v>
      </c>
      <c r="Q793" s="28"/>
      <c r="R793" s="29"/>
      <c r="S793" s="28"/>
      <c r="T793" s="28"/>
      <c r="U793" s="28" t="s">
        <v>75</v>
      </c>
      <c r="V793" s="28" t="s">
        <v>75</v>
      </c>
      <c r="W793" s="28"/>
    </row>
    <row r="794" spans="1:23" s="12" customFormat="1">
      <c r="A794" s="46" t="s">
        <v>572</v>
      </c>
      <c r="B794" s="28" t="s">
        <v>1333</v>
      </c>
      <c r="C794" s="28" t="s">
        <v>2330</v>
      </c>
      <c r="D794" s="28" t="s">
        <v>2624</v>
      </c>
      <c r="E794" s="28" t="s">
        <v>2328</v>
      </c>
      <c r="F794" s="31" t="s">
        <v>2427</v>
      </c>
      <c r="G794" s="31" t="s">
        <v>2427</v>
      </c>
      <c r="H794" s="31" t="s">
        <v>283</v>
      </c>
      <c r="I794" s="28" t="str">
        <f>VLOOKUP(E794,표준용어사전!$C$2:$D$494, 2, FALSE)</f>
        <v>여부C1</v>
      </c>
      <c r="J794" s="28" t="s">
        <v>709</v>
      </c>
      <c r="K794" s="29">
        <v>1</v>
      </c>
      <c r="L794" s="55" t="s">
        <v>571</v>
      </c>
      <c r="M794" s="29" t="s">
        <v>722</v>
      </c>
      <c r="N794" s="29" t="s">
        <v>973</v>
      </c>
      <c r="O794" s="28"/>
      <c r="P794" s="28" t="s">
        <v>76</v>
      </c>
      <c r="Q794" s="28"/>
      <c r="R794" s="29"/>
      <c r="S794" s="28"/>
      <c r="T794" s="28"/>
      <c r="U794" s="28" t="s">
        <v>75</v>
      </c>
      <c r="V794" s="28" t="s">
        <v>75</v>
      </c>
      <c r="W794" s="28"/>
    </row>
    <row r="795" spans="1:23" s="12" customFormat="1">
      <c r="A795" s="46" t="s">
        <v>711</v>
      </c>
      <c r="B795" s="28" t="s">
        <v>1333</v>
      </c>
      <c r="C795" s="28" t="s">
        <v>2330</v>
      </c>
      <c r="D795" s="28" t="s">
        <v>2469</v>
      </c>
      <c r="E795" s="28" t="s">
        <v>2018</v>
      </c>
      <c r="F795" s="31" t="s">
        <v>465</v>
      </c>
      <c r="G795" s="31" t="s">
        <v>465</v>
      </c>
      <c r="H795" s="31" t="s">
        <v>225</v>
      </c>
      <c r="I795" s="28" t="str">
        <f>VLOOKUP(E795,표준용어사전!$C$2:$D$494, 2, FALSE)</f>
        <v>번호I</v>
      </c>
      <c r="J795" s="28" t="s">
        <v>717</v>
      </c>
      <c r="K795" s="29" t="s">
        <v>571</v>
      </c>
      <c r="L795" s="55" t="s">
        <v>571</v>
      </c>
      <c r="M795" s="29" t="s">
        <v>2591</v>
      </c>
      <c r="N795" s="29" t="s">
        <v>973</v>
      </c>
      <c r="O795" s="28" t="s">
        <v>73</v>
      </c>
      <c r="P795" s="28" t="s">
        <v>76</v>
      </c>
      <c r="Q795" s="28"/>
      <c r="R795" s="29"/>
      <c r="S795" s="28"/>
      <c r="T795" s="28"/>
      <c r="U795" s="28" t="s">
        <v>75</v>
      </c>
      <c r="V795" s="28" t="s">
        <v>75</v>
      </c>
      <c r="W795" s="28"/>
    </row>
    <row r="796" spans="1:23" s="12" customFormat="1">
      <c r="A796" s="46" t="s">
        <v>711</v>
      </c>
      <c r="B796" s="28" t="s">
        <v>1333</v>
      </c>
      <c r="C796" s="28" t="s">
        <v>2330</v>
      </c>
      <c r="D796" s="28" t="s">
        <v>2469</v>
      </c>
      <c r="E796" s="28" t="s">
        <v>2004</v>
      </c>
      <c r="F796" s="31" t="s">
        <v>459</v>
      </c>
      <c r="G796" s="31" t="s">
        <v>459</v>
      </c>
      <c r="H796" s="31" t="s">
        <v>225</v>
      </c>
      <c r="I796" s="28" t="str">
        <f>VLOOKUP(E796,표준용어사전!$C$2:$D$494, 2, FALSE)</f>
        <v>명V20</v>
      </c>
      <c r="J796" s="28" t="s">
        <v>718</v>
      </c>
      <c r="K796" s="29" t="s">
        <v>986</v>
      </c>
      <c r="L796" s="55" t="s">
        <v>571</v>
      </c>
      <c r="M796" s="29" t="s">
        <v>727</v>
      </c>
      <c r="N796" s="29" t="s">
        <v>973</v>
      </c>
      <c r="O796" s="28"/>
      <c r="P796" s="28" t="s">
        <v>76</v>
      </c>
      <c r="Q796" s="28"/>
      <c r="R796" s="29"/>
      <c r="S796" s="28"/>
      <c r="T796" s="28"/>
      <c r="U796" s="28" t="s">
        <v>75</v>
      </c>
      <c r="V796" s="28" t="s">
        <v>75</v>
      </c>
      <c r="W796" s="28"/>
    </row>
    <row r="797" spans="1:23" s="12" customFormat="1">
      <c r="A797" s="46" t="s">
        <v>711</v>
      </c>
      <c r="B797" s="28" t="s">
        <v>1333</v>
      </c>
      <c r="C797" s="28" t="s">
        <v>2330</v>
      </c>
      <c r="D797" s="28" t="s">
        <v>2469</v>
      </c>
      <c r="E797" s="28" t="s">
        <v>2020</v>
      </c>
      <c r="F797" s="31" t="s">
        <v>2019</v>
      </c>
      <c r="G797" s="31" t="s">
        <v>2019</v>
      </c>
      <c r="H797" s="31" t="s">
        <v>225</v>
      </c>
      <c r="I797" s="28" t="str">
        <f>VLOOKUP(E797,표준용어사전!$C$2:$D$494, 2, FALSE)</f>
        <v>주소V2000</v>
      </c>
      <c r="J797" s="28" t="s">
        <v>718</v>
      </c>
      <c r="K797" s="29">
        <v>2000</v>
      </c>
      <c r="L797" s="55" t="s">
        <v>571</v>
      </c>
      <c r="M797" s="29" t="s">
        <v>728</v>
      </c>
      <c r="N797" s="29" t="s">
        <v>75</v>
      </c>
      <c r="O797" s="28"/>
      <c r="P797" s="28" t="s">
        <v>76</v>
      </c>
      <c r="Q797" s="28"/>
      <c r="R797" s="29"/>
      <c r="S797" s="28"/>
      <c r="T797" s="28"/>
      <c r="U797" s="28" t="s">
        <v>75</v>
      </c>
      <c r="V797" s="28" t="s">
        <v>75</v>
      </c>
      <c r="W797" s="28"/>
    </row>
    <row r="798" spans="1:23" s="12" customFormat="1">
      <c r="A798" s="46" t="s">
        <v>711</v>
      </c>
      <c r="B798" s="28" t="s">
        <v>1333</v>
      </c>
      <c r="C798" s="28" t="s">
        <v>2330</v>
      </c>
      <c r="D798" s="28" t="s">
        <v>2469</v>
      </c>
      <c r="E798" s="28" t="s">
        <v>90</v>
      </c>
      <c r="F798" s="31" t="s">
        <v>14</v>
      </c>
      <c r="G798" s="31" t="s">
        <v>14</v>
      </c>
      <c r="H798" s="31" t="s">
        <v>225</v>
      </c>
      <c r="I798" s="28" t="str">
        <f>VLOOKUP(E798,표준용어사전!$C$2:$D$494, 2, FALSE)</f>
        <v>연월일시분초TS</v>
      </c>
      <c r="J798" s="28" t="s">
        <v>719</v>
      </c>
      <c r="K798" s="29" t="s">
        <v>571</v>
      </c>
      <c r="L798" s="55" t="s">
        <v>571</v>
      </c>
      <c r="M798" s="29" t="s">
        <v>726</v>
      </c>
      <c r="N798" s="29" t="s">
        <v>973</v>
      </c>
      <c r="O798" s="28"/>
      <c r="P798" s="28" t="s">
        <v>76</v>
      </c>
      <c r="Q798" s="28"/>
      <c r="R798" s="29"/>
      <c r="S798" s="28"/>
      <c r="T798" s="28"/>
      <c r="U798" s="28" t="s">
        <v>75</v>
      </c>
      <c r="V798" s="28" t="s">
        <v>75</v>
      </c>
      <c r="W798" s="28"/>
    </row>
    <row r="799" spans="1:23" s="12" customFormat="1">
      <c r="A799" s="46" t="s">
        <v>711</v>
      </c>
      <c r="B799" s="28" t="s">
        <v>1333</v>
      </c>
      <c r="C799" s="28" t="s">
        <v>2330</v>
      </c>
      <c r="D799" s="28" t="s">
        <v>2469</v>
      </c>
      <c r="E799" s="28" t="s">
        <v>91</v>
      </c>
      <c r="F799" s="31" t="s">
        <v>369</v>
      </c>
      <c r="G799" s="31" t="s">
        <v>369</v>
      </c>
      <c r="H799" s="31" t="s">
        <v>225</v>
      </c>
      <c r="I799" s="28" t="str">
        <f>VLOOKUP(E799,표준용어사전!$C$2:$D$494, 2, FALSE)</f>
        <v>명V20</v>
      </c>
      <c r="J799" s="28" t="s">
        <v>718</v>
      </c>
      <c r="K799" s="29" t="s">
        <v>986</v>
      </c>
      <c r="L799" s="55" t="s">
        <v>571</v>
      </c>
      <c r="M799" s="29" t="s">
        <v>727</v>
      </c>
      <c r="N799" s="29" t="s">
        <v>75</v>
      </c>
      <c r="O799" s="28"/>
      <c r="P799" s="28" t="s">
        <v>76</v>
      </c>
      <c r="Q799" s="28"/>
      <c r="R799" s="29"/>
      <c r="S799" s="28"/>
      <c r="T799" s="28"/>
      <c r="U799" s="28" t="s">
        <v>75</v>
      </c>
      <c r="V799" s="28" t="s">
        <v>75</v>
      </c>
      <c r="W799" s="28"/>
    </row>
    <row r="800" spans="1:23" s="12" customFormat="1">
      <c r="A800" s="46" t="s">
        <v>711</v>
      </c>
      <c r="B800" s="28" t="s">
        <v>1333</v>
      </c>
      <c r="C800" s="28" t="s">
        <v>2330</v>
      </c>
      <c r="D800" s="28" t="s">
        <v>2469</v>
      </c>
      <c r="E800" s="28" t="s">
        <v>92</v>
      </c>
      <c r="F800" s="31" t="s">
        <v>15</v>
      </c>
      <c r="G800" s="31" t="s">
        <v>15</v>
      </c>
      <c r="H800" s="31" t="s">
        <v>225</v>
      </c>
      <c r="I800" s="28" t="str">
        <f>VLOOKUP(E800,표준용어사전!$C$2:$D$494, 2, FALSE)</f>
        <v>연월일시분초TS</v>
      </c>
      <c r="J800" s="28" t="s">
        <v>719</v>
      </c>
      <c r="K800" s="29" t="s">
        <v>571</v>
      </c>
      <c r="L800" s="55" t="s">
        <v>571</v>
      </c>
      <c r="M800" s="29" t="s">
        <v>726</v>
      </c>
      <c r="N800" s="29" t="s">
        <v>75</v>
      </c>
      <c r="O800" s="28"/>
      <c r="P800" s="28" t="s">
        <v>76</v>
      </c>
      <c r="Q800" s="28"/>
      <c r="R800" s="29"/>
      <c r="S800" s="28"/>
      <c r="T800" s="28"/>
      <c r="U800" s="28" t="s">
        <v>75</v>
      </c>
      <c r="V800" s="28" t="s">
        <v>75</v>
      </c>
      <c r="W800" s="28"/>
    </row>
    <row r="801" spans="1:23" s="12" customFormat="1">
      <c r="A801" s="46" t="s">
        <v>711</v>
      </c>
      <c r="B801" s="28" t="s">
        <v>1333</v>
      </c>
      <c r="C801" s="28" t="s">
        <v>2330</v>
      </c>
      <c r="D801" s="28" t="s">
        <v>2469</v>
      </c>
      <c r="E801" s="28" t="s">
        <v>93</v>
      </c>
      <c r="F801" s="31" t="s">
        <v>370</v>
      </c>
      <c r="G801" s="31" t="s">
        <v>370</v>
      </c>
      <c r="H801" s="31" t="s">
        <v>225</v>
      </c>
      <c r="I801" s="28" t="str">
        <f>VLOOKUP(E801,표준용어사전!$C$2:$D$494, 2, FALSE)</f>
        <v>명V20</v>
      </c>
      <c r="J801" s="28" t="s">
        <v>718</v>
      </c>
      <c r="K801" s="29" t="s">
        <v>986</v>
      </c>
      <c r="L801" s="55" t="s">
        <v>571</v>
      </c>
      <c r="M801" s="29" t="s">
        <v>727</v>
      </c>
      <c r="N801" s="29" t="s">
        <v>75</v>
      </c>
      <c r="O801" s="28"/>
      <c r="P801" s="28" t="s">
        <v>76</v>
      </c>
      <c r="Q801" s="28"/>
      <c r="R801" s="29"/>
      <c r="S801" s="28"/>
      <c r="T801" s="28"/>
      <c r="U801" s="28" t="s">
        <v>75</v>
      </c>
      <c r="V801" s="28" t="s">
        <v>75</v>
      </c>
      <c r="W801" s="28"/>
    </row>
    <row r="802" spans="1:23" s="12" customFormat="1">
      <c r="A802" s="46" t="s">
        <v>572</v>
      </c>
      <c r="B802" s="28" t="s">
        <v>1333</v>
      </c>
      <c r="C802" s="28" t="s">
        <v>2330</v>
      </c>
      <c r="D802" s="28" t="s">
        <v>2470</v>
      </c>
      <c r="E802" s="28" t="s">
        <v>2004</v>
      </c>
      <c r="F802" s="31" t="s">
        <v>459</v>
      </c>
      <c r="G802" s="31" t="s">
        <v>459</v>
      </c>
      <c r="H802" s="31" t="s">
        <v>226</v>
      </c>
      <c r="I802" s="28" t="str">
        <f>VLOOKUP(E802,표준용어사전!$C$2:$D$494, 2, FALSE)</f>
        <v>명V20</v>
      </c>
      <c r="J802" s="28" t="s">
        <v>718</v>
      </c>
      <c r="K802" s="29" t="s">
        <v>986</v>
      </c>
      <c r="L802" s="55" t="s">
        <v>571</v>
      </c>
      <c r="M802" s="29" t="s">
        <v>727</v>
      </c>
      <c r="N802" s="29" t="s">
        <v>973</v>
      </c>
      <c r="O802" s="28" t="s">
        <v>73</v>
      </c>
      <c r="P802" s="28" t="s">
        <v>76</v>
      </c>
      <c r="Q802" s="28"/>
      <c r="R802" s="29"/>
      <c r="S802" s="28"/>
      <c r="T802" s="28"/>
      <c r="U802" s="28" t="s">
        <v>75</v>
      </c>
      <c r="V802" s="28" t="s">
        <v>75</v>
      </c>
      <c r="W802" s="28"/>
    </row>
    <row r="803" spans="1:23" s="12" customFormat="1">
      <c r="A803" s="46" t="s">
        <v>572</v>
      </c>
      <c r="B803" s="28" t="s">
        <v>1333</v>
      </c>
      <c r="C803" s="28" t="s">
        <v>2330</v>
      </c>
      <c r="D803" s="28" t="s">
        <v>2470</v>
      </c>
      <c r="E803" s="28" t="s">
        <v>89</v>
      </c>
      <c r="F803" s="31" t="s">
        <v>501</v>
      </c>
      <c r="G803" s="31" t="s">
        <v>501</v>
      </c>
      <c r="H803" s="31" t="s">
        <v>226</v>
      </c>
      <c r="I803" s="28" t="str">
        <f>VLOOKUP(E803,표준용어사전!$C$2:$D$494, 2, FALSE)</f>
        <v>명V20</v>
      </c>
      <c r="J803" s="28" t="s">
        <v>718</v>
      </c>
      <c r="K803" s="29" t="s">
        <v>986</v>
      </c>
      <c r="L803" s="55" t="s">
        <v>571</v>
      </c>
      <c r="M803" s="29" t="s">
        <v>727</v>
      </c>
      <c r="N803" s="29" t="s">
        <v>973</v>
      </c>
      <c r="O803" s="28" t="s">
        <v>74</v>
      </c>
      <c r="P803" s="28" t="s">
        <v>76</v>
      </c>
      <c r="Q803" s="28"/>
      <c r="R803" s="29"/>
      <c r="S803" s="28"/>
      <c r="T803" s="28"/>
      <c r="U803" s="28" t="s">
        <v>75</v>
      </c>
      <c r="V803" s="28" t="s">
        <v>75</v>
      </c>
      <c r="W803" s="28"/>
    </row>
    <row r="804" spans="1:23" s="12" customFormat="1">
      <c r="A804" s="46" t="s">
        <v>572</v>
      </c>
      <c r="B804" s="28" t="s">
        <v>1333</v>
      </c>
      <c r="C804" s="28" t="s">
        <v>2330</v>
      </c>
      <c r="D804" s="9" t="s">
        <v>2470</v>
      </c>
      <c r="E804" s="28" t="s">
        <v>90</v>
      </c>
      <c r="F804" s="31" t="s">
        <v>14</v>
      </c>
      <c r="G804" s="31" t="s">
        <v>14</v>
      </c>
      <c r="H804" s="31" t="s">
        <v>226</v>
      </c>
      <c r="I804" s="28" t="str">
        <f>VLOOKUP(E804,표준용어사전!$C$2:$D$494, 2, FALSE)</f>
        <v>연월일시분초TS</v>
      </c>
      <c r="J804" s="28" t="s">
        <v>719</v>
      </c>
      <c r="K804" s="29" t="s">
        <v>571</v>
      </c>
      <c r="L804" s="55" t="s">
        <v>571</v>
      </c>
      <c r="M804" s="29" t="s">
        <v>726</v>
      </c>
      <c r="N804" s="29" t="s">
        <v>973</v>
      </c>
      <c r="O804" s="9"/>
      <c r="P804" s="9" t="s">
        <v>76</v>
      </c>
      <c r="Q804" s="28"/>
      <c r="R804" s="29"/>
      <c r="S804" s="9"/>
      <c r="T804" s="9"/>
      <c r="U804" s="28" t="s">
        <v>75</v>
      </c>
      <c r="V804" s="28" t="s">
        <v>75</v>
      </c>
      <c r="W804" s="9"/>
    </row>
    <row r="805" spans="1:23" s="12" customFormat="1">
      <c r="A805" s="46" t="s">
        <v>572</v>
      </c>
      <c r="B805" s="28" t="s">
        <v>1333</v>
      </c>
      <c r="C805" s="28" t="s">
        <v>2330</v>
      </c>
      <c r="D805" s="9" t="s">
        <v>2470</v>
      </c>
      <c r="E805" s="28" t="s">
        <v>91</v>
      </c>
      <c r="F805" s="31" t="s">
        <v>369</v>
      </c>
      <c r="G805" s="31" t="s">
        <v>369</v>
      </c>
      <c r="H805" s="31" t="s">
        <v>226</v>
      </c>
      <c r="I805" s="28" t="str">
        <f>VLOOKUP(E805,표준용어사전!$C$2:$D$494, 2, FALSE)</f>
        <v>명V20</v>
      </c>
      <c r="J805" s="28" t="s">
        <v>718</v>
      </c>
      <c r="K805" s="29" t="s">
        <v>986</v>
      </c>
      <c r="L805" s="55" t="s">
        <v>571</v>
      </c>
      <c r="M805" s="29" t="s">
        <v>727</v>
      </c>
      <c r="N805" s="29" t="s">
        <v>75</v>
      </c>
      <c r="O805" s="9"/>
      <c r="P805" s="9" t="s">
        <v>76</v>
      </c>
      <c r="Q805" s="28"/>
      <c r="R805" s="29"/>
      <c r="S805" s="9"/>
      <c r="T805" s="9"/>
      <c r="U805" s="28" t="s">
        <v>75</v>
      </c>
      <c r="V805" s="28" t="s">
        <v>75</v>
      </c>
      <c r="W805" s="9"/>
    </row>
    <row r="806" spans="1:23" s="12" customFormat="1">
      <c r="A806" s="46" t="s">
        <v>572</v>
      </c>
      <c r="B806" s="28" t="s">
        <v>1333</v>
      </c>
      <c r="C806" s="28" t="s">
        <v>2330</v>
      </c>
      <c r="D806" s="28" t="s">
        <v>2470</v>
      </c>
      <c r="E806" s="28" t="s">
        <v>92</v>
      </c>
      <c r="F806" s="31" t="s">
        <v>15</v>
      </c>
      <c r="G806" s="31" t="s">
        <v>15</v>
      </c>
      <c r="H806" s="31" t="s">
        <v>226</v>
      </c>
      <c r="I806" s="28" t="str">
        <f>VLOOKUP(E806,표준용어사전!$C$2:$D$494, 2, FALSE)</f>
        <v>연월일시분초TS</v>
      </c>
      <c r="J806" s="28" t="s">
        <v>719</v>
      </c>
      <c r="K806" s="29" t="s">
        <v>571</v>
      </c>
      <c r="L806" s="55" t="s">
        <v>571</v>
      </c>
      <c r="M806" s="29" t="s">
        <v>726</v>
      </c>
      <c r="N806" s="29" t="s">
        <v>75</v>
      </c>
      <c r="O806" s="28"/>
      <c r="P806" s="28" t="s">
        <v>76</v>
      </c>
      <c r="Q806" s="28"/>
      <c r="R806" s="29"/>
      <c r="S806" s="28"/>
      <c r="T806" s="28"/>
      <c r="U806" s="28" t="s">
        <v>75</v>
      </c>
      <c r="V806" s="28" t="s">
        <v>75</v>
      </c>
      <c r="W806" s="28"/>
    </row>
    <row r="807" spans="1:23" s="12" customFormat="1">
      <c r="A807" s="46" t="s">
        <v>572</v>
      </c>
      <c r="B807" s="28" t="s">
        <v>1333</v>
      </c>
      <c r="C807" s="28" t="s">
        <v>2330</v>
      </c>
      <c r="D807" s="28" t="s">
        <v>2470</v>
      </c>
      <c r="E807" s="28" t="s">
        <v>93</v>
      </c>
      <c r="F807" s="31" t="s">
        <v>370</v>
      </c>
      <c r="G807" s="31" t="s">
        <v>370</v>
      </c>
      <c r="H807" s="31" t="s">
        <v>226</v>
      </c>
      <c r="I807" s="28" t="str">
        <f>VLOOKUP(E807,표준용어사전!$C$2:$D$494, 2, FALSE)</f>
        <v>명V20</v>
      </c>
      <c r="J807" s="28" t="s">
        <v>718</v>
      </c>
      <c r="K807" s="29" t="s">
        <v>986</v>
      </c>
      <c r="L807" s="55" t="s">
        <v>571</v>
      </c>
      <c r="M807" s="29" t="s">
        <v>727</v>
      </c>
      <c r="N807" s="29" t="s">
        <v>75</v>
      </c>
      <c r="O807" s="28"/>
      <c r="P807" s="28" t="s">
        <v>76</v>
      </c>
      <c r="Q807" s="28"/>
      <c r="R807" s="29"/>
      <c r="S807" s="28"/>
      <c r="T807" s="28"/>
      <c r="U807" s="28" t="s">
        <v>75</v>
      </c>
      <c r="V807" s="28" t="s">
        <v>75</v>
      </c>
      <c r="W807" s="28"/>
    </row>
    <row r="808" spans="1:23" s="12" customFormat="1">
      <c r="A808" s="46" t="s">
        <v>572</v>
      </c>
      <c r="B808" s="28" t="s">
        <v>1333</v>
      </c>
      <c r="C808" s="28" t="s">
        <v>2330</v>
      </c>
      <c r="D808" s="28" t="s">
        <v>2471</v>
      </c>
      <c r="E808" s="28" t="s">
        <v>2004</v>
      </c>
      <c r="F808" s="31" t="s">
        <v>459</v>
      </c>
      <c r="G808" s="31" t="s">
        <v>459</v>
      </c>
      <c r="H808" s="31" t="s">
        <v>2373</v>
      </c>
      <c r="I808" s="28" t="str">
        <f>VLOOKUP(E808,표준용어사전!$C$2:$D$494, 2, FALSE)</f>
        <v>명V20</v>
      </c>
      <c r="J808" s="28" t="s">
        <v>718</v>
      </c>
      <c r="K808" s="29" t="s">
        <v>986</v>
      </c>
      <c r="L808" s="55" t="s">
        <v>571</v>
      </c>
      <c r="M808" s="29" t="s">
        <v>727</v>
      </c>
      <c r="N808" s="29" t="s">
        <v>973</v>
      </c>
      <c r="O808" s="9" t="s">
        <v>73</v>
      </c>
      <c r="P808" s="28" t="s">
        <v>76</v>
      </c>
      <c r="Q808" s="28"/>
      <c r="R808" s="29"/>
      <c r="S808" s="28"/>
      <c r="T808" s="28"/>
      <c r="U808" s="28" t="s">
        <v>75</v>
      </c>
      <c r="V808" s="28" t="s">
        <v>75</v>
      </c>
      <c r="W808" s="28"/>
    </row>
    <row r="809" spans="1:23" s="12" customFormat="1">
      <c r="A809" s="46" t="s">
        <v>572</v>
      </c>
      <c r="B809" s="28" t="s">
        <v>1333</v>
      </c>
      <c r="C809" s="28" t="s">
        <v>2330</v>
      </c>
      <c r="D809" s="28" t="s">
        <v>2471</v>
      </c>
      <c r="E809" s="28" t="s">
        <v>2005</v>
      </c>
      <c r="F809" s="31" t="s">
        <v>466</v>
      </c>
      <c r="G809" s="31" t="s">
        <v>466</v>
      </c>
      <c r="H809" s="31" t="s">
        <v>2373</v>
      </c>
      <c r="I809" s="28" t="str">
        <f>VLOOKUP(E809,표준용어사전!$C$2:$D$494, 2, FALSE)</f>
        <v>명V20</v>
      </c>
      <c r="J809" s="28" t="s">
        <v>718</v>
      </c>
      <c r="K809" s="29" t="s">
        <v>986</v>
      </c>
      <c r="L809" s="55" t="s">
        <v>571</v>
      </c>
      <c r="M809" s="29" t="s">
        <v>727</v>
      </c>
      <c r="N809" s="29" t="s">
        <v>973</v>
      </c>
      <c r="O809" s="28"/>
      <c r="P809" s="28" t="s">
        <v>76</v>
      </c>
      <c r="Q809" s="28"/>
      <c r="R809" s="29"/>
      <c r="S809" s="28"/>
      <c r="T809" s="28"/>
      <c r="U809" s="28" t="s">
        <v>75</v>
      </c>
      <c r="V809" s="28" t="s">
        <v>75</v>
      </c>
      <c r="W809" s="28"/>
    </row>
    <row r="810" spans="1:23" s="12" customFormat="1">
      <c r="A810" s="46" t="s">
        <v>572</v>
      </c>
      <c r="B810" s="28" t="s">
        <v>1333</v>
      </c>
      <c r="C810" s="28" t="s">
        <v>2330</v>
      </c>
      <c r="D810" s="9" t="s">
        <v>2471</v>
      </c>
      <c r="E810" s="28" t="s">
        <v>2006</v>
      </c>
      <c r="F810" s="31" t="s">
        <v>467</v>
      </c>
      <c r="G810" s="31" t="s">
        <v>467</v>
      </c>
      <c r="H810" s="31" t="s">
        <v>2373</v>
      </c>
      <c r="I810" s="28" t="str">
        <f>VLOOKUP(E810,표준용어사전!$C$2:$D$494, 2, FALSE)</f>
        <v>명TXT</v>
      </c>
      <c r="J810" s="28" t="s">
        <v>713</v>
      </c>
      <c r="K810" s="29" t="s">
        <v>571</v>
      </c>
      <c r="L810" s="55" t="s">
        <v>571</v>
      </c>
      <c r="M810" s="29" t="s">
        <v>2590</v>
      </c>
      <c r="N810" s="29" t="s">
        <v>75</v>
      </c>
      <c r="O810" s="9"/>
      <c r="P810" s="9" t="s">
        <v>76</v>
      </c>
      <c r="Q810" s="28"/>
      <c r="R810" s="29"/>
      <c r="S810" s="9"/>
      <c r="T810" s="9"/>
      <c r="U810" s="28" t="s">
        <v>75</v>
      </c>
      <c r="V810" s="28" t="s">
        <v>75</v>
      </c>
      <c r="W810" s="9"/>
    </row>
    <row r="811" spans="1:23" s="12" customFormat="1">
      <c r="A811" s="46" t="s">
        <v>572</v>
      </c>
      <c r="B811" s="28" t="s">
        <v>1333</v>
      </c>
      <c r="C811" s="28" t="s">
        <v>2330</v>
      </c>
      <c r="D811" s="9" t="s">
        <v>2471</v>
      </c>
      <c r="E811" s="28" t="s">
        <v>2529</v>
      </c>
      <c r="F811" s="31" t="s">
        <v>468</v>
      </c>
      <c r="G811" s="31" t="s">
        <v>468</v>
      </c>
      <c r="H811" s="31" t="s">
        <v>2373</v>
      </c>
      <c r="I811" s="28" t="str">
        <f>VLOOKUP(E811,표준용어사전!$C$2:$D$494, 2, FALSE)</f>
        <v>내용TXT</v>
      </c>
      <c r="J811" s="28" t="s">
        <v>713</v>
      </c>
      <c r="K811" s="29" t="s">
        <v>571</v>
      </c>
      <c r="L811" s="55" t="s">
        <v>571</v>
      </c>
      <c r="M811" s="29" t="s">
        <v>2590</v>
      </c>
      <c r="N811" s="29" t="s">
        <v>75</v>
      </c>
      <c r="O811" s="9"/>
      <c r="P811" s="9" t="s">
        <v>76</v>
      </c>
      <c r="Q811" s="28"/>
      <c r="R811" s="29"/>
      <c r="S811" s="9"/>
      <c r="T811" s="9"/>
      <c r="U811" s="28" t="s">
        <v>75</v>
      </c>
      <c r="V811" s="28" t="s">
        <v>75</v>
      </c>
      <c r="W811" s="9"/>
    </row>
    <row r="812" spans="1:23" s="12" customFormat="1">
      <c r="A812" s="46" t="s">
        <v>572</v>
      </c>
      <c r="B812" s="28" t="s">
        <v>1333</v>
      </c>
      <c r="C812" s="28" t="s">
        <v>2330</v>
      </c>
      <c r="D812" s="9" t="s">
        <v>2471</v>
      </c>
      <c r="E812" s="28" t="s">
        <v>2007</v>
      </c>
      <c r="F812" s="31" t="s">
        <v>469</v>
      </c>
      <c r="G812" s="31" t="s">
        <v>469</v>
      </c>
      <c r="H812" s="31" t="s">
        <v>2373</v>
      </c>
      <c r="I812" s="28" t="str">
        <f>VLOOKUP(E812,표준용어사전!$C$2:$D$494, 2, FALSE)</f>
        <v>내용TXT</v>
      </c>
      <c r="J812" s="28" t="s">
        <v>713</v>
      </c>
      <c r="K812" s="29" t="s">
        <v>571</v>
      </c>
      <c r="L812" s="55" t="s">
        <v>571</v>
      </c>
      <c r="M812" s="29" t="s">
        <v>2590</v>
      </c>
      <c r="N812" s="29" t="s">
        <v>75</v>
      </c>
      <c r="O812" s="9"/>
      <c r="P812" s="9" t="s">
        <v>76</v>
      </c>
      <c r="Q812" s="28"/>
      <c r="R812" s="29"/>
      <c r="S812" s="9"/>
      <c r="T812" s="9"/>
      <c r="U812" s="28" t="s">
        <v>75</v>
      </c>
      <c r="V812" s="28" t="s">
        <v>75</v>
      </c>
      <c r="W812" s="9"/>
    </row>
    <row r="813" spans="1:23" s="12" customFormat="1">
      <c r="A813" s="46" t="s">
        <v>572</v>
      </c>
      <c r="B813" s="28" t="s">
        <v>1333</v>
      </c>
      <c r="C813" s="28" t="s">
        <v>2330</v>
      </c>
      <c r="D813" s="9" t="s">
        <v>2471</v>
      </c>
      <c r="E813" s="28" t="s">
        <v>2008</v>
      </c>
      <c r="F813" s="31" t="s">
        <v>470</v>
      </c>
      <c r="G813" s="31" t="s">
        <v>470</v>
      </c>
      <c r="H813" s="31" t="s">
        <v>2373</v>
      </c>
      <c r="I813" s="28" t="str">
        <f>VLOOKUP(E813,표준용어사전!$C$2:$D$494, 2, FALSE)</f>
        <v>내용TXT</v>
      </c>
      <c r="J813" s="28" t="s">
        <v>713</v>
      </c>
      <c r="K813" s="29" t="s">
        <v>571</v>
      </c>
      <c r="L813" s="55" t="s">
        <v>571</v>
      </c>
      <c r="M813" s="29" t="s">
        <v>2590</v>
      </c>
      <c r="N813" s="29" t="s">
        <v>75</v>
      </c>
      <c r="O813" s="9"/>
      <c r="P813" s="9" t="s">
        <v>76</v>
      </c>
      <c r="Q813" s="28"/>
      <c r="R813" s="29"/>
      <c r="S813" s="9"/>
      <c r="T813" s="9"/>
      <c r="U813" s="28" t="s">
        <v>75</v>
      </c>
      <c r="V813" s="28" t="s">
        <v>75</v>
      </c>
      <c r="W813" s="9"/>
    </row>
    <row r="814" spans="1:23" s="12" customFormat="1">
      <c r="A814" s="46" t="s">
        <v>572</v>
      </c>
      <c r="B814" s="28" t="s">
        <v>1333</v>
      </c>
      <c r="C814" s="28" t="s">
        <v>2330</v>
      </c>
      <c r="D814" s="9" t="s">
        <v>2471</v>
      </c>
      <c r="E814" s="28" t="s">
        <v>2578</v>
      </c>
      <c r="F814" s="31" t="s">
        <v>471</v>
      </c>
      <c r="G814" s="31" t="s">
        <v>471</v>
      </c>
      <c r="H814" s="31" t="s">
        <v>2373</v>
      </c>
      <c r="I814" s="28" t="str">
        <f>VLOOKUP(E814,표준용어사전!$C$2:$D$494, 2, FALSE)</f>
        <v>내용TXT</v>
      </c>
      <c r="J814" s="28" t="s">
        <v>713</v>
      </c>
      <c r="K814" s="29" t="s">
        <v>571</v>
      </c>
      <c r="L814" s="55" t="s">
        <v>571</v>
      </c>
      <c r="M814" s="29" t="s">
        <v>2590</v>
      </c>
      <c r="N814" s="29" t="s">
        <v>75</v>
      </c>
      <c r="O814" s="9"/>
      <c r="P814" s="9" t="s">
        <v>76</v>
      </c>
      <c r="Q814" s="28"/>
      <c r="R814" s="29"/>
      <c r="S814" s="9"/>
      <c r="T814" s="9"/>
      <c r="U814" s="28" t="s">
        <v>75</v>
      </c>
      <c r="V814" s="28" t="s">
        <v>75</v>
      </c>
      <c r="W814" s="9"/>
    </row>
    <row r="815" spans="1:23" s="12" customFormat="1">
      <c r="A815" s="46" t="s">
        <v>572</v>
      </c>
      <c r="B815" s="28" t="s">
        <v>1333</v>
      </c>
      <c r="C815" s="28" t="s">
        <v>2330</v>
      </c>
      <c r="D815" s="9" t="s">
        <v>2471</v>
      </c>
      <c r="E815" s="28" t="s">
        <v>2009</v>
      </c>
      <c r="F815" s="31" t="s">
        <v>472</v>
      </c>
      <c r="G815" s="31" t="s">
        <v>472</v>
      </c>
      <c r="H815" s="31" t="s">
        <v>2373</v>
      </c>
      <c r="I815" s="28" t="str">
        <f>VLOOKUP(E815,표준용어사전!$C$2:$D$494, 2, FALSE)</f>
        <v>연월일C8</v>
      </c>
      <c r="J815" s="28" t="s">
        <v>709</v>
      </c>
      <c r="K815" s="29">
        <v>8</v>
      </c>
      <c r="L815" s="55" t="s">
        <v>571</v>
      </c>
      <c r="M815" s="29" t="s">
        <v>731</v>
      </c>
      <c r="N815" s="29" t="s">
        <v>75</v>
      </c>
      <c r="O815" s="9"/>
      <c r="P815" s="9" t="s">
        <v>76</v>
      </c>
      <c r="Q815" s="28"/>
      <c r="R815" s="29"/>
      <c r="S815" s="9"/>
      <c r="T815" s="9"/>
      <c r="U815" s="28" t="s">
        <v>75</v>
      </c>
      <c r="V815" s="28" t="s">
        <v>75</v>
      </c>
      <c r="W815" s="9"/>
    </row>
    <row r="816" spans="1:23" s="12" customFormat="1">
      <c r="A816" s="46" t="s">
        <v>572</v>
      </c>
      <c r="B816" s="28" t="s">
        <v>1333</v>
      </c>
      <c r="C816" s="28" t="s">
        <v>2330</v>
      </c>
      <c r="D816" s="9" t="s">
        <v>2471</v>
      </c>
      <c r="E816" s="28" t="s">
        <v>2010</v>
      </c>
      <c r="F816" s="31" t="s">
        <v>473</v>
      </c>
      <c r="G816" s="31" t="s">
        <v>473</v>
      </c>
      <c r="H816" s="31" t="s">
        <v>2373</v>
      </c>
      <c r="I816" s="28" t="str">
        <f>VLOOKUP(E816,표준용어사전!$C$2:$D$494, 2, FALSE)</f>
        <v>연월일C8</v>
      </c>
      <c r="J816" s="28" t="s">
        <v>709</v>
      </c>
      <c r="K816" s="29">
        <v>8</v>
      </c>
      <c r="L816" s="55" t="s">
        <v>571</v>
      </c>
      <c r="M816" s="29" t="s">
        <v>731</v>
      </c>
      <c r="N816" s="29" t="s">
        <v>75</v>
      </c>
      <c r="O816" s="9"/>
      <c r="P816" s="9" t="s">
        <v>76</v>
      </c>
      <c r="Q816" s="28"/>
      <c r="R816" s="29"/>
      <c r="S816" s="9"/>
      <c r="T816" s="9"/>
      <c r="U816" s="28" t="s">
        <v>75</v>
      </c>
      <c r="V816" s="28" t="s">
        <v>75</v>
      </c>
      <c r="W816" s="9"/>
    </row>
    <row r="817" spans="1:23" s="12" customFormat="1">
      <c r="A817" s="46" t="s">
        <v>572</v>
      </c>
      <c r="B817" s="28" t="s">
        <v>1333</v>
      </c>
      <c r="C817" s="28" t="s">
        <v>2330</v>
      </c>
      <c r="D817" s="9" t="s">
        <v>2471</v>
      </c>
      <c r="E817" s="28" t="s">
        <v>2011</v>
      </c>
      <c r="F817" s="31" t="s">
        <v>474</v>
      </c>
      <c r="G817" s="31" t="s">
        <v>474</v>
      </c>
      <c r="H817" s="31" t="s">
        <v>2373</v>
      </c>
      <c r="I817" s="28" t="str">
        <f>VLOOKUP(E817,표준용어사전!$C$2:$D$494, 2, FALSE)</f>
        <v>연월일C8</v>
      </c>
      <c r="J817" s="28" t="s">
        <v>709</v>
      </c>
      <c r="K817" s="29">
        <v>8</v>
      </c>
      <c r="L817" s="55" t="s">
        <v>571</v>
      </c>
      <c r="M817" s="29" t="s">
        <v>731</v>
      </c>
      <c r="N817" s="29" t="s">
        <v>75</v>
      </c>
      <c r="O817" s="9"/>
      <c r="P817" s="9" t="s">
        <v>76</v>
      </c>
      <c r="Q817" s="28"/>
      <c r="R817" s="29"/>
      <c r="S817" s="9"/>
      <c r="T817" s="9"/>
      <c r="U817" s="28" t="s">
        <v>75</v>
      </c>
      <c r="V817" s="28" t="s">
        <v>75</v>
      </c>
      <c r="W817" s="9"/>
    </row>
    <row r="818" spans="1:23" s="12" customFormat="1">
      <c r="A818" s="46" t="s">
        <v>572</v>
      </c>
      <c r="B818" s="28" t="s">
        <v>1333</v>
      </c>
      <c r="C818" s="28" t="s">
        <v>2330</v>
      </c>
      <c r="D818" s="9" t="s">
        <v>2471</v>
      </c>
      <c r="E818" s="28" t="s">
        <v>2013</v>
      </c>
      <c r="F818" s="31" t="s">
        <v>2012</v>
      </c>
      <c r="G818" s="31" t="s">
        <v>2012</v>
      </c>
      <c r="H818" s="31" t="s">
        <v>2373</v>
      </c>
      <c r="I818" s="28" t="str">
        <f>VLOOKUP(E818,표준용어사전!$C$2:$D$494, 2, FALSE)</f>
        <v>주소V2000</v>
      </c>
      <c r="J818" s="28" t="s">
        <v>718</v>
      </c>
      <c r="K818" s="29">
        <v>2000</v>
      </c>
      <c r="L818" s="55" t="s">
        <v>571</v>
      </c>
      <c r="M818" s="29" t="s">
        <v>728</v>
      </c>
      <c r="N818" s="29" t="s">
        <v>75</v>
      </c>
      <c r="O818" s="9"/>
      <c r="P818" s="9" t="s">
        <v>76</v>
      </c>
      <c r="Q818" s="28"/>
      <c r="R818" s="29"/>
      <c r="S818" s="9"/>
      <c r="T818" s="28"/>
      <c r="U818" s="28" t="s">
        <v>75</v>
      </c>
      <c r="V818" s="28" t="s">
        <v>75</v>
      </c>
      <c r="W818" s="9"/>
    </row>
    <row r="819" spans="1:23" s="12" customFormat="1">
      <c r="A819" s="46" t="s">
        <v>572</v>
      </c>
      <c r="B819" s="28" t="s">
        <v>1333</v>
      </c>
      <c r="C819" s="28" t="s">
        <v>2330</v>
      </c>
      <c r="D819" s="9" t="s">
        <v>2471</v>
      </c>
      <c r="E819" s="28" t="s">
        <v>1984</v>
      </c>
      <c r="F819" s="31" t="s">
        <v>1983</v>
      </c>
      <c r="G819" s="31" t="s">
        <v>1983</v>
      </c>
      <c r="H819" s="31" t="s">
        <v>2373</v>
      </c>
      <c r="I819" s="28" t="str">
        <f>VLOOKUP(E819,표준용어사전!$C$2:$D$494, 2, FALSE)</f>
        <v>주소V2000</v>
      </c>
      <c r="J819" s="28" t="s">
        <v>718</v>
      </c>
      <c r="K819" s="29">
        <v>2000</v>
      </c>
      <c r="L819" s="55" t="s">
        <v>571</v>
      </c>
      <c r="M819" s="29" t="s">
        <v>728</v>
      </c>
      <c r="N819" s="29" t="s">
        <v>75</v>
      </c>
      <c r="O819" s="9"/>
      <c r="P819" s="9" t="s">
        <v>76</v>
      </c>
      <c r="Q819" s="28"/>
      <c r="R819" s="29"/>
      <c r="S819" s="9"/>
      <c r="T819" s="9"/>
      <c r="U819" s="28" t="s">
        <v>75</v>
      </c>
      <c r="V819" s="28" t="s">
        <v>75</v>
      </c>
      <c r="W819" s="9"/>
    </row>
    <row r="820" spans="1:23" s="12" customFormat="1">
      <c r="A820" s="46" t="s">
        <v>572</v>
      </c>
      <c r="B820" s="28" t="s">
        <v>1333</v>
      </c>
      <c r="C820" s="28" t="s">
        <v>2330</v>
      </c>
      <c r="D820" s="9" t="s">
        <v>2471</v>
      </c>
      <c r="E820" s="28" t="s">
        <v>2015</v>
      </c>
      <c r="F820" s="31" t="s">
        <v>2014</v>
      </c>
      <c r="G820" s="31" t="s">
        <v>2014</v>
      </c>
      <c r="H820" s="31" t="s">
        <v>2373</v>
      </c>
      <c r="I820" s="28" t="str">
        <f>VLOOKUP(E820,표준용어사전!$C$2:$D$494, 2, FALSE)</f>
        <v>주소V2000</v>
      </c>
      <c r="J820" s="28" t="s">
        <v>718</v>
      </c>
      <c r="K820" s="29">
        <v>2000</v>
      </c>
      <c r="L820" s="55" t="s">
        <v>571</v>
      </c>
      <c r="M820" s="29" t="s">
        <v>728</v>
      </c>
      <c r="N820" s="29" t="s">
        <v>75</v>
      </c>
      <c r="O820" s="9"/>
      <c r="P820" s="9" t="s">
        <v>76</v>
      </c>
      <c r="Q820" s="28"/>
      <c r="R820" s="29"/>
      <c r="S820" s="9"/>
      <c r="T820" s="9"/>
      <c r="U820" s="28" t="s">
        <v>75</v>
      </c>
      <c r="V820" s="28" t="s">
        <v>75</v>
      </c>
      <c r="W820" s="9"/>
    </row>
    <row r="821" spans="1:23" s="12" customFormat="1">
      <c r="A821" s="46" t="s">
        <v>572</v>
      </c>
      <c r="B821" s="28" t="s">
        <v>1333</v>
      </c>
      <c r="C821" s="28" t="s">
        <v>2330</v>
      </c>
      <c r="D821" s="9" t="s">
        <v>2471</v>
      </c>
      <c r="E821" s="28" t="s">
        <v>2016</v>
      </c>
      <c r="F821" s="31" t="s">
        <v>476</v>
      </c>
      <c r="G821" s="31" t="s">
        <v>476</v>
      </c>
      <c r="H821" s="31" t="s">
        <v>2373</v>
      </c>
      <c r="I821" s="28" t="str">
        <f>VLOOKUP(E821,표준용어사전!$C$2:$D$494, 2, FALSE)</f>
        <v>여부C1</v>
      </c>
      <c r="J821" s="28" t="s">
        <v>709</v>
      </c>
      <c r="K821" s="29">
        <v>1</v>
      </c>
      <c r="L821" s="55" t="s">
        <v>571</v>
      </c>
      <c r="M821" s="29" t="s">
        <v>722</v>
      </c>
      <c r="N821" s="29" t="s">
        <v>75</v>
      </c>
      <c r="O821" s="9"/>
      <c r="P821" s="9" t="s">
        <v>76</v>
      </c>
      <c r="Q821" s="28"/>
      <c r="R821" s="29"/>
      <c r="S821" s="9"/>
      <c r="T821" s="9"/>
      <c r="U821" s="28" t="s">
        <v>75</v>
      </c>
      <c r="V821" s="28" t="s">
        <v>75</v>
      </c>
      <c r="W821" s="9"/>
    </row>
    <row r="822" spans="1:23" s="12" customFormat="1">
      <c r="A822" s="46" t="s">
        <v>572</v>
      </c>
      <c r="B822" s="28" t="s">
        <v>1333</v>
      </c>
      <c r="C822" s="28" t="s">
        <v>2330</v>
      </c>
      <c r="D822" s="9" t="s">
        <v>2471</v>
      </c>
      <c r="E822" s="28" t="s">
        <v>2017</v>
      </c>
      <c r="F822" s="31" t="s">
        <v>724</v>
      </c>
      <c r="G822" s="31" t="s">
        <v>724</v>
      </c>
      <c r="H822" s="31" t="s">
        <v>2373</v>
      </c>
      <c r="I822" s="28" t="str">
        <f>VLOOKUP(E822,표준용어사전!$C$2:$D$494, 2, FALSE)</f>
        <v>여부C1</v>
      </c>
      <c r="J822" s="28" t="s">
        <v>709</v>
      </c>
      <c r="K822" s="29">
        <v>1</v>
      </c>
      <c r="L822" s="55" t="s">
        <v>571</v>
      </c>
      <c r="M822" s="29" t="s">
        <v>722</v>
      </c>
      <c r="N822" s="29" t="s">
        <v>75</v>
      </c>
      <c r="O822" s="9"/>
      <c r="P822" s="9" t="s">
        <v>76</v>
      </c>
      <c r="Q822" s="28"/>
      <c r="R822" s="29"/>
      <c r="S822" s="9"/>
      <c r="T822" s="9"/>
      <c r="U822" s="28" t="s">
        <v>75</v>
      </c>
      <c r="V822" s="28" t="s">
        <v>75</v>
      </c>
      <c r="W822" s="9"/>
    </row>
    <row r="823" spans="1:23" s="12" customFormat="1">
      <c r="A823" s="46" t="s">
        <v>572</v>
      </c>
      <c r="B823" s="28" t="s">
        <v>1333</v>
      </c>
      <c r="C823" s="28" t="s">
        <v>2330</v>
      </c>
      <c r="D823" s="9" t="s">
        <v>2471</v>
      </c>
      <c r="E823" s="28" t="s">
        <v>90</v>
      </c>
      <c r="F823" s="31" t="s">
        <v>14</v>
      </c>
      <c r="G823" s="31" t="s">
        <v>14</v>
      </c>
      <c r="H823" s="31" t="s">
        <v>2373</v>
      </c>
      <c r="I823" s="28" t="str">
        <f>VLOOKUP(E823,표준용어사전!$C$2:$D$494, 2, FALSE)</f>
        <v>연월일시분초TS</v>
      </c>
      <c r="J823" s="28" t="s">
        <v>719</v>
      </c>
      <c r="K823" s="29" t="s">
        <v>571</v>
      </c>
      <c r="L823" s="55" t="s">
        <v>571</v>
      </c>
      <c r="M823" s="29" t="s">
        <v>726</v>
      </c>
      <c r="N823" s="29" t="s">
        <v>973</v>
      </c>
      <c r="O823" s="9"/>
      <c r="P823" s="9" t="s">
        <v>76</v>
      </c>
      <c r="Q823" s="28"/>
      <c r="R823" s="29"/>
      <c r="S823" s="9"/>
      <c r="T823" s="9"/>
      <c r="U823" s="28" t="s">
        <v>75</v>
      </c>
      <c r="V823" s="28" t="s">
        <v>75</v>
      </c>
      <c r="W823" s="9"/>
    </row>
    <row r="824" spans="1:23" s="12" customFormat="1">
      <c r="A824" s="46" t="s">
        <v>572</v>
      </c>
      <c r="B824" s="28" t="s">
        <v>1333</v>
      </c>
      <c r="C824" s="28" t="s">
        <v>2330</v>
      </c>
      <c r="D824" s="9" t="s">
        <v>2471</v>
      </c>
      <c r="E824" s="28" t="s">
        <v>91</v>
      </c>
      <c r="F824" s="31" t="s">
        <v>369</v>
      </c>
      <c r="G824" s="31" t="s">
        <v>369</v>
      </c>
      <c r="H824" s="31" t="s">
        <v>2373</v>
      </c>
      <c r="I824" s="28" t="str">
        <f>VLOOKUP(E824,표준용어사전!$C$2:$D$494, 2, FALSE)</f>
        <v>명V20</v>
      </c>
      <c r="J824" s="28" t="s">
        <v>718</v>
      </c>
      <c r="K824" s="29" t="s">
        <v>986</v>
      </c>
      <c r="L824" s="55" t="s">
        <v>571</v>
      </c>
      <c r="M824" s="29" t="s">
        <v>727</v>
      </c>
      <c r="N824" s="29" t="s">
        <v>75</v>
      </c>
      <c r="O824" s="9"/>
      <c r="P824" s="9" t="s">
        <v>76</v>
      </c>
      <c r="Q824" s="28"/>
      <c r="R824" s="29"/>
      <c r="S824" s="9"/>
      <c r="T824" s="9"/>
      <c r="U824" s="28" t="s">
        <v>75</v>
      </c>
      <c r="V824" s="28" t="s">
        <v>75</v>
      </c>
      <c r="W824" s="9"/>
    </row>
    <row r="825" spans="1:23" s="12" customFormat="1">
      <c r="A825" s="46" t="s">
        <v>572</v>
      </c>
      <c r="B825" s="28" t="s">
        <v>1333</v>
      </c>
      <c r="C825" s="28" t="s">
        <v>2330</v>
      </c>
      <c r="D825" s="9" t="s">
        <v>2471</v>
      </c>
      <c r="E825" s="28" t="s">
        <v>92</v>
      </c>
      <c r="F825" s="31" t="s">
        <v>15</v>
      </c>
      <c r="G825" s="31" t="s">
        <v>15</v>
      </c>
      <c r="H825" s="31" t="s">
        <v>2373</v>
      </c>
      <c r="I825" s="28" t="str">
        <f>VLOOKUP(E825,표준용어사전!$C$2:$D$494, 2, FALSE)</f>
        <v>연월일시분초TS</v>
      </c>
      <c r="J825" s="28" t="s">
        <v>719</v>
      </c>
      <c r="K825" s="29" t="s">
        <v>571</v>
      </c>
      <c r="L825" s="55" t="s">
        <v>571</v>
      </c>
      <c r="M825" s="29" t="s">
        <v>726</v>
      </c>
      <c r="N825" s="29" t="s">
        <v>75</v>
      </c>
      <c r="O825" s="9"/>
      <c r="P825" s="9" t="s">
        <v>76</v>
      </c>
      <c r="Q825" s="28"/>
      <c r="R825" s="29"/>
      <c r="S825" s="9"/>
      <c r="T825" s="9"/>
      <c r="U825" s="28" t="s">
        <v>75</v>
      </c>
      <c r="V825" s="28" t="s">
        <v>75</v>
      </c>
      <c r="W825" s="9"/>
    </row>
    <row r="826" spans="1:23" s="12" customFormat="1">
      <c r="A826" s="46" t="s">
        <v>572</v>
      </c>
      <c r="B826" s="28" t="s">
        <v>1333</v>
      </c>
      <c r="C826" s="28" t="s">
        <v>2330</v>
      </c>
      <c r="D826" s="28" t="s">
        <v>2471</v>
      </c>
      <c r="E826" s="28" t="s">
        <v>93</v>
      </c>
      <c r="F826" s="31" t="s">
        <v>370</v>
      </c>
      <c r="G826" s="31" t="s">
        <v>370</v>
      </c>
      <c r="H826" s="31" t="s">
        <v>2373</v>
      </c>
      <c r="I826" s="28" t="str">
        <f>VLOOKUP(E826,표준용어사전!$C$2:$D$494, 2, FALSE)</f>
        <v>명V20</v>
      </c>
      <c r="J826" s="28" t="s">
        <v>718</v>
      </c>
      <c r="K826" s="29" t="s">
        <v>986</v>
      </c>
      <c r="L826" s="55" t="s">
        <v>571</v>
      </c>
      <c r="M826" s="29" t="s">
        <v>727</v>
      </c>
      <c r="N826" s="29" t="s">
        <v>75</v>
      </c>
      <c r="O826" s="28"/>
      <c r="P826" s="28" t="s">
        <v>76</v>
      </c>
      <c r="Q826" s="28"/>
      <c r="R826" s="29"/>
      <c r="S826" s="28"/>
      <c r="T826" s="28"/>
      <c r="U826" s="28" t="s">
        <v>75</v>
      </c>
      <c r="V826" s="28" t="s">
        <v>75</v>
      </c>
      <c r="W826" s="28"/>
    </row>
    <row r="827" spans="1:23" s="12" customFormat="1">
      <c r="A827" s="46" t="s">
        <v>572</v>
      </c>
      <c r="B827" s="28" t="s">
        <v>1333</v>
      </c>
      <c r="C827" s="28" t="s">
        <v>2330</v>
      </c>
      <c r="D827" s="28" t="s">
        <v>2625</v>
      </c>
      <c r="E827" s="28" t="s">
        <v>2256</v>
      </c>
      <c r="F827" s="31" t="s">
        <v>2255</v>
      </c>
      <c r="G827" s="31" t="s">
        <v>2255</v>
      </c>
      <c r="H827" s="31" t="s">
        <v>2374</v>
      </c>
      <c r="I827" s="28" t="str">
        <f>VLOOKUP(E827,표준용어사전!$C$2:$D$494, 2, FALSE)</f>
        <v>코드C2</v>
      </c>
      <c r="J827" s="28" t="s">
        <v>709</v>
      </c>
      <c r="K827" s="29">
        <v>2</v>
      </c>
      <c r="L827" s="55" t="s">
        <v>571</v>
      </c>
      <c r="M827" s="29" t="s">
        <v>766</v>
      </c>
      <c r="N827" s="29" t="s">
        <v>973</v>
      </c>
      <c r="O827" s="28" t="s">
        <v>73</v>
      </c>
      <c r="P827" s="28" t="s">
        <v>76</v>
      </c>
      <c r="Q827" s="28"/>
      <c r="R827" s="29"/>
      <c r="S827" s="28"/>
      <c r="T827" s="28"/>
      <c r="U827" s="28" t="s">
        <v>75</v>
      </c>
      <c r="V827" s="28" t="s">
        <v>75</v>
      </c>
      <c r="W827" s="9"/>
    </row>
    <row r="828" spans="1:23" s="12" customFormat="1">
      <c r="A828" s="46" t="s">
        <v>572</v>
      </c>
      <c r="B828" s="28" t="s">
        <v>1333</v>
      </c>
      <c r="C828" s="28" t="s">
        <v>2330</v>
      </c>
      <c r="D828" s="28" t="s">
        <v>2625</v>
      </c>
      <c r="E828" s="28" t="s">
        <v>2258</v>
      </c>
      <c r="F828" s="31" t="s">
        <v>2257</v>
      </c>
      <c r="G828" s="31" t="s">
        <v>2257</v>
      </c>
      <c r="H828" s="31" t="s">
        <v>2374</v>
      </c>
      <c r="I828" s="28" t="str">
        <f>VLOOKUP(E828,표준용어사전!$C$2:$D$494, 2, FALSE)</f>
        <v>명V512</v>
      </c>
      <c r="J828" s="28" t="s">
        <v>718</v>
      </c>
      <c r="K828" s="29">
        <v>512</v>
      </c>
      <c r="L828" s="55" t="s">
        <v>571</v>
      </c>
      <c r="M828" s="29" t="s">
        <v>721</v>
      </c>
      <c r="N828" s="29" t="s">
        <v>75</v>
      </c>
      <c r="O828" s="28"/>
      <c r="P828" s="28" t="s">
        <v>76</v>
      </c>
      <c r="Q828" s="28"/>
      <c r="R828" s="29"/>
      <c r="S828" s="28"/>
      <c r="T828" s="28"/>
      <c r="U828" s="28" t="s">
        <v>75</v>
      </c>
      <c r="V828" s="28" t="s">
        <v>75</v>
      </c>
      <c r="W828" s="28"/>
    </row>
    <row r="829" spans="1:23" s="12" customFormat="1">
      <c r="A829" s="46" t="s">
        <v>572</v>
      </c>
      <c r="B829" s="28" t="s">
        <v>1333</v>
      </c>
      <c r="C829" s="28" t="s">
        <v>2330</v>
      </c>
      <c r="D829" s="28" t="s">
        <v>2625</v>
      </c>
      <c r="E829" s="28" t="s">
        <v>2260</v>
      </c>
      <c r="F829" s="31" t="s">
        <v>2259</v>
      </c>
      <c r="G829" s="31" t="s">
        <v>2259</v>
      </c>
      <c r="H829" s="31" t="s">
        <v>2374</v>
      </c>
      <c r="I829" s="28" t="str">
        <f>VLOOKUP(E829,표준용어사전!$C$2:$D$494, 2, FALSE)</f>
        <v>명V512</v>
      </c>
      <c r="J829" s="28" t="s">
        <v>718</v>
      </c>
      <c r="K829" s="29">
        <v>512</v>
      </c>
      <c r="L829" s="55" t="s">
        <v>571</v>
      </c>
      <c r="M829" s="29" t="s">
        <v>721</v>
      </c>
      <c r="N829" s="29" t="s">
        <v>75</v>
      </c>
      <c r="O829" s="28"/>
      <c r="P829" s="28" t="s">
        <v>76</v>
      </c>
      <c r="Q829" s="28"/>
      <c r="R829" s="29"/>
      <c r="S829" s="28"/>
      <c r="T829" s="28"/>
      <c r="U829" s="28" t="s">
        <v>75</v>
      </c>
      <c r="V829" s="28" t="s">
        <v>75</v>
      </c>
      <c r="W829" s="28"/>
    </row>
    <row r="830" spans="1:23" s="12" customFormat="1">
      <c r="A830" s="46" t="s">
        <v>572</v>
      </c>
      <c r="B830" s="28" t="s">
        <v>1333</v>
      </c>
      <c r="C830" s="28" t="s">
        <v>2330</v>
      </c>
      <c r="D830" s="28" t="s">
        <v>2625</v>
      </c>
      <c r="E830" s="28" t="s">
        <v>2262</v>
      </c>
      <c r="F830" s="31" t="s">
        <v>2261</v>
      </c>
      <c r="G830" s="31" t="s">
        <v>2261</v>
      </c>
      <c r="H830" s="31" t="s">
        <v>2374</v>
      </c>
      <c r="I830" s="28" t="str">
        <f>VLOOKUP(E830,표준용어사전!$C$2:$D$494, 2, FALSE)</f>
        <v>여부C1</v>
      </c>
      <c r="J830" s="28" t="s">
        <v>709</v>
      </c>
      <c r="K830" s="29">
        <v>1</v>
      </c>
      <c r="L830" s="55" t="s">
        <v>571</v>
      </c>
      <c r="M830" s="29" t="s">
        <v>722</v>
      </c>
      <c r="N830" s="29" t="s">
        <v>75</v>
      </c>
      <c r="O830" s="28"/>
      <c r="P830" s="28" t="s">
        <v>76</v>
      </c>
      <c r="Q830" s="28"/>
      <c r="R830" s="29"/>
      <c r="S830" s="28"/>
      <c r="T830" s="28"/>
      <c r="U830" s="28" t="s">
        <v>75</v>
      </c>
      <c r="V830" s="28" t="s">
        <v>75</v>
      </c>
      <c r="W830" s="28"/>
    </row>
    <row r="831" spans="1:23" s="12" customFormat="1">
      <c r="A831" s="46" t="s">
        <v>572</v>
      </c>
      <c r="B831" s="28" t="s">
        <v>1333</v>
      </c>
      <c r="C831" s="28" t="s">
        <v>2330</v>
      </c>
      <c r="D831" s="28" t="s">
        <v>2625</v>
      </c>
      <c r="E831" s="28" t="s">
        <v>90</v>
      </c>
      <c r="F831" s="31" t="s">
        <v>14</v>
      </c>
      <c r="G831" s="31" t="s">
        <v>14</v>
      </c>
      <c r="H831" s="31" t="s">
        <v>2374</v>
      </c>
      <c r="I831" s="28" t="str">
        <f>VLOOKUP(E831,표준용어사전!$C$2:$D$494, 2, FALSE)</f>
        <v>연월일시분초TS</v>
      </c>
      <c r="J831" s="28" t="s">
        <v>719</v>
      </c>
      <c r="K831" s="29" t="s">
        <v>571</v>
      </c>
      <c r="L831" s="55" t="s">
        <v>571</v>
      </c>
      <c r="M831" s="29" t="s">
        <v>726</v>
      </c>
      <c r="N831" s="29" t="s">
        <v>973</v>
      </c>
      <c r="O831" s="28"/>
      <c r="P831" s="28" t="s">
        <v>76</v>
      </c>
      <c r="Q831" s="28"/>
      <c r="R831" s="29"/>
      <c r="S831" s="28"/>
      <c r="T831" s="28"/>
      <c r="U831" s="28" t="s">
        <v>75</v>
      </c>
      <c r="V831" s="28" t="s">
        <v>75</v>
      </c>
      <c r="W831" s="28"/>
    </row>
    <row r="832" spans="1:23" s="12" customFormat="1">
      <c r="A832" s="46" t="s">
        <v>572</v>
      </c>
      <c r="B832" s="28" t="s">
        <v>1333</v>
      </c>
      <c r="C832" s="28" t="s">
        <v>2330</v>
      </c>
      <c r="D832" s="28" t="s">
        <v>2626</v>
      </c>
      <c r="E832" s="28" t="s">
        <v>2002</v>
      </c>
      <c r="F832" s="31" t="s">
        <v>716</v>
      </c>
      <c r="G832" s="31" t="s">
        <v>716</v>
      </c>
      <c r="H832" s="31" t="s">
        <v>693</v>
      </c>
      <c r="I832" s="28" t="str">
        <f>VLOOKUP(E832,표준용어사전!$C$2:$D$494, 2, FALSE)</f>
        <v>번호I</v>
      </c>
      <c r="J832" s="28" t="s">
        <v>717</v>
      </c>
      <c r="K832" s="29" t="s">
        <v>571</v>
      </c>
      <c r="L832" s="55" t="s">
        <v>571</v>
      </c>
      <c r="M832" s="29" t="s">
        <v>2591</v>
      </c>
      <c r="N832" s="29" t="s">
        <v>973</v>
      </c>
      <c r="O832" s="28" t="s">
        <v>73</v>
      </c>
      <c r="P832" s="28" t="s">
        <v>76</v>
      </c>
      <c r="Q832" s="28"/>
      <c r="R832" s="29"/>
      <c r="S832" s="28"/>
      <c r="T832" s="28"/>
      <c r="U832" s="28" t="s">
        <v>75</v>
      </c>
      <c r="V832" s="28" t="s">
        <v>75</v>
      </c>
      <c r="W832" s="28"/>
    </row>
    <row r="833" spans="1:23" s="12" customFormat="1">
      <c r="A833" s="46" t="s">
        <v>572</v>
      </c>
      <c r="B833" s="28" t="s">
        <v>1333</v>
      </c>
      <c r="C833" s="28" t="s">
        <v>2330</v>
      </c>
      <c r="D833" s="28" t="s">
        <v>2626</v>
      </c>
      <c r="E833" s="28" t="s">
        <v>246</v>
      </c>
      <c r="F833" s="31" t="s">
        <v>17</v>
      </c>
      <c r="G833" s="31" t="s">
        <v>17</v>
      </c>
      <c r="H833" s="31" t="s">
        <v>693</v>
      </c>
      <c r="I833" s="28" t="str">
        <f>VLOOKUP(E833,표준용어사전!$C$2:$D$494, 2, FALSE)</f>
        <v>명V20</v>
      </c>
      <c r="J833" s="28" t="s">
        <v>718</v>
      </c>
      <c r="K833" s="29" t="s">
        <v>986</v>
      </c>
      <c r="L833" s="55" t="s">
        <v>571</v>
      </c>
      <c r="M833" s="29" t="s">
        <v>727</v>
      </c>
      <c r="N833" s="29" t="s">
        <v>973</v>
      </c>
      <c r="O833" s="9"/>
      <c r="P833" s="9" t="s">
        <v>76</v>
      </c>
      <c r="Q833" s="28"/>
      <c r="R833" s="29"/>
      <c r="S833" s="9"/>
      <c r="T833" s="9"/>
      <c r="U833" s="28" t="s">
        <v>75</v>
      </c>
      <c r="V833" s="28" t="s">
        <v>75</v>
      </c>
      <c r="W833" s="9"/>
    </row>
    <row r="834" spans="1:23" s="12" customFormat="1">
      <c r="A834" s="46" t="s">
        <v>572</v>
      </c>
      <c r="B834" s="28" t="s">
        <v>1333</v>
      </c>
      <c r="C834" s="28" t="s">
        <v>2330</v>
      </c>
      <c r="D834" s="9" t="s">
        <v>2626</v>
      </c>
      <c r="E834" s="28" t="s">
        <v>89</v>
      </c>
      <c r="F834" s="31" t="s">
        <v>501</v>
      </c>
      <c r="G834" s="31" t="s">
        <v>501</v>
      </c>
      <c r="H834" s="31" t="s">
        <v>693</v>
      </c>
      <c r="I834" s="28" t="str">
        <f>VLOOKUP(E834,표준용어사전!$C$2:$D$494, 2, FALSE)</f>
        <v>명V20</v>
      </c>
      <c r="J834" s="28" t="s">
        <v>718</v>
      </c>
      <c r="K834" s="29" t="s">
        <v>986</v>
      </c>
      <c r="L834" s="55" t="s">
        <v>571</v>
      </c>
      <c r="M834" s="29" t="s">
        <v>727</v>
      </c>
      <c r="N834" s="29" t="s">
        <v>973</v>
      </c>
      <c r="O834" s="9"/>
      <c r="P834" s="9" t="s">
        <v>76</v>
      </c>
      <c r="Q834" s="28"/>
      <c r="R834" s="29"/>
      <c r="S834" s="9"/>
      <c r="T834" s="9"/>
      <c r="U834" s="28" t="s">
        <v>75</v>
      </c>
      <c r="V834" s="28" t="s">
        <v>75</v>
      </c>
      <c r="W834" s="9"/>
    </row>
    <row r="835" spans="1:23" s="12" customFormat="1">
      <c r="A835" s="46" t="s">
        <v>572</v>
      </c>
      <c r="B835" s="28" t="s">
        <v>1333</v>
      </c>
      <c r="C835" s="28" t="s">
        <v>2330</v>
      </c>
      <c r="D835" s="9" t="s">
        <v>2626</v>
      </c>
      <c r="E835" s="28" t="s">
        <v>2003</v>
      </c>
      <c r="F835" s="31" t="s">
        <v>477</v>
      </c>
      <c r="G835" s="31" t="s">
        <v>477</v>
      </c>
      <c r="H835" s="31" t="s">
        <v>693</v>
      </c>
      <c r="I835" s="28" t="str">
        <f>VLOOKUP(E835,표준용어사전!$C$2:$D$494, 2, FALSE)</f>
        <v>명V512</v>
      </c>
      <c r="J835" s="28" t="s">
        <v>718</v>
      </c>
      <c r="K835" s="29">
        <v>512</v>
      </c>
      <c r="L835" s="55" t="s">
        <v>571</v>
      </c>
      <c r="M835" s="29" t="s">
        <v>721</v>
      </c>
      <c r="N835" s="29" t="s">
        <v>75</v>
      </c>
      <c r="O835" s="9"/>
      <c r="P835" s="9" t="s">
        <v>76</v>
      </c>
      <c r="Q835" s="28"/>
      <c r="R835" s="29"/>
      <c r="S835" s="9"/>
      <c r="T835" s="9"/>
      <c r="U835" s="28" t="s">
        <v>75</v>
      </c>
      <c r="V835" s="28" t="s">
        <v>75</v>
      </c>
      <c r="W835" s="9"/>
    </row>
    <row r="836" spans="1:23" s="12" customFormat="1">
      <c r="A836" s="46" t="s">
        <v>572</v>
      </c>
      <c r="B836" s="28" t="s">
        <v>1333</v>
      </c>
      <c r="C836" s="28" t="s">
        <v>2330</v>
      </c>
      <c r="D836" s="9" t="s">
        <v>2626</v>
      </c>
      <c r="E836" s="28" t="s">
        <v>268</v>
      </c>
      <c r="F836" s="31" t="s">
        <v>500</v>
      </c>
      <c r="G836" s="31" t="s">
        <v>500</v>
      </c>
      <c r="H836" s="31" t="s">
        <v>693</v>
      </c>
      <c r="I836" s="28" t="str">
        <f>VLOOKUP(E836,표준용어사전!$C$2:$D$494, 2, FALSE)</f>
        <v>코드C1</v>
      </c>
      <c r="J836" s="28" t="s">
        <v>709</v>
      </c>
      <c r="K836" s="29">
        <v>1</v>
      </c>
      <c r="L836" s="55" t="s">
        <v>571</v>
      </c>
      <c r="M836" s="29" t="s">
        <v>722</v>
      </c>
      <c r="N836" s="29" t="s">
        <v>75</v>
      </c>
      <c r="O836" s="9"/>
      <c r="P836" s="9" t="s">
        <v>76</v>
      </c>
      <c r="Q836" s="28"/>
      <c r="R836" s="29"/>
      <c r="S836" s="9"/>
      <c r="T836" s="9"/>
      <c r="U836" s="28" t="s">
        <v>75</v>
      </c>
      <c r="V836" s="28" t="s">
        <v>75</v>
      </c>
      <c r="W836" s="9"/>
    </row>
    <row r="837" spans="1:23" s="12" customFormat="1">
      <c r="A837" s="46" t="s">
        <v>572</v>
      </c>
      <c r="B837" s="28" t="s">
        <v>1333</v>
      </c>
      <c r="C837" s="28" t="s">
        <v>2330</v>
      </c>
      <c r="D837" s="9" t="s">
        <v>2626</v>
      </c>
      <c r="E837" s="28" t="s">
        <v>252</v>
      </c>
      <c r="F837" s="31" t="s">
        <v>77</v>
      </c>
      <c r="G837" s="31" t="s">
        <v>77</v>
      </c>
      <c r="H837" s="31" t="s">
        <v>693</v>
      </c>
      <c r="I837" s="28" t="str">
        <f>VLOOKUP(E837,표준용어사전!$C$2:$D$494, 2, FALSE)</f>
        <v>내용TXT</v>
      </c>
      <c r="J837" s="28" t="s">
        <v>713</v>
      </c>
      <c r="K837" s="29" t="s">
        <v>571</v>
      </c>
      <c r="L837" s="55" t="s">
        <v>571</v>
      </c>
      <c r="M837" s="29" t="s">
        <v>2590</v>
      </c>
      <c r="N837" s="29" t="s">
        <v>75</v>
      </c>
      <c r="O837" s="9"/>
      <c r="P837" s="9" t="s">
        <v>76</v>
      </c>
      <c r="Q837" s="28"/>
      <c r="R837" s="29"/>
      <c r="S837" s="9"/>
      <c r="T837" s="9"/>
      <c r="U837" s="28" t="s">
        <v>75</v>
      </c>
      <c r="V837" s="28" t="s">
        <v>75</v>
      </c>
      <c r="W837" s="9"/>
    </row>
    <row r="838" spans="1:23" s="12" customFormat="1">
      <c r="A838" s="46" t="s">
        <v>572</v>
      </c>
      <c r="B838" s="28" t="s">
        <v>1333</v>
      </c>
      <c r="C838" s="28" t="s">
        <v>2330</v>
      </c>
      <c r="D838" s="9" t="s">
        <v>2626</v>
      </c>
      <c r="E838" s="28" t="s">
        <v>90</v>
      </c>
      <c r="F838" s="31" t="s">
        <v>14</v>
      </c>
      <c r="G838" s="31" t="s">
        <v>14</v>
      </c>
      <c r="H838" s="31" t="s">
        <v>693</v>
      </c>
      <c r="I838" s="28" t="str">
        <f>VLOOKUP(E838,표준용어사전!$C$2:$D$494, 2, FALSE)</f>
        <v>연월일시분초TS</v>
      </c>
      <c r="J838" s="28" t="s">
        <v>719</v>
      </c>
      <c r="K838" s="29" t="s">
        <v>571</v>
      </c>
      <c r="L838" s="55" t="s">
        <v>571</v>
      </c>
      <c r="M838" s="29" t="s">
        <v>726</v>
      </c>
      <c r="N838" s="29" t="s">
        <v>973</v>
      </c>
      <c r="O838" s="9"/>
      <c r="P838" s="9" t="s">
        <v>76</v>
      </c>
      <c r="Q838" s="28"/>
      <c r="R838" s="29"/>
      <c r="S838" s="9"/>
      <c r="T838" s="9"/>
      <c r="U838" s="28" t="s">
        <v>75</v>
      </c>
      <c r="V838" s="28" t="s">
        <v>75</v>
      </c>
      <c r="W838" s="9"/>
    </row>
    <row r="839" spans="1:23" s="12" customFormat="1">
      <c r="A839" s="46" t="s">
        <v>572</v>
      </c>
      <c r="B839" s="28" t="s">
        <v>1333</v>
      </c>
      <c r="C839" s="28" t="s">
        <v>2330</v>
      </c>
      <c r="D839" s="9" t="s">
        <v>2626</v>
      </c>
      <c r="E839" s="28" t="s">
        <v>91</v>
      </c>
      <c r="F839" s="31" t="s">
        <v>369</v>
      </c>
      <c r="G839" s="31" t="s">
        <v>369</v>
      </c>
      <c r="H839" s="31" t="s">
        <v>693</v>
      </c>
      <c r="I839" s="28" t="str">
        <f>VLOOKUP(E839,표준용어사전!$C$2:$D$494, 2, FALSE)</f>
        <v>명V20</v>
      </c>
      <c r="J839" s="28" t="s">
        <v>718</v>
      </c>
      <c r="K839" s="29" t="s">
        <v>986</v>
      </c>
      <c r="L839" s="55" t="s">
        <v>571</v>
      </c>
      <c r="M839" s="29" t="s">
        <v>727</v>
      </c>
      <c r="N839" s="29" t="s">
        <v>75</v>
      </c>
      <c r="O839" s="9"/>
      <c r="P839" s="9" t="s">
        <v>76</v>
      </c>
      <c r="Q839" s="28"/>
      <c r="R839" s="29"/>
      <c r="S839" s="9"/>
      <c r="T839" s="9"/>
      <c r="U839" s="28" t="s">
        <v>75</v>
      </c>
      <c r="V839" s="28" t="s">
        <v>75</v>
      </c>
      <c r="W839" s="9"/>
    </row>
    <row r="840" spans="1:23" s="12" customFormat="1">
      <c r="A840" s="46" t="s">
        <v>572</v>
      </c>
      <c r="B840" s="28" t="s">
        <v>1333</v>
      </c>
      <c r="C840" s="28" t="s">
        <v>2330</v>
      </c>
      <c r="D840" s="9" t="s">
        <v>2626</v>
      </c>
      <c r="E840" s="28" t="s">
        <v>92</v>
      </c>
      <c r="F840" s="31" t="s">
        <v>15</v>
      </c>
      <c r="G840" s="31" t="s">
        <v>15</v>
      </c>
      <c r="H840" s="31" t="s">
        <v>693</v>
      </c>
      <c r="I840" s="28" t="str">
        <f>VLOOKUP(E840,표준용어사전!$C$2:$D$494, 2, FALSE)</f>
        <v>연월일시분초TS</v>
      </c>
      <c r="J840" s="28" t="s">
        <v>719</v>
      </c>
      <c r="K840" s="29" t="s">
        <v>571</v>
      </c>
      <c r="L840" s="55" t="s">
        <v>571</v>
      </c>
      <c r="M840" s="29" t="s">
        <v>726</v>
      </c>
      <c r="N840" s="29" t="s">
        <v>75</v>
      </c>
      <c r="O840" s="9"/>
      <c r="P840" s="9" t="s">
        <v>76</v>
      </c>
      <c r="Q840" s="28"/>
      <c r="R840" s="29"/>
      <c r="S840" s="9"/>
      <c r="T840" s="9"/>
      <c r="U840" s="28" t="s">
        <v>75</v>
      </c>
      <c r="V840" s="28" t="s">
        <v>75</v>
      </c>
      <c r="W840" s="9"/>
    </row>
    <row r="841" spans="1:23" s="12" customFormat="1">
      <c r="A841" s="46" t="s">
        <v>572</v>
      </c>
      <c r="B841" s="28" t="s">
        <v>1333</v>
      </c>
      <c r="C841" s="28" t="s">
        <v>2330</v>
      </c>
      <c r="D841" s="9" t="s">
        <v>2626</v>
      </c>
      <c r="E841" s="28" t="s">
        <v>93</v>
      </c>
      <c r="F841" s="31" t="s">
        <v>370</v>
      </c>
      <c r="G841" s="31" t="s">
        <v>370</v>
      </c>
      <c r="H841" s="31" t="s">
        <v>693</v>
      </c>
      <c r="I841" s="28" t="str">
        <f>VLOOKUP(E841,표준용어사전!$C$2:$D$494, 2, FALSE)</f>
        <v>명V20</v>
      </c>
      <c r="J841" s="28" t="s">
        <v>718</v>
      </c>
      <c r="K841" s="29" t="s">
        <v>986</v>
      </c>
      <c r="L841" s="55" t="s">
        <v>571</v>
      </c>
      <c r="M841" s="29" t="s">
        <v>727</v>
      </c>
      <c r="N841" s="29" t="s">
        <v>75</v>
      </c>
      <c r="O841" s="9"/>
      <c r="P841" s="9" t="s">
        <v>76</v>
      </c>
      <c r="Q841" s="28"/>
      <c r="R841" s="29"/>
      <c r="S841" s="9"/>
      <c r="T841" s="9"/>
      <c r="U841" s="28" t="s">
        <v>75</v>
      </c>
      <c r="V841" s="28" t="s">
        <v>75</v>
      </c>
      <c r="W841" s="9"/>
    </row>
    <row r="842" spans="1:23" s="12" customFormat="1">
      <c r="A842" s="46" t="s">
        <v>572</v>
      </c>
      <c r="B842" s="28" t="s">
        <v>1331</v>
      </c>
      <c r="C842" s="28" t="s">
        <v>2330</v>
      </c>
      <c r="D842" s="9" t="s">
        <v>2627</v>
      </c>
      <c r="E842" s="28" t="s">
        <v>2559</v>
      </c>
      <c r="F842" s="31" t="s">
        <v>562</v>
      </c>
      <c r="G842" s="31" t="s">
        <v>562</v>
      </c>
      <c r="H842" s="31" t="s">
        <v>357</v>
      </c>
      <c r="I842" s="28" t="str">
        <f>VLOOKUP(E842,표준용어사전!$C$2:$D$494, 2, FALSE)</f>
        <v>연월C6</v>
      </c>
      <c r="J842" s="28" t="s">
        <v>709</v>
      </c>
      <c r="K842" s="29">
        <v>6</v>
      </c>
      <c r="L842" s="55" t="s">
        <v>571</v>
      </c>
      <c r="M842" s="29" t="s">
        <v>733</v>
      </c>
      <c r="N842" s="29" t="s">
        <v>973</v>
      </c>
      <c r="O842" s="9" t="s">
        <v>73</v>
      </c>
      <c r="P842" s="9" t="s">
        <v>76</v>
      </c>
      <c r="Q842" s="28"/>
      <c r="R842" s="29"/>
      <c r="S842" s="9"/>
      <c r="T842" s="9"/>
      <c r="U842" s="28" t="s">
        <v>75</v>
      </c>
      <c r="V842" s="28" t="s">
        <v>75</v>
      </c>
      <c r="W842" s="9"/>
    </row>
    <row r="843" spans="1:23" s="12" customFormat="1">
      <c r="A843" s="46" t="s">
        <v>572</v>
      </c>
      <c r="B843" s="28" t="s">
        <v>1331</v>
      </c>
      <c r="C843" s="28" t="s">
        <v>2330</v>
      </c>
      <c r="D843" s="9" t="s">
        <v>2627</v>
      </c>
      <c r="E843" s="28" t="s">
        <v>2560</v>
      </c>
      <c r="F843" s="31" t="s">
        <v>511</v>
      </c>
      <c r="G843" s="31" t="s">
        <v>511</v>
      </c>
      <c r="H843" s="31" t="s">
        <v>357</v>
      </c>
      <c r="I843" s="28" t="str">
        <f>VLOOKUP(E843,표준용어사전!$C$2:$D$494, 2, FALSE)</f>
        <v>코드V50</v>
      </c>
      <c r="J843" s="28" t="s">
        <v>718</v>
      </c>
      <c r="K843" s="29">
        <v>50</v>
      </c>
      <c r="L843" s="55" t="s">
        <v>571</v>
      </c>
      <c r="M843" s="29" t="s">
        <v>720</v>
      </c>
      <c r="N843" s="29" t="s">
        <v>973</v>
      </c>
      <c r="O843" s="9" t="s">
        <v>74</v>
      </c>
      <c r="P843" s="9" t="s">
        <v>76</v>
      </c>
      <c r="Q843" s="28"/>
      <c r="R843" s="29"/>
      <c r="S843" s="9"/>
      <c r="T843" s="9"/>
      <c r="U843" s="28" t="s">
        <v>75</v>
      </c>
      <c r="V843" s="28" t="s">
        <v>75</v>
      </c>
      <c r="W843" s="9"/>
    </row>
    <row r="844" spans="1:23" s="12" customFormat="1">
      <c r="A844" s="46" t="s">
        <v>572</v>
      </c>
      <c r="B844" s="28" t="s">
        <v>1331</v>
      </c>
      <c r="C844" s="28" t="s">
        <v>2330</v>
      </c>
      <c r="D844" s="9" t="s">
        <v>2627</v>
      </c>
      <c r="E844" s="28" t="s">
        <v>2561</v>
      </c>
      <c r="F844" s="31" t="s">
        <v>563</v>
      </c>
      <c r="G844" s="31" t="s">
        <v>563</v>
      </c>
      <c r="H844" s="31" t="s">
        <v>357</v>
      </c>
      <c r="I844" s="28" t="str">
        <f>VLOOKUP(E844,표준용어사전!$C$2:$D$494, 2, FALSE)</f>
        <v>수N10</v>
      </c>
      <c r="J844" s="28" t="s">
        <v>748</v>
      </c>
      <c r="K844" s="29" t="s">
        <v>1061</v>
      </c>
      <c r="L844" s="55" t="s">
        <v>571</v>
      </c>
      <c r="M844" s="29" t="s">
        <v>2592</v>
      </c>
      <c r="N844" s="29" t="s">
        <v>973</v>
      </c>
      <c r="O844" s="9"/>
      <c r="P844" s="9" t="s">
        <v>76</v>
      </c>
      <c r="Q844" s="28"/>
      <c r="R844" s="29"/>
      <c r="S844" s="9"/>
      <c r="T844" s="9"/>
      <c r="U844" s="28" t="s">
        <v>75</v>
      </c>
      <c r="V844" s="28" t="s">
        <v>75</v>
      </c>
      <c r="W844" s="9"/>
    </row>
    <row r="845" spans="1:23" s="12" customFormat="1">
      <c r="A845" s="46" t="s">
        <v>572</v>
      </c>
      <c r="B845" s="28" t="s">
        <v>1331</v>
      </c>
      <c r="C845" s="28" t="s">
        <v>2330</v>
      </c>
      <c r="D845" s="28" t="s">
        <v>2627</v>
      </c>
      <c r="E845" s="28" t="s">
        <v>2562</v>
      </c>
      <c r="F845" s="31" t="s">
        <v>1833</v>
      </c>
      <c r="G845" s="31" t="s">
        <v>1833</v>
      </c>
      <c r="H845" s="31" t="s">
        <v>357</v>
      </c>
      <c r="I845" s="28" t="str">
        <f>VLOOKUP(E845,표준용어사전!$C$2:$D$494, 2, FALSE)</f>
        <v>시분초N10</v>
      </c>
      <c r="J845" s="28" t="s">
        <v>748</v>
      </c>
      <c r="K845" s="29">
        <v>10</v>
      </c>
      <c r="L845" s="55" t="s">
        <v>571</v>
      </c>
      <c r="M845" s="29" t="s">
        <v>2592</v>
      </c>
      <c r="N845" s="29" t="s">
        <v>75</v>
      </c>
      <c r="O845" s="28"/>
      <c r="P845" s="28" t="s">
        <v>76</v>
      </c>
      <c r="Q845" s="28"/>
      <c r="R845" s="29"/>
      <c r="S845" s="28"/>
      <c r="T845" s="28"/>
      <c r="U845" s="28" t="s">
        <v>75</v>
      </c>
      <c r="V845" s="28" t="s">
        <v>75</v>
      </c>
      <c r="W845" s="28"/>
    </row>
    <row r="846" spans="1:23" s="12" customFormat="1">
      <c r="A846" s="46" t="s">
        <v>572</v>
      </c>
      <c r="B846" s="28" t="s">
        <v>1331</v>
      </c>
      <c r="C846" s="28" t="s">
        <v>2330</v>
      </c>
      <c r="D846" s="28" t="s">
        <v>2627</v>
      </c>
      <c r="E846" s="28" t="s">
        <v>2274</v>
      </c>
      <c r="F846" s="31" t="s">
        <v>2273</v>
      </c>
      <c r="G846" s="31" t="s">
        <v>2273</v>
      </c>
      <c r="H846" s="31" t="s">
        <v>357</v>
      </c>
      <c r="I846" s="28" t="str">
        <f>VLOOKUP(E846,표준용어사전!$C$2:$D$494, 2, FALSE)</f>
        <v>코드V50</v>
      </c>
      <c r="J846" s="28" t="s">
        <v>718</v>
      </c>
      <c r="K846" s="29">
        <v>50</v>
      </c>
      <c r="L846" s="55" t="s">
        <v>571</v>
      </c>
      <c r="M846" s="29" t="s">
        <v>720</v>
      </c>
      <c r="N846" s="29" t="s">
        <v>973</v>
      </c>
      <c r="O846" s="28" t="s">
        <v>624</v>
      </c>
      <c r="P846" s="28" t="s">
        <v>76</v>
      </c>
      <c r="Q846" s="28"/>
      <c r="R846" s="29"/>
      <c r="S846" s="28"/>
      <c r="T846" s="28"/>
      <c r="U846" s="28" t="s">
        <v>75</v>
      </c>
      <c r="V846" s="28" t="s">
        <v>75</v>
      </c>
      <c r="W846" s="9"/>
    </row>
    <row r="847" spans="1:23" s="12" customFormat="1">
      <c r="A847" s="46" t="s">
        <v>572</v>
      </c>
      <c r="B847" s="28" t="s">
        <v>1333</v>
      </c>
      <c r="C847" s="28" t="s">
        <v>2330</v>
      </c>
      <c r="D847" s="28" t="s">
        <v>2628</v>
      </c>
      <c r="E847" s="28" t="s">
        <v>2511</v>
      </c>
      <c r="F847" s="31" t="s">
        <v>580</v>
      </c>
      <c r="G847" s="31" t="s">
        <v>580</v>
      </c>
      <c r="H847" s="31" t="s">
        <v>286</v>
      </c>
      <c r="I847" s="28" t="str">
        <f>VLOOKUP(E847,표준용어사전!$C$2:$D$494, 2, FALSE)</f>
        <v>명V20</v>
      </c>
      <c r="J847" s="28" t="s">
        <v>718</v>
      </c>
      <c r="K847" s="29" t="s">
        <v>986</v>
      </c>
      <c r="L847" s="55" t="s">
        <v>571</v>
      </c>
      <c r="M847" s="29" t="s">
        <v>727</v>
      </c>
      <c r="N847" s="29" t="s">
        <v>973</v>
      </c>
      <c r="O847" s="28" t="s">
        <v>73</v>
      </c>
      <c r="P847" s="28" t="s">
        <v>76</v>
      </c>
      <c r="Q847" s="28"/>
      <c r="R847" s="29"/>
      <c r="S847" s="28"/>
      <c r="T847" s="9"/>
      <c r="U847" s="28" t="s">
        <v>75</v>
      </c>
      <c r="V847" s="28" t="s">
        <v>75</v>
      </c>
      <c r="W847" s="28"/>
    </row>
    <row r="848" spans="1:23" s="12" customFormat="1">
      <c r="A848" s="46" t="s">
        <v>572</v>
      </c>
      <c r="B848" s="28" t="s">
        <v>1333</v>
      </c>
      <c r="C848" s="28" t="s">
        <v>2330</v>
      </c>
      <c r="D848" s="28" t="s">
        <v>2628</v>
      </c>
      <c r="E848" s="28" t="s">
        <v>2560</v>
      </c>
      <c r="F848" s="31" t="s">
        <v>511</v>
      </c>
      <c r="G848" s="31" t="s">
        <v>511</v>
      </c>
      <c r="H848" s="31" t="s">
        <v>286</v>
      </c>
      <c r="I848" s="28" t="str">
        <f>VLOOKUP(E848,표준용어사전!$C$2:$D$494, 2, FALSE)</f>
        <v>코드V50</v>
      </c>
      <c r="J848" s="28" t="s">
        <v>718</v>
      </c>
      <c r="K848" s="29">
        <v>50</v>
      </c>
      <c r="L848" s="55" t="s">
        <v>571</v>
      </c>
      <c r="M848" s="29" t="s">
        <v>720</v>
      </c>
      <c r="N848" s="29" t="s">
        <v>973</v>
      </c>
      <c r="O848" s="28"/>
      <c r="P848" s="28" t="s">
        <v>76</v>
      </c>
      <c r="Q848" s="28"/>
      <c r="R848" s="29"/>
      <c r="S848" s="28"/>
      <c r="T848" s="28"/>
      <c r="U848" s="28" t="s">
        <v>75</v>
      </c>
      <c r="V848" s="28" t="s">
        <v>75</v>
      </c>
      <c r="W848" s="28"/>
    </row>
    <row r="849" spans="1:23" s="12" customFormat="1">
      <c r="A849" s="46" t="s">
        <v>572</v>
      </c>
      <c r="B849" s="28" t="s">
        <v>1333</v>
      </c>
      <c r="C849" s="28" t="s">
        <v>2330</v>
      </c>
      <c r="D849" s="28" t="s">
        <v>2628</v>
      </c>
      <c r="E849" s="28" t="s">
        <v>2563</v>
      </c>
      <c r="F849" s="31" t="s">
        <v>596</v>
      </c>
      <c r="G849" s="31" t="s">
        <v>596</v>
      </c>
      <c r="H849" s="31" t="s">
        <v>286</v>
      </c>
      <c r="I849" s="28" t="str">
        <f>VLOOKUP(E849,표준용어사전!$C$2:$D$494, 2, FALSE)</f>
        <v>코드V50</v>
      </c>
      <c r="J849" s="28" t="s">
        <v>718</v>
      </c>
      <c r="K849" s="29">
        <v>50</v>
      </c>
      <c r="L849" s="55" t="s">
        <v>571</v>
      </c>
      <c r="M849" s="29" t="s">
        <v>720</v>
      </c>
      <c r="N849" s="29" t="s">
        <v>75</v>
      </c>
      <c r="O849" s="28"/>
      <c r="P849" s="28" t="s">
        <v>76</v>
      </c>
      <c r="Q849" s="28"/>
      <c r="R849" s="29"/>
      <c r="S849" s="28"/>
      <c r="T849" s="28"/>
      <c r="U849" s="28" t="s">
        <v>75</v>
      </c>
      <c r="V849" s="28" t="s">
        <v>75</v>
      </c>
      <c r="W849" s="28"/>
    </row>
    <row r="850" spans="1:23" s="12" customFormat="1">
      <c r="A850" s="46" t="s">
        <v>572</v>
      </c>
      <c r="B850" s="28" t="s">
        <v>1333</v>
      </c>
      <c r="C850" s="28" t="s">
        <v>2330</v>
      </c>
      <c r="D850" s="28" t="s">
        <v>2628</v>
      </c>
      <c r="E850" s="28" t="s">
        <v>2564</v>
      </c>
      <c r="F850" s="31" t="s">
        <v>512</v>
      </c>
      <c r="G850" s="31" t="s">
        <v>512</v>
      </c>
      <c r="H850" s="31" t="s">
        <v>286</v>
      </c>
      <c r="I850" s="28" t="str">
        <f>VLOOKUP(E850,표준용어사전!$C$2:$D$494, 2, FALSE)</f>
        <v>명V200</v>
      </c>
      <c r="J850" s="28" t="s">
        <v>718</v>
      </c>
      <c r="K850" s="29" t="s">
        <v>984</v>
      </c>
      <c r="L850" s="55" t="s">
        <v>571</v>
      </c>
      <c r="M850" s="29" t="s">
        <v>715</v>
      </c>
      <c r="N850" s="29" t="s">
        <v>75</v>
      </c>
      <c r="O850" s="28"/>
      <c r="P850" s="28" t="s">
        <v>76</v>
      </c>
      <c r="Q850" s="28"/>
      <c r="R850" s="29"/>
      <c r="S850" s="28"/>
      <c r="T850" s="28"/>
      <c r="U850" s="28" t="s">
        <v>75</v>
      </c>
      <c r="V850" s="28" t="s">
        <v>75</v>
      </c>
      <c r="W850" s="28"/>
    </row>
    <row r="851" spans="1:23" s="12" customFormat="1">
      <c r="A851" s="46" t="s">
        <v>572</v>
      </c>
      <c r="B851" s="28" t="s">
        <v>1333</v>
      </c>
      <c r="C851" s="28" t="s">
        <v>2330</v>
      </c>
      <c r="D851" s="28" t="s">
        <v>2628</v>
      </c>
      <c r="E851" s="28" t="s">
        <v>2565</v>
      </c>
      <c r="F851" s="31" t="s">
        <v>513</v>
      </c>
      <c r="G851" s="31" t="s">
        <v>513</v>
      </c>
      <c r="H851" s="31" t="s">
        <v>286</v>
      </c>
      <c r="I851" s="28" t="str">
        <f>VLOOKUP(E851,표준용어사전!$C$2:$D$494, 2, FALSE)</f>
        <v>명V200</v>
      </c>
      <c r="J851" s="28" t="s">
        <v>718</v>
      </c>
      <c r="K851" s="29" t="s">
        <v>984</v>
      </c>
      <c r="L851" s="55" t="s">
        <v>571</v>
      </c>
      <c r="M851" s="29" t="s">
        <v>715</v>
      </c>
      <c r="N851" s="29" t="s">
        <v>75</v>
      </c>
      <c r="O851" s="28"/>
      <c r="P851" s="28" t="s">
        <v>76</v>
      </c>
      <c r="Q851" s="28"/>
      <c r="R851" s="29"/>
      <c r="S851" s="28"/>
      <c r="T851" s="28"/>
      <c r="U851" s="28" t="s">
        <v>75</v>
      </c>
      <c r="V851" s="28" t="s">
        <v>75</v>
      </c>
      <c r="W851" s="28"/>
    </row>
    <row r="852" spans="1:23" s="12" customFormat="1">
      <c r="A852" s="46" t="s">
        <v>572</v>
      </c>
      <c r="B852" s="28" t="s">
        <v>1333</v>
      </c>
      <c r="C852" s="28" t="s">
        <v>2330</v>
      </c>
      <c r="D852" s="9" t="s">
        <v>2628</v>
      </c>
      <c r="E852" s="28" t="s">
        <v>90</v>
      </c>
      <c r="F852" s="31" t="s">
        <v>14</v>
      </c>
      <c r="G852" s="31" t="s">
        <v>14</v>
      </c>
      <c r="H852" s="31" t="s">
        <v>286</v>
      </c>
      <c r="I852" s="28" t="str">
        <f>VLOOKUP(E852,표준용어사전!$C$2:$D$494, 2, FALSE)</f>
        <v>연월일시분초TS</v>
      </c>
      <c r="J852" s="28" t="s">
        <v>719</v>
      </c>
      <c r="K852" s="29" t="s">
        <v>571</v>
      </c>
      <c r="L852" s="55" t="s">
        <v>571</v>
      </c>
      <c r="M852" s="29" t="s">
        <v>726</v>
      </c>
      <c r="N852" s="29" t="s">
        <v>973</v>
      </c>
      <c r="O852" s="9"/>
      <c r="P852" s="9" t="s">
        <v>76</v>
      </c>
      <c r="Q852" s="28"/>
      <c r="R852" s="29"/>
      <c r="S852" s="9"/>
      <c r="T852" s="9"/>
      <c r="U852" s="28" t="s">
        <v>75</v>
      </c>
      <c r="V852" s="28" t="s">
        <v>75</v>
      </c>
      <c r="W852" s="9"/>
    </row>
    <row r="853" spans="1:23" s="12" customFormat="1">
      <c r="A853" s="46" t="s">
        <v>572</v>
      </c>
      <c r="B853" s="28" t="s">
        <v>1333</v>
      </c>
      <c r="C853" s="28" t="s">
        <v>2330</v>
      </c>
      <c r="D853" s="28" t="s">
        <v>2628</v>
      </c>
      <c r="E853" s="28" t="s">
        <v>91</v>
      </c>
      <c r="F853" s="31" t="s">
        <v>369</v>
      </c>
      <c r="G853" s="31" t="s">
        <v>369</v>
      </c>
      <c r="H853" s="31" t="s">
        <v>286</v>
      </c>
      <c r="I853" s="28" t="str">
        <f>VLOOKUP(E853,표준용어사전!$C$2:$D$494, 2, FALSE)</f>
        <v>명V20</v>
      </c>
      <c r="J853" s="28" t="s">
        <v>718</v>
      </c>
      <c r="K853" s="29" t="s">
        <v>986</v>
      </c>
      <c r="L853" s="55" t="s">
        <v>571</v>
      </c>
      <c r="M853" s="29" t="s">
        <v>727</v>
      </c>
      <c r="N853" s="29" t="s">
        <v>75</v>
      </c>
      <c r="O853" s="28"/>
      <c r="P853" s="28" t="s">
        <v>76</v>
      </c>
      <c r="Q853" s="28"/>
      <c r="R853" s="29"/>
      <c r="S853" s="28"/>
      <c r="T853" s="28"/>
      <c r="U853" s="28" t="s">
        <v>75</v>
      </c>
      <c r="V853" s="28" t="s">
        <v>75</v>
      </c>
      <c r="W853" s="28"/>
    </row>
    <row r="854" spans="1:23" s="12" customFormat="1">
      <c r="A854" s="46" t="s">
        <v>572</v>
      </c>
      <c r="B854" s="28" t="s">
        <v>1333</v>
      </c>
      <c r="C854" s="28" t="s">
        <v>2330</v>
      </c>
      <c r="D854" s="28" t="s">
        <v>2628</v>
      </c>
      <c r="E854" s="28" t="s">
        <v>92</v>
      </c>
      <c r="F854" s="31" t="s">
        <v>15</v>
      </c>
      <c r="G854" s="31" t="s">
        <v>15</v>
      </c>
      <c r="H854" s="31" t="s">
        <v>286</v>
      </c>
      <c r="I854" s="28" t="str">
        <f>VLOOKUP(E854,표준용어사전!$C$2:$D$494, 2, FALSE)</f>
        <v>연월일시분초TS</v>
      </c>
      <c r="J854" s="28" t="s">
        <v>719</v>
      </c>
      <c r="K854" s="29" t="s">
        <v>571</v>
      </c>
      <c r="L854" s="55" t="s">
        <v>571</v>
      </c>
      <c r="M854" s="29" t="s">
        <v>726</v>
      </c>
      <c r="N854" s="29" t="s">
        <v>75</v>
      </c>
      <c r="O854" s="28"/>
      <c r="P854" s="28" t="s">
        <v>76</v>
      </c>
      <c r="Q854" s="28"/>
      <c r="R854" s="29"/>
      <c r="S854" s="28"/>
      <c r="T854" s="28"/>
      <c r="U854" s="28" t="s">
        <v>75</v>
      </c>
      <c r="V854" s="28" t="s">
        <v>75</v>
      </c>
      <c r="W854" s="9"/>
    </row>
    <row r="855" spans="1:23" s="12" customFormat="1">
      <c r="A855" s="46" t="s">
        <v>572</v>
      </c>
      <c r="B855" s="28" t="s">
        <v>1333</v>
      </c>
      <c r="C855" s="28" t="s">
        <v>2330</v>
      </c>
      <c r="D855" s="28" t="s">
        <v>2628</v>
      </c>
      <c r="E855" s="28" t="s">
        <v>93</v>
      </c>
      <c r="F855" s="31" t="s">
        <v>370</v>
      </c>
      <c r="G855" s="31" t="s">
        <v>370</v>
      </c>
      <c r="H855" s="31" t="s">
        <v>286</v>
      </c>
      <c r="I855" s="28" t="str">
        <f>VLOOKUP(E855,표준용어사전!$C$2:$D$494, 2, FALSE)</f>
        <v>명V20</v>
      </c>
      <c r="J855" s="28" t="s">
        <v>718</v>
      </c>
      <c r="K855" s="29" t="s">
        <v>986</v>
      </c>
      <c r="L855" s="55" t="s">
        <v>571</v>
      </c>
      <c r="M855" s="29" t="s">
        <v>727</v>
      </c>
      <c r="N855" s="29" t="s">
        <v>75</v>
      </c>
      <c r="O855" s="28"/>
      <c r="P855" s="28" t="s">
        <v>76</v>
      </c>
      <c r="Q855" s="28"/>
      <c r="R855" s="29"/>
      <c r="S855" s="28"/>
      <c r="T855" s="28"/>
      <c r="U855" s="28" t="s">
        <v>75</v>
      </c>
      <c r="V855" s="28" t="s">
        <v>75</v>
      </c>
      <c r="W855" s="28"/>
    </row>
    <row r="856" spans="1:23" s="12" customFormat="1">
      <c r="A856" s="46" t="s">
        <v>572</v>
      </c>
      <c r="B856" s="28" t="s">
        <v>1333</v>
      </c>
      <c r="C856" s="28" t="s">
        <v>2330</v>
      </c>
      <c r="D856" s="28" t="s">
        <v>2628</v>
      </c>
      <c r="E856" s="28" t="s">
        <v>2328</v>
      </c>
      <c r="F856" s="31" t="s">
        <v>2427</v>
      </c>
      <c r="G856" s="31" t="s">
        <v>2427</v>
      </c>
      <c r="H856" s="31" t="s">
        <v>286</v>
      </c>
      <c r="I856" s="28" t="str">
        <f>VLOOKUP(E856,표준용어사전!$C$2:$D$494, 2, FALSE)</f>
        <v>여부C1</v>
      </c>
      <c r="J856" s="28" t="s">
        <v>709</v>
      </c>
      <c r="K856" s="29">
        <v>1</v>
      </c>
      <c r="L856" s="55" t="s">
        <v>571</v>
      </c>
      <c r="M856" s="29" t="s">
        <v>722</v>
      </c>
      <c r="N856" s="29" t="s">
        <v>973</v>
      </c>
      <c r="O856" s="28"/>
      <c r="P856" s="28" t="s">
        <v>76</v>
      </c>
      <c r="Q856" s="28"/>
      <c r="R856" s="29"/>
      <c r="S856" s="28"/>
      <c r="T856" s="28"/>
      <c r="U856" s="28" t="s">
        <v>75</v>
      </c>
      <c r="V856" s="28" t="s">
        <v>75</v>
      </c>
      <c r="W856" s="28"/>
    </row>
    <row r="857" spans="1:23" s="12" customFormat="1">
      <c r="A857" s="46" t="s">
        <v>572</v>
      </c>
      <c r="B857" s="28" t="s">
        <v>2580</v>
      </c>
      <c r="C857" s="28" t="s">
        <v>2330</v>
      </c>
      <c r="D857" s="28" t="s">
        <v>2472</v>
      </c>
      <c r="E857" s="28" t="s">
        <v>295</v>
      </c>
      <c r="F857" s="31" t="s">
        <v>518</v>
      </c>
      <c r="G857" s="31" t="s">
        <v>518</v>
      </c>
      <c r="H857" s="31" t="s">
        <v>2375</v>
      </c>
      <c r="I857" s="28" t="str">
        <f>VLOOKUP(E857,표준용어사전!$C$2:$D$494, 2, FALSE)</f>
        <v>명V50</v>
      </c>
      <c r="J857" s="28" t="s">
        <v>718</v>
      </c>
      <c r="K857" s="29">
        <v>50</v>
      </c>
      <c r="L857" s="55" t="s">
        <v>571</v>
      </c>
      <c r="M857" s="29" t="s">
        <v>720</v>
      </c>
      <c r="N857" s="29" t="s">
        <v>973</v>
      </c>
      <c r="O857" s="28" t="s">
        <v>73</v>
      </c>
      <c r="P857" s="28" t="s">
        <v>76</v>
      </c>
      <c r="Q857" s="28"/>
      <c r="R857" s="29"/>
      <c r="S857" s="28"/>
      <c r="T857" s="28"/>
      <c r="U857" s="28" t="s">
        <v>75</v>
      </c>
      <c r="V857" s="28" t="s">
        <v>75</v>
      </c>
      <c r="W857" s="28"/>
    </row>
    <row r="858" spans="1:23" s="12" customFormat="1">
      <c r="A858" s="46" t="s">
        <v>572</v>
      </c>
      <c r="B858" s="28" t="s">
        <v>2580</v>
      </c>
      <c r="C858" s="28" t="s">
        <v>2330</v>
      </c>
      <c r="D858" s="28" t="s">
        <v>2472</v>
      </c>
      <c r="E858" s="28" t="s">
        <v>2226</v>
      </c>
      <c r="F858" s="31" t="s">
        <v>2428</v>
      </c>
      <c r="G858" s="31" t="s">
        <v>2428</v>
      </c>
      <c r="H858" s="31" t="s">
        <v>2375</v>
      </c>
      <c r="I858" s="28" t="str">
        <f>VLOOKUP(E858,표준용어사전!$C$2:$D$494, 2, FALSE)</f>
        <v>주소V2000</v>
      </c>
      <c r="J858" s="28" t="s">
        <v>718</v>
      </c>
      <c r="K858" s="29">
        <v>2000</v>
      </c>
      <c r="L858" s="55" t="s">
        <v>571</v>
      </c>
      <c r="M858" s="29" t="s">
        <v>728</v>
      </c>
      <c r="N858" s="29" t="s">
        <v>973</v>
      </c>
      <c r="O858" s="28" t="s">
        <v>74</v>
      </c>
      <c r="P858" s="28" t="s">
        <v>76</v>
      </c>
      <c r="Q858" s="28"/>
      <c r="R858" s="29"/>
      <c r="S858" s="28"/>
      <c r="T858" s="28"/>
      <c r="U858" s="28" t="s">
        <v>75</v>
      </c>
      <c r="V858" s="28" t="s">
        <v>75</v>
      </c>
      <c r="W858" s="28"/>
    </row>
    <row r="859" spans="1:23" s="12" customFormat="1">
      <c r="A859" s="46" t="s">
        <v>572</v>
      </c>
      <c r="B859" s="28" t="s">
        <v>2580</v>
      </c>
      <c r="C859" s="28" t="s">
        <v>2330</v>
      </c>
      <c r="D859" s="9" t="s">
        <v>2472</v>
      </c>
      <c r="E859" s="28" t="s">
        <v>91</v>
      </c>
      <c r="F859" s="31" t="s">
        <v>369</v>
      </c>
      <c r="G859" s="31" t="s">
        <v>369</v>
      </c>
      <c r="H859" s="31" t="s">
        <v>2375</v>
      </c>
      <c r="I859" s="28" t="str">
        <f>VLOOKUP(E859,표준용어사전!$C$2:$D$494, 2, FALSE)</f>
        <v>명V20</v>
      </c>
      <c r="J859" s="28" t="s">
        <v>718</v>
      </c>
      <c r="K859" s="29" t="s">
        <v>986</v>
      </c>
      <c r="L859" s="55" t="s">
        <v>571</v>
      </c>
      <c r="M859" s="29" t="s">
        <v>727</v>
      </c>
      <c r="N859" s="29" t="s">
        <v>75</v>
      </c>
      <c r="O859" s="9"/>
      <c r="P859" s="9" t="s">
        <v>76</v>
      </c>
      <c r="Q859" s="28"/>
      <c r="R859" s="29"/>
      <c r="S859" s="9"/>
      <c r="T859" s="9"/>
      <c r="U859" s="28" t="s">
        <v>75</v>
      </c>
      <c r="V859" s="28" t="s">
        <v>75</v>
      </c>
      <c r="W859" s="9"/>
    </row>
    <row r="860" spans="1:23" s="12" customFormat="1">
      <c r="A860" s="46" t="s">
        <v>572</v>
      </c>
      <c r="B860" s="28" t="s">
        <v>2580</v>
      </c>
      <c r="C860" s="28" t="s">
        <v>2330</v>
      </c>
      <c r="D860" s="28" t="s">
        <v>2472</v>
      </c>
      <c r="E860" s="28" t="s">
        <v>90</v>
      </c>
      <c r="F860" s="31" t="s">
        <v>14</v>
      </c>
      <c r="G860" s="31" t="s">
        <v>14</v>
      </c>
      <c r="H860" s="31" t="s">
        <v>2375</v>
      </c>
      <c r="I860" s="28" t="str">
        <f>VLOOKUP(E860,표준용어사전!$C$2:$D$494, 2, FALSE)</f>
        <v>연월일시분초TS</v>
      </c>
      <c r="J860" s="28" t="s">
        <v>719</v>
      </c>
      <c r="K860" s="29" t="s">
        <v>571</v>
      </c>
      <c r="L860" s="55" t="s">
        <v>571</v>
      </c>
      <c r="M860" s="29" t="s">
        <v>726</v>
      </c>
      <c r="N860" s="29" t="s">
        <v>973</v>
      </c>
      <c r="O860" s="28"/>
      <c r="P860" s="28" t="s">
        <v>76</v>
      </c>
      <c r="Q860" s="28"/>
      <c r="R860" s="29"/>
      <c r="S860" s="28"/>
      <c r="T860" s="28"/>
      <c r="U860" s="28" t="s">
        <v>75</v>
      </c>
      <c r="V860" s="28" t="s">
        <v>75</v>
      </c>
      <c r="W860" s="28"/>
    </row>
    <row r="861" spans="1:23" s="12" customFormat="1">
      <c r="A861" s="46" t="s">
        <v>572</v>
      </c>
      <c r="B861" s="28" t="s">
        <v>1331</v>
      </c>
      <c r="C861" s="28" t="s">
        <v>2330</v>
      </c>
      <c r="D861" s="28" t="s">
        <v>2629</v>
      </c>
      <c r="E861" s="28" t="s">
        <v>2566</v>
      </c>
      <c r="F861" s="31" t="s">
        <v>558</v>
      </c>
      <c r="G861" s="31" t="s">
        <v>558</v>
      </c>
      <c r="H861" s="31" t="s">
        <v>350</v>
      </c>
      <c r="I861" s="28" t="str">
        <f>VLOOKUP(E861,표준용어사전!$C$2:$D$494, 2, FALSE)</f>
        <v>연월C6</v>
      </c>
      <c r="J861" s="28" t="s">
        <v>709</v>
      </c>
      <c r="K861" s="29">
        <v>6</v>
      </c>
      <c r="L861" s="55" t="s">
        <v>571</v>
      </c>
      <c r="M861" s="29" t="s">
        <v>733</v>
      </c>
      <c r="N861" s="29" t="s">
        <v>973</v>
      </c>
      <c r="O861" s="28" t="s">
        <v>73</v>
      </c>
      <c r="P861" s="28" t="s">
        <v>76</v>
      </c>
      <c r="Q861" s="28"/>
      <c r="R861" s="29"/>
      <c r="S861" s="28"/>
      <c r="T861" s="28"/>
      <c r="U861" s="28" t="s">
        <v>75</v>
      </c>
      <c r="V861" s="28" t="s">
        <v>75</v>
      </c>
      <c r="W861" s="28"/>
    </row>
    <row r="862" spans="1:23" s="12" customFormat="1">
      <c r="A862" s="46" t="s">
        <v>572</v>
      </c>
      <c r="B862" s="28" t="s">
        <v>1331</v>
      </c>
      <c r="C862" s="28" t="s">
        <v>2330</v>
      </c>
      <c r="D862" s="28" t="s">
        <v>2629</v>
      </c>
      <c r="E862" s="28" t="s">
        <v>2567</v>
      </c>
      <c r="F862" s="31" t="s">
        <v>507</v>
      </c>
      <c r="G862" s="31" t="s">
        <v>507</v>
      </c>
      <c r="H862" s="31" t="s">
        <v>350</v>
      </c>
      <c r="I862" s="28" t="str">
        <f>VLOOKUP(E862,표준용어사전!$C$2:$D$494, 2, FALSE)</f>
        <v>코드V50</v>
      </c>
      <c r="J862" s="28" t="s">
        <v>718</v>
      </c>
      <c r="K862" s="29">
        <v>50</v>
      </c>
      <c r="L862" s="55" t="s">
        <v>571</v>
      </c>
      <c r="M862" s="29" t="s">
        <v>720</v>
      </c>
      <c r="N862" s="29" t="s">
        <v>973</v>
      </c>
      <c r="O862" s="28" t="s">
        <v>74</v>
      </c>
      <c r="P862" s="28" t="s">
        <v>76</v>
      </c>
      <c r="Q862" s="28"/>
      <c r="R862" s="29"/>
      <c r="S862" s="28"/>
      <c r="T862" s="28"/>
      <c r="U862" s="28" t="s">
        <v>75</v>
      </c>
      <c r="V862" s="28" t="s">
        <v>75</v>
      </c>
      <c r="W862" s="28"/>
    </row>
    <row r="863" spans="1:23" s="12" customFormat="1">
      <c r="A863" s="46" t="s">
        <v>572</v>
      </c>
      <c r="B863" s="28" t="s">
        <v>1331</v>
      </c>
      <c r="C863" s="28" t="s">
        <v>2330</v>
      </c>
      <c r="D863" s="28" t="s">
        <v>2629</v>
      </c>
      <c r="E863" s="28" t="s">
        <v>2568</v>
      </c>
      <c r="F863" s="31" t="s">
        <v>559</v>
      </c>
      <c r="G863" s="31" t="s">
        <v>559</v>
      </c>
      <c r="H863" s="31" t="s">
        <v>350</v>
      </c>
      <c r="I863" s="28" t="str">
        <f>VLOOKUP(E863,표준용어사전!$C$2:$D$494, 2, FALSE)</f>
        <v>수N10</v>
      </c>
      <c r="J863" s="28" t="s">
        <v>748</v>
      </c>
      <c r="K863" s="29" t="s">
        <v>1061</v>
      </c>
      <c r="L863" s="55" t="s">
        <v>571</v>
      </c>
      <c r="M863" s="29" t="s">
        <v>2592</v>
      </c>
      <c r="N863" s="29" t="s">
        <v>75</v>
      </c>
      <c r="O863" s="28"/>
      <c r="P863" s="28" t="s">
        <v>76</v>
      </c>
      <c r="Q863" s="28"/>
      <c r="R863" s="29"/>
      <c r="S863" s="28"/>
      <c r="T863" s="28"/>
      <c r="U863" s="28" t="s">
        <v>75</v>
      </c>
      <c r="V863" s="28" t="s">
        <v>75</v>
      </c>
      <c r="W863" s="28"/>
    </row>
    <row r="864" spans="1:23" s="12" customFormat="1">
      <c r="A864" s="46" t="s">
        <v>572</v>
      </c>
      <c r="B864" s="28" t="s">
        <v>1331</v>
      </c>
      <c r="C864" s="28" t="s">
        <v>2330</v>
      </c>
      <c r="D864" s="28" t="s">
        <v>2629</v>
      </c>
      <c r="E864" s="28" t="s">
        <v>2569</v>
      </c>
      <c r="F864" s="31" t="s">
        <v>1837</v>
      </c>
      <c r="G864" s="31" t="s">
        <v>1837</v>
      </c>
      <c r="H864" s="31" t="s">
        <v>350</v>
      </c>
      <c r="I864" s="28" t="str">
        <f>VLOOKUP(E864,표준용어사전!$C$2:$D$494, 2, FALSE)</f>
        <v>시분초N10</v>
      </c>
      <c r="J864" s="28" t="s">
        <v>748</v>
      </c>
      <c r="K864" s="29">
        <v>10</v>
      </c>
      <c r="L864" s="55" t="s">
        <v>571</v>
      </c>
      <c r="M864" s="29" t="s">
        <v>2592</v>
      </c>
      <c r="N864" s="29" t="s">
        <v>75</v>
      </c>
      <c r="O864" s="28"/>
      <c r="P864" s="28" t="s">
        <v>76</v>
      </c>
      <c r="Q864" s="28"/>
      <c r="R864" s="29"/>
      <c r="S864" s="28"/>
      <c r="T864" s="28"/>
      <c r="U864" s="28" t="s">
        <v>75</v>
      </c>
      <c r="V864" s="28" t="s">
        <v>75</v>
      </c>
      <c r="W864" s="28"/>
    </row>
    <row r="865" spans="1:23" s="12" customFormat="1">
      <c r="A865" s="46" t="s">
        <v>572</v>
      </c>
      <c r="B865" s="28" t="s">
        <v>1331</v>
      </c>
      <c r="C865" s="28" t="s">
        <v>2330</v>
      </c>
      <c r="D865" s="28" t="s">
        <v>2629</v>
      </c>
      <c r="E865" s="28" t="s">
        <v>2274</v>
      </c>
      <c r="F865" s="31" t="s">
        <v>2273</v>
      </c>
      <c r="G865" s="31" t="s">
        <v>2273</v>
      </c>
      <c r="H865" s="31" t="s">
        <v>350</v>
      </c>
      <c r="I865" s="28" t="str">
        <f>VLOOKUP(E865,표준용어사전!$C$2:$D$494, 2, FALSE)</f>
        <v>코드V50</v>
      </c>
      <c r="J865" s="28" t="s">
        <v>718</v>
      </c>
      <c r="K865" s="29">
        <v>50</v>
      </c>
      <c r="L865" s="55" t="s">
        <v>571</v>
      </c>
      <c r="M865" s="29" t="s">
        <v>720</v>
      </c>
      <c r="N865" s="29" t="s">
        <v>973</v>
      </c>
      <c r="O865" s="28" t="s">
        <v>624</v>
      </c>
      <c r="P865" s="28" t="s">
        <v>76</v>
      </c>
      <c r="Q865" s="28"/>
      <c r="R865" s="29"/>
      <c r="S865" s="28"/>
      <c r="T865" s="9"/>
      <c r="U865" s="28" t="s">
        <v>75</v>
      </c>
      <c r="V865" s="28" t="s">
        <v>75</v>
      </c>
      <c r="W865" s="28"/>
    </row>
    <row r="866" spans="1:23" s="12" customFormat="1">
      <c r="A866" s="46" t="s">
        <v>572</v>
      </c>
      <c r="B866" s="28" t="s">
        <v>1333</v>
      </c>
      <c r="C866" s="28" t="s">
        <v>2330</v>
      </c>
      <c r="D866" s="28" t="s">
        <v>2630</v>
      </c>
      <c r="E866" s="28" t="s">
        <v>2511</v>
      </c>
      <c r="F866" s="31" t="s">
        <v>580</v>
      </c>
      <c r="G866" s="31" t="s">
        <v>580</v>
      </c>
      <c r="H866" s="31" t="s">
        <v>278</v>
      </c>
      <c r="I866" s="28" t="str">
        <f>VLOOKUP(E866,표준용어사전!$C$2:$D$494, 2, FALSE)</f>
        <v>명V20</v>
      </c>
      <c r="J866" s="28" t="s">
        <v>718</v>
      </c>
      <c r="K866" s="29" t="s">
        <v>986</v>
      </c>
      <c r="L866" s="55" t="s">
        <v>571</v>
      </c>
      <c r="M866" s="29" t="s">
        <v>727</v>
      </c>
      <c r="N866" s="29" t="s">
        <v>973</v>
      </c>
      <c r="O866" s="28" t="s">
        <v>73</v>
      </c>
      <c r="P866" s="28" t="s">
        <v>76</v>
      </c>
      <c r="Q866" s="28"/>
      <c r="R866" s="29"/>
      <c r="S866" s="28"/>
      <c r="T866" s="28"/>
      <c r="U866" s="28" t="s">
        <v>75</v>
      </c>
      <c r="V866" s="28" t="s">
        <v>75</v>
      </c>
      <c r="W866" s="28"/>
    </row>
    <row r="867" spans="1:23" s="12" customFormat="1">
      <c r="A867" s="46" t="s">
        <v>572</v>
      </c>
      <c r="B867" s="28" t="s">
        <v>1333</v>
      </c>
      <c r="C867" s="28" t="s">
        <v>2330</v>
      </c>
      <c r="D867" s="28" t="s">
        <v>2630</v>
      </c>
      <c r="E867" s="28" t="s">
        <v>2567</v>
      </c>
      <c r="F867" s="31" t="s">
        <v>507</v>
      </c>
      <c r="G867" s="31" t="s">
        <v>507</v>
      </c>
      <c r="H867" s="31" t="s">
        <v>278</v>
      </c>
      <c r="I867" s="28" t="str">
        <f>VLOOKUP(E867,표준용어사전!$C$2:$D$494, 2, FALSE)</f>
        <v>코드V50</v>
      </c>
      <c r="J867" s="28" t="s">
        <v>718</v>
      </c>
      <c r="K867" s="29">
        <v>50</v>
      </c>
      <c r="L867" s="55" t="s">
        <v>571</v>
      </c>
      <c r="M867" s="29" t="s">
        <v>720</v>
      </c>
      <c r="N867" s="29" t="s">
        <v>973</v>
      </c>
      <c r="O867" s="28"/>
      <c r="P867" s="28" t="s">
        <v>76</v>
      </c>
      <c r="Q867" s="28"/>
      <c r="R867" s="29"/>
      <c r="S867" s="28"/>
      <c r="T867" s="28"/>
      <c r="U867" s="28" t="s">
        <v>75</v>
      </c>
      <c r="V867" s="28" t="s">
        <v>75</v>
      </c>
      <c r="W867" s="28"/>
    </row>
    <row r="868" spans="1:23" s="12" customFormat="1">
      <c r="A868" s="46" t="s">
        <v>572</v>
      </c>
      <c r="B868" s="28" t="s">
        <v>1333</v>
      </c>
      <c r="C868" s="28" t="s">
        <v>2330</v>
      </c>
      <c r="D868" s="28" t="s">
        <v>2630</v>
      </c>
      <c r="E868" s="28" t="s">
        <v>2570</v>
      </c>
      <c r="F868" s="31" t="s">
        <v>581</v>
      </c>
      <c r="G868" s="31" t="s">
        <v>581</v>
      </c>
      <c r="H868" s="31" t="s">
        <v>278</v>
      </c>
      <c r="I868" s="28" t="str">
        <f>VLOOKUP(E868,표준용어사전!$C$2:$D$494, 2, FALSE)</f>
        <v>코드V50</v>
      </c>
      <c r="J868" s="28" t="s">
        <v>718</v>
      </c>
      <c r="K868" s="29">
        <v>50</v>
      </c>
      <c r="L868" s="55" t="s">
        <v>571</v>
      </c>
      <c r="M868" s="29" t="s">
        <v>720</v>
      </c>
      <c r="N868" s="29" t="s">
        <v>75</v>
      </c>
      <c r="O868" s="28"/>
      <c r="P868" s="28" t="s">
        <v>76</v>
      </c>
      <c r="Q868" s="28"/>
      <c r="R868" s="29"/>
      <c r="S868" s="28"/>
      <c r="T868" s="28"/>
      <c r="U868" s="28" t="s">
        <v>75</v>
      </c>
      <c r="V868" s="28" t="s">
        <v>75</v>
      </c>
      <c r="W868" s="9"/>
    </row>
    <row r="869" spans="1:23" s="12" customFormat="1">
      <c r="A869" s="46" t="s">
        <v>572</v>
      </c>
      <c r="B869" s="28" t="s">
        <v>1333</v>
      </c>
      <c r="C869" s="28" t="s">
        <v>2330</v>
      </c>
      <c r="D869" s="28" t="s">
        <v>2630</v>
      </c>
      <c r="E869" s="28" t="s">
        <v>2571</v>
      </c>
      <c r="F869" s="31" t="s">
        <v>582</v>
      </c>
      <c r="G869" s="31" t="s">
        <v>582</v>
      </c>
      <c r="H869" s="31" t="s">
        <v>278</v>
      </c>
      <c r="I869" s="28" t="str">
        <f>VLOOKUP(E869,표준용어사전!$C$2:$D$494, 2, FALSE)</f>
        <v>명V100</v>
      </c>
      <c r="J869" s="28" t="s">
        <v>718</v>
      </c>
      <c r="K869" s="29">
        <v>100</v>
      </c>
      <c r="L869" s="55" t="s">
        <v>571</v>
      </c>
      <c r="M869" s="29" t="s">
        <v>729</v>
      </c>
      <c r="N869" s="29" t="s">
        <v>75</v>
      </c>
      <c r="O869" s="28"/>
      <c r="P869" s="28" t="s">
        <v>76</v>
      </c>
      <c r="Q869" s="28"/>
      <c r="R869" s="29"/>
      <c r="S869" s="28"/>
      <c r="T869" s="28"/>
      <c r="U869" s="28" t="s">
        <v>75</v>
      </c>
      <c r="V869" s="28" t="s">
        <v>75</v>
      </c>
      <c r="W869" s="28"/>
    </row>
    <row r="870" spans="1:23" s="12" customFormat="1">
      <c r="A870" s="46" t="s">
        <v>572</v>
      </c>
      <c r="B870" s="28" t="s">
        <v>1333</v>
      </c>
      <c r="C870" s="28" t="s">
        <v>2330</v>
      </c>
      <c r="D870" s="28" t="s">
        <v>2630</v>
      </c>
      <c r="E870" s="28" t="s">
        <v>2572</v>
      </c>
      <c r="F870" s="31" t="s">
        <v>714</v>
      </c>
      <c r="G870" s="31" t="s">
        <v>714</v>
      </c>
      <c r="H870" s="31" t="s">
        <v>278</v>
      </c>
      <c r="I870" s="28" t="str">
        <f>VLOOKUP(E870,표준용어사전!$C$2:$D$494, 2, FALSE)</f>
        <v>명V100</v>
      </c>
      <c r="J870" s="28" t="s">
        <v>718</v>
      </c>
      <c r="K870" s="29">
        <v>100</v>
      </c>
      <c r="L870" s="55" t="s">
        <v>571</v>
      </c>
      <c r="M870" s="29" t="s">
        <v>729</v>
      </c>
      <c r="N870" s="29" t="s">
        <v>75</v>
      </c>
      <c r="O870" s="28"/>
      <c r="P870" s="28" t="s">
        <v>76</v>
      </c>
      <c r="Q870" s="28"/>
      <c r="R870" s="29"/>
      <c r="S870" s="28"/>
      <c r="T870" s="9"/>
      <c r="U870" s="28" t="s">
        <v>75</v>
      </c>
      <c r="V870" s="28" t="s">
        <v>75</v>
      </c>
      <c r="W870" s="28"/>
    </row>
    <row r="871" spans="1:23" s="12" customFormat="1">
      <c r="A871" s="46" t="s">
        <v>572</v>
      </c>
      <c r="B871" s="28" t="s">
        <v>1333</v>
      </c>
      <c r="C871" s="28" t="s">
        <v>2330</v>
      </c>
      <c r="D871" s="28" t="s">
        <v>2630</v>
      </c>
      <c r="E871" s="28" t="s">
        <v>2573</v>
      </c>
      <c r="F871" s="31" t="s">
        <v>508</v>
      </c>
      <c r="G871" s="31" t="s">
        <v>508</v>
      </c>
      <c r="H871" s="31" t="s">
        <v>278</v>
      </c>
      <c r="I871" s="28" t="str">
        <f>VLOOKUP(E871,표준용어사전!$C$2:$D$494, 2, FALSE)</f>
        <v>명V100</v>
      </c>
      <c r="J871" s="28" t="s">
        <v>718</v>
      </c>
      <c r="K871" s="29">
        <v>100</v>
      </c>
      <c r="L871" s="55" t="s">
        <v>571</v>
      </c>
      <c r="M871" s="29" t="s">
        <v>729</v>
      </c>
      <c r="N871" s="29" t="s">
        <v>75</v>
      </c>
      <c r="O871" s="28"/>
      <c r="P871" s="28" t="s">
        <v>76</v>
      </c>
      <c r="Q871" s="28"/>
      <c r="R871" s="29"/>
      <c r="S871" s="28"/>
      <c r="T871" s="28"/>
      <c r="U871" s="28" t="s">
        <v>75</v>
      </c>
      <c r="V871" s="28" t="s">
        <v>75</v>
      </c>
      <c r="W871" s="28"/>
    </row>
    <row r="872" spans="1:23" s="12" customFormat="1">
      <c r="A872" s="46" t="s">
        <v>572</v>
      </c>
      <c r="B872" s="28" t="s">
        <v>1333</v>
      </c>
      <c r="C872" s="28" t="s">
        <v>2330</v>
      </c>
      <c r="D872" s="28" t="s">
        <v>2630</v>
      </c>
      <c r="E872" s="28" t="s">
        <v>2574</v>
      </c>
      <c r="F872" s="31" t="s">
        <v>509</v>
      </c>
      <c r="G872" s="31" t="s">
        <v>509</v>
      </c>
      <c r="H872" s="31" t="s">
        <v>278</v>
      </c>
      <c r="I872" s="28" t="str">
        <f>VLOOKUP(E872,표준용어사전!$C$2:$D$494, 2, FALSE)</f>
        <v>명V100</v>
      </c>
      <c r="J872" s="28" t="s">
        <v>718</v>
      </c>
      <c r="K872" s="29">
        <v>100</v>
      </c>
      <c r="L872" s="55" t="s">
        <v>571</v>
      </c>
      <c r="M872" s="29" t="s">
        <v>729</v>
      </c>
      <c r="N872" s="29" t="s">
        <v>75</v>
      </c>
      <c r="O872" s="28"/>
      <c r="P872" s="28" t="s">
        <v>76</v>
      </c>
      <c r="Q872" s="28"/>
      <c r="R872" s="29"/>
      <c r="S872" s="28"/>
      <c r="T872" s="28"/>
      <c r="U872" s="28" t="s">
        <v>75</v>
      </c>
      <c r="V872" s="28" t="s">
        <v>75</v>
      </c>
      <c r="W872" s="28"/>
    </row>
    <row r="873" spans="1:23" s="12" customFormat="1">
      <c r="A873" s="46" t="s">
        <v>572</v>
      </c>
      <c r="B873" s="28" t="s">
        <v>1333</v>
      </c>
      <c r="C873" s="28" t="s">
        <v>2330</v>
      </c>
      <c r="D873" s="28" t="s">
        <v>2630</v>
      </c>
      <c r="E873" s="28" t="s">
        <v>2544</v>
      </c>
      <c r="F873" s="31" t="s">
        <v>1412</v>
      </c>
      <c r="G873" s="31" t="s">
        <v>1412</v>
      </c>
      <c r="H873" s="31" t="s">
        <v>278</v>
      </c>
      <c r="I873" s="28" t="str">
        <f>VLOOKUP(E873,표준용어사전!$C$2:$D$494, 2, FALSE)</f>
        <v>번호N10</v>
      </c>
      <c r="J873" s="28" t="s">
        <v>748</v>
      </c>
      <c r="K873" s="29">
        <v>10</v>
      </c>
      <c r="L873" s="55" t="s">
        <v>571</v>
      </c>
      <c r="M873" s="29" t="s">
        <v>2592</v>
      </c>
      <c r="N873" s="29" t="s">
        <v>75</v>
      </c>
      <c r="O873" s="28"/>
      <c r="P873" s="28" t="s">
        <v>76</v>
      </c>
      <c r="Q873" s="28"/>
      <c r="R873" s="29"/>
      <c r="S873" s="28"/>
      <c r="T873" s="28"/>
      <c r="U873" s="28" t="s">
        <v>75</v>
      </c>
      <c r="V873" s="28" t="s">
        <v>75</v>
      </c>
      <c r="W873" s="28"/>
    </row>
    <row r="874" spans="1:23" s="12" customFormat="1">
      <c r="A874" s="46" t="s">
        <v>572</v>
      </c>
      <c r="B874" s="28" t="s">
        <v>1333</v>
      </c>
      <c r="C874" s="28" t="s">
        <v>2330</v>
      </c>
      <c r="D874" s="28" t="s">
        <v>2630</v>
      </c>
      <c r="E874" s="28" t="s">
        <v>90</v>
      </c>
      <c r="F874" s="31" t="s">
        <v>14</v>
      </c>
      <c r="G874" s="31" t="s">
        <v>14</v>
      </c>
      <c r="H874" s="31" t="s">
        <v>278</v>
      </c>
      <c r="I874" s="28" t="str">
        <f>VLOOKUP(E874,표준용어사전!$C$2:$D$494, 2, FALSE)</f>
        <v>연월일시분초TS</v>
      </c>
      <c r="J874" s="28" t="s">
        <v>719</v>
      </c>
      <c r="K874" s="29" t="s">
        <v>571</v>
      </c>
      <c r="L874" s="55" t="s">
        <v>571</v>
      </c>
      <c r="M874" s="29" t="s">
        <v>726</v>
      </c>
      <c r="N874" s="29" t="s">
        <v>973</v>
      </c>
      <c r="O874" s="9"/>
      <c r="P874" s="9" t="s">
        <v>76</v>
      </c>
      <c r="Q874" s="28"/>
      <c r="R874" s="29"/>
      <c r="S874" s="9"/>
      <c r="T874" s="9"/>
      <c r="U874" s="28" t="s">
        <v>75</v>
      </c>
      <c r="V874" s="28" t="s">
        <v>75</v>
      </c>
      <c r="W874" s="9"/>
    </row>
    <row r="875" spans="1:23" s="12" customFormat="1">
      <c r="A875" s="46" t="s">
        <v>572</v>
      </c>
      <c r="B875" s="28" t="s">
        <v>1333</v>
      </c>
      <c r="C875" s="28" t="s">
        <v>2330</v>
      </c>
      <c r="D875" s="28" t="s">
        <v>2630</v>
      </c>
      <c r="E875" s="28" t="s">
        <v>91</v>
      </c>
      <c r="F875" s="31" t="s">
        <v>369</v>
      </c>
      <c r="G875" s="31" t="s">
        <v>369</v>
      </c>
      <c r="H875" s="31" t="s">
        <v>278</v>
      </c>
      <c r="I875" s="28" t="str">
        <f>VLOOKUP(E875,표준용어사전!$C$2:$D$494, 2, FALSE)</f>
        <v>명V20</v>
      </c>
      <c r="J875" s="28" t="s">
        <v>718</v>
      </c>
      <c r="K875" s="29" t="s">
        <v>986</v>
      </c>
      <c r="L875" s="55" t="s">
        <v>571</v>
      </c>
      <c r="M875" s="29" t="s">
        <v>727</v>
      </c>
      <c r="N875" s="29" t="s">
        <v>75</v>
      </c>
      <c r="O875" s="28"/>
      <c r="P875" s="28" t="s">
        <v>76</v>
      </c>
      <c r="Q875" s="28"/>
      <c r="R875" s="29"/>
      <c r="S875" s="28"/>
      <c r="T875" s="28"/>
      <c r="U875" s="28" t="s">
        <v>75</v>
      </c>
      <c r="V875" s="28" t="s">
        <v>75</v>
      </c>
      <c r="W875" s="28"/>
    </row>
    <row r="876" spans="1:23" s="12" customFormat="1">
      <c r="A876" s="46" t="s">
        <v>572</v>
      </c>
      <c r="B876" s="28" t="s">
        <v>1333</v>
      </c>
      <c r="C876" s="28" t="s">
        <v>2330</v>
      </c>
      <c r="D876" s="28" t="s">
        <v>2630</v>
      </c>
      <c r="E876" s="28" t="s">
        <v>92</v>
      </c>
      <c r="F876" s="31" t="s">
        <v>15</v>
      </c>
      <c r="G876" s="31" t="s">
        <v>15</v>
      </c>
      <c r="H876" s="31" t="s">
        <v>278</v>
      </c>
      <c r="I876" s="28" t="str">
        <f>VLOOKUP(E876,표준용어사전!$C$2:$D$494, 2, FALSE)</f>
        <v>연월일시분초TS</v>
      </c>
      <c r="J876" s="28" t="s">
        <v>719</v>
      </c>
      <c r="K876" s="29" t="s">
        <v>571</v>
      </c>
      <c r="L876" s="55" t="s">
        <v>571</v>
      </c>
      <c r="M876" s="29" t="s">
        <v>726</v>
      </c>
      <c r="N876" s="29" t="s">
        <v>75</v>
      </c>
      <c r="O876" s="28"/>
      <c r="P876" s="28" t="s">
        <v>76</v>
      </c>
      <c r="Q876" s="28"/>
      <c r="R876" s="29"/>
      <c r="S876" s="28"/>
      <c r="T876" s="28"/>
      <c r="U876" s="28" t="s">
        <v>75</v>
      </c>
      <c r="V876" s="28" t="s">
        <v>75</v>
      </c>
      <c r="W876" s="28"/>
    </row>
    <row r="877" spans="1:23" s="12" customFormat="1">
      <c r="A877" s="46" t="s">
        <v>572</v>
      </c>
      <c r="B877" s="28" t="s">
        <v>1333</v>
      </c>
      <c r="C877" s="28" t="s">
        <v>2330</v>
      </c>
      <c r="D877" s="28" t="s">
        <v>2630</v>
      </c>
      <c r="E877" s="28" t="s">
        <v>93</v>
      </c>
      <c r="F877" s="31" t="s">
        <v>370</v>
      </c>
      <c r="G877" s="31" t="s">
        <v>370</v>
      </c>
      <c r="H877" s="31" t="s">
        <v>278</v>
      </c>
      <c r="I877" s="28" t="str">
        <f>VLOOKUP(E877,표준용어사전!$C$2:$D$494, 2, FALSE)</f>
        <v>명V20</v>
      </c>
      <c r="J877" s="28" t="s">
        <v>718</v>
      </c>
      <c r="K877" s="29" t="s">
        <v>986</v>
      </c>
      <c r="L877" s="55" t="s">
        <v>571</v>
      </c>
      <c r="M877" s="29" t="s">
        <v>727</v>
      </c>
      <c r="N877" s="29" t="s">
        <v>75</v>
      </c>
      <c r="O877" s="28"/>
      <c r="P877" s="28" t="s">
        <v>76</v>
      </c>
      <c r="Q877" s="28"/>
      <c r="R877" s="29"/>
      <c r="S877" s="28"/>
      <c r="T877" s="28"/>
      <c r="U877" s="28" t="s">
        <v>75</v>
      </c>
      <c r="V877" s="28" t="s">
        <v>75</v>
      </c>
      <c r="W877" s="28"/>
    </row>
    <row r="878" spans="1:23" s="12" customFormat="1">
      <c r="A878" s="46" t="s">
        <v>572</v>
      </c>
      <c r="B878" s="28" t="s">
        <v>1332</v>
      </c>
      <c r="C878" s="28" t="s">
        <v>2330</v>
      </c>
      <c r="D878" s="28" t="s">
        <v>2473</v>
      </c>
      <c r="E878" s="28" t="s">
        <v>1965</v>
      </c>
      <c r="F878" s="31" t="s">
        <v>1964</v>
      </c>
      <c r="G878" s="31" t="s">
        <v>1964</v>
      </c>
      <c r="H878" s="31" t="s">
        <v>2376</v>
      </c>
      <c r="I878" s="28" t="str">
        <f>VLOOKUP(E878,표준용어사전!$C$2:$D$494, 2, FALSE)</f>
        <v>번호N10</v>
      </c>
      <c r="J878" s="28" t="s">
        <v>748</v>
      </c>
      <c r="K878" s="29">
        <v>10</v>
      </c>
      <c r="L878" s="55" t="s">
        <v>571</v>
      </c>
      <c r="M878" s="29" t="s">
        <v>2592</v>
      </c>
      <c r="N878" s="29" t="s">
        <v>973</v>
      </c>
      <c r="O878" s="28" t="s">
        <v>73</v>
      </c>
      <c r="P878" s="28" t="s">
        <v>76</v>
      </c>
      <c r="Q878" s="28"/>
      <c r="R878" s="29"/>
      <c r="S878" s="28"/>
      <c r="T878" s="28"/>
      <c r="U878" s="28" t="s">
        <v>75</v>
      </c>
      <c r="V878" s="28" t="s">
        <v>75</v>
      </c>
      <c r="W878" s="28"/>
    </row>
    <row r="879" spans="1:23" s="12" customFormat="1">
      <c r="A879" s="46" t="s">
        <v>572</v>
      </c>
      <c r="B879" s="28" t="s">
        <v>1332</v>
      </c>
      <c r="C879" s="28" t="s">
        <v>2330</v>
      </c>
      <c r="D879" s="28" t="s">
        <v>2473</v>
      </c>
      <c r="E879" s="28" t="s">
        <v>2000</v>
      </c>
      <c r="F879" s="31" t="s">
        <v>423</v>
      </c>
      <c r="G879" s="31" t="s">
        <v>423</v>
      </c>
      <c r="H879" s="31" t="s">
        <v>2376</v>
      </c>
      <c r="I879" s="28" t="str">
        <f>VLOOKUP(E879,표준용어사전!$C$2:$D$494, 2, FALSE)</f>
        <v>코드V50</v>
      </c>
      <c r="J879" s="28" t="s">
        <v>718</v>
      </c>
      <c r="K879" s="29">
        <v>50</v>
      </c>
      <c r="L879" s="55" t="s">
        <v>571</v>
      </c>
      <c r="M879" s="29" t="s">
        <v>720</v>
      </c>
      <c r="N879" s="29" t="s">
        <v>973</v>
      </c>
      <c r="O879" s="28" t="s">
        <v>74</v>
      </c>
      <c r="P879" s="28" t="s">
        <v>76</v>
      </c>
      <c r="Q879" s="28"/>
      <c r="R879" s="29"/>
      <c r="S879" s="28"/>
      <c r="T879" s="9"/>
      <c r="U879" s="28" t="s">
        <v>75</v>
      </c>
      <c r="V879" s="28" t="s">
        <v>75</v>
      </c>
      <c r="W879" s="28"/>
    </row>
    <row r="880" spans="1:23" s="12" customFormat="1">
      <c r="A880" s="46" t="s">
        <v>572</v>
      </c>
      <c r="B880" s="28" t="s">
        <v>1332</v>
      </c>
      <c r="C880" s="28" t="s">
        <v>2330</v>
      </c>
      <c r="D880" s="28" t="s">
        <v>2473</v>
      </c>
      <c r="E880" s="28" t="s">
        <v>90</v>
      </c>
      <c r="F880" s="31" t="s">
        <v>14</v>
      </c>
      <c r="G880" s="31" t="s">
        <v>14</v>
      </c>
      <c r="H880" s="31" t="s">
        <v>2376</v>
      </c>
      <c r="I880" s="28" t="str">
        <f>VLOOKUP(E880,표준용어사전!$C$2:$D$494, 2, FALSE)</f>
        <v>연월일시분초TS</v>
      </c>
      <c r="J880" s="28" t="s">
        <v>719</v>
      </c>
      <c r="K880" s="29" t="s">
        <v>571</v>
      </c>
      <c r="L880" s="55" t="s">
        <v>571</v>
      </c>
      <c r="M880" s="29" t="s">
        <v>726</v>
      </c>
      <c r="N880" s="29" t="s">
        <v>973</v>
      </c>
      <c r="O880" s="28"/>
      <c r="P880" s="28" t="s">
        <v>76</v>
      </c>
      <c r="Q880" s="28"/>
      <c r="R880" s="29"/>
      <c r="S880" s="28"/>
      <c r="T880" s="9"/>
      <c r="U880" s="28" t="s">
        <v>75</v>
      </c>
      <c r="V880" s="28" t="s">
        <v>75</v>
      </c>
      <c r="W880" s="28"/>
    </row>
    <row r="881" spans="1:23" s="12" customFormat="1">
      <c r="A881" s="46" t="s">
        <v>572</v>
      </c>
      <c r="B881" s="28" t="s">
        <v>1332</v>
      </c>
      <c r="C881" s="28" t="s">
        <v>2330</v>
      </c>
      <c r="D881" s="28" t="s">
        <v>2473</v>
      </c>
      <c r="E881" s="28" t="s">
        <v>91</v>
      </c>
      <c r="F881" s="31" t="s">
        <v>369</v>
      </c>
      <c r="G881" s="31" t="s">
        <v>369</v>
      </c>
      <c r="H881" s="31" t="s">
        <v>2376</v>
      </c>
      <c r="I881" s="28" t="str">
        <f>VLOOKUP(E881,표준용어사전!$C$2:$D$494, 2, FALSE)</f>
        <v>명V20</v>
      </c>
      <c r="J881" s="28" t="s">
        <v>718</v>
      </c>
      <c r="K881" s="29" t="s">
        <v>986</v>
      </c>
      <c r="L881" s="55" t="s">
        <v>571</v>
      </c>
      <c r="M881" s="29" t="s">
        <v>727</v>
      </c>
      <c r="N881" s="29" t="s">
        <v>75</v>
      </c>
      <c r="O881" s="28"/>
      <c r="P881" s="28" t="s">
        <v>76</v>
      </c>
      <c r="Q881" s="28"/>
      <c r="R881" s="29"/>
      <c r="S881" s="28"/>
      <c r="T881" s="28"/>
      <c r="U881" s="28" t="s">
        <v>75</v>
      </c>
      <c r="V881" s="28" t="s">
        <v>75</v>
      </c>
      <c r="W881" s="28"/>
    </row>
    <row r="882" spans="1:23" s="12" customFormat="1">
      <c r="A882" s="46" t="s">
        <v>572</v>
      </c>
      <c r="B882" s="28" t="s">
        <v>1332</v>
      </c>
      <c r="C882" s="28" t="s">
        <v>2330</v>
      </c>
      <c r="D882" s="28" t="s">
        <v>2473</v>
      </c>
      <c r="E882" s="28" t="s">
        <v>92</v>
      </c>
      <c r="F882" s="31" t="s">
        <v>15</v>
      </c>
      <c r="G882" s="31" t="s">
        <v>15</v>
      </c>
      <c r="H882" s="31" t="s">
        <v>2376</v>
      </c>
      <c r="I882" s="28" t="str">
        <f>VLOOKUP(E882,표준용어사전!$C$2:$D$494, 2, FALSE)</f>
        <v>연월일시분초TS</v>
      </c>
      <c r="J882" s="28" t="s">
        <v>719</v>
      </c>
      <c r="K882" s="29" t="s">
        <v>571</v>
      </c>
      <c r="L882" s="55" t="s">
        <v>571</v>
      </c>
      <c r="M882" s="29" t="s">
        <v>726</v>
      </c>
      <c r="N882" s="29" t="s">
        <v>75</v>
      </c>
      <c r="O882" s="28"/>
      <c r="P882" s="28" t="s">
        <v>76</v>
      </c>
      <c r="Q882" s="28"/>
      <c r="R882" s="29"/>
      <c r="S882" s="28"/>
      <c r="T882" s="9"/>
      <c r="U882" s="28" t="s">
        <v>75</v>
      </c>
      <c r="V882" s="28" t="s">
        <v>75</v>
      </c>
      <c r="W882" s="28"/>
    </row>
    <row r="883" spans="1:23" s="12" customFormat="1">
      <c r="A883" s="46" t="s">
        <v>572</v>
      </c>
      <c r="B883" s="28" t="s">
        <v>1332</v>
      </c>
      <c r="C883" s="28" t="s">
        <v>2330</v>
      </c>
      <c r="D883" s="28" t="s">
        <v>2473</v>
      </c>
      <c r="E883" s="28" t="s">
        <v>93</v>
      </c>
      <c r="F883" s="31" t="s">
        <v>370</v>
      </c>
      <c r="G883" s="31" t="s">
        <v>370</v>
      </c>
      <c r="H883" s="31" t="s">
        <v>2376</v>
      </c>
      <c r="I883" s="28" t="str">
        <f>VLOOKUP(E883,표준용어사전!$C$2:$D$494, 2, FALSE)</f>
        <v>명V20</v>
      </c>
      <c r="J883" s="28" t="s">
        <v>718</v>
      </c>
      <c r="K883" s="29" t="s">
        <v>986</v>
      </c>
      <c r="L883" s="55" t="s">
        <v>571</v>
      </c>
      <c r="M883" s="29" t="s">
        <v>727</v>
      </c>
      <c r="N883" s="29" t="s">
        <v>75</v>
      </c>
      <c r="O883" s="28"/>
      <c r="P883" s="28" t="s">
        <v>76</v>
      </c>
      <c r="Q883" s="28"/>
      <c r="R883" s="29"/>
      <c r="S883" s="28"/>
      <c r="T883" s="9"/>
      <c r="U883" s="28" t="s">
        <v>75</v>
      </c>
      <c r="V883" s="28" t="s">
        <v>75</v>
      </c>
      <c r="W883" s="28"/>
    </row>
    <row r="884" spans="1:23" s="12" customFormat="1">
      <c r="A884" s="46" t="s">
        <v>572</v>
      </c>
      <c r="B884" s="28" t="s">
        <v>1332</v>
      </c>
      <c r="C884" s="28" t="s">
        <v>2330</v>
      </c>
      <c r="D884" s="28" t="s">
        <v>2474</v>
      </c>
      <c r="E884" s="28" t="s">
        <v>1965</v>
      </c>
      <c r="F884" s="31" t="s">
        <v>1964</v>
      </c>
      <c r="G884" s="31" t="s">
        <v>1964</v>
      </c>
      <c r="H884" s="31" t="s">
        <v>2377</v>
      </c>
      <c r="I884" s="28" t="str">
        <f>VLOOKUP(E884,표준용어사전!$C$2:$D$494, 2, FALSE)</f>
        <v>번호N10</v>
      </c>
      <c r="J884" s="28" t="s">
        <v>748</v>
      </c>
      <c r="K884" s="29">
        <v>10</v>
      </c>
      <c r="L884" s="55" t="s">
        <v>571</v>
      </c>
      <c r="M884" s="29" t="s">
        <v>2592</v>
      </c>
      <c r="N884" s="29" t="s">
        <v>973</v>
      </c>
      <c r="O884" s="28" t="s">
        <v>73</v>
      </c>
      <c r="P884" s="28" t="s">
        <v>76</v>
      </c>
      <c r="Q884" s="28"/>
      <c r="R884" s="29"/>
      <c r="S884" s="28"/>
      <c r="T884" s="28"/>
      <c r="U884" s="28" t="s">
        <v>75</v>
      </c>
      <c r="V884" s="28" t="s">
        <v>75</v>
      </c>
      <c r="W884" s="28"/>
    </row>
    <row r="885" spans="1:23" s="12" customFormat="1">
      <c r="A885" s="46" t="s">
        <v>572</v>
      </c>
      <c r="B885" s="28" t="s">
        <v>1332</v>
      </c>
      <c r="C885" s="28" t="s">
        <v>2330</v>
      </c>
      <c r="D885" s="9" t="s">
        <v>2474</v>
      </c>
      <c r="E885" s="28" t="s">
        <v>167</v>
      </c>
      <c r="F885" s="31" t="s">
        <v>424</v>
      </c>
      <c r="G885" s="31" t="s">
        <v>424</v>
      </c>
      <c r="H885" s="31" t="s">
        <v>2377</v>
      </c>
      <c r="I885" s="28" t="str">
        <f>VLOOKUP(E885,표준용어사전!$C$2:$D$494, 2, FALSE)</f>
        <v>코드V50</v>
      </c>
      <c r="J885" s="28" t="s">
        <v>718</v>
      </c>
      <c r="K885" s="29">
        <v>50</v>
      </c>
      <c r="L885" s="55" t="s">
        <v>571</v>
      </c>
      <c r="M885" s="29" t="s">
        <v>720</v>
      </c>
      <c r="N885" s="29" t="s">
        <v>973</v>
      </c>
      <c r="O885" s="9" t="s">
        <v>74</v>
      </c>
      <c r="P885" s="9" t="s">
        <v>76</v>
      </c>
      <c r="Q885" s="28"/>
      <c r="R885" s="29"/>
      <c r="S885" s="9"/>
      <c r="T885" s="9"/>
      <c r="U885" s="28" t="s">
        <v>75</v>
      </c>
      <c r="V885" s="28" t="s">
        <v>75</v>
      </c>
      <c r="W885" s="9"/>
    </row>
    <row r="886" spans="1:23" s="12" customFormat="1">
      <c r="A886" s="46" t="s">
        <v>572</v>
      </c>
      <c r="B886" s="28" t="s">
        <v>1332</v>
      </c>
      <c r="C886" s="28" t="s">
        <v>2330</v>
      </c>
      <c r="D886" s="9" t="s">
        <v>2474</v>
      </c>
      <c r="E886" s="28" t="s">
        <v>90</v>
      </c>
      <c r="F886" s="31" t="s">
        <v>14</v>
      </c>
      <c r="G886" s="31" t="s">
        <v>14</v>
      </c>
      <c r="H886" s="31" t="s">
        <v>2377</v>
      </c>
      <c r="I886" s="28" t="str">
        <f>VLOOKUP(E886,표준용어사전!$C$2:$D$494, 2, FALSE)</f>
        <v>연월일시분초TS</v>
      </c>
      <c r="J886" s="28" t="s">
        <v>719</v>
      </c>
      <c r="K886" s="29" t="s">
        <v>571</v>
      </c>
      <c r="L886" s="55" t="s">
        <v>571</v>
      </c>
      <c r="M886" s="29" t="s">
        <v>726</v>
      </c>
      <c r="N886" s="29" t="s">
        <v>973</v>
      </c>
      <c r="O886" s="9"/>
      <c r="P886" s="9" t="s">
        <v>76</v>
      </c>
      <c r="Q886" s="28"/>
      <c r="R886" s="29"/>
      <c r="S886" s="9"/>
      <c r="T886" s="28"/>
      <c r="U886" s="28" t="s">
        <v>75</v>
      </c>
      <c r="V886" s="28" t="s">
        <v>75</v>
      </c>
      <c r="W886" s="9"/>
    </row>
    <row r="887" spans="1:23" s="12" customFormat="1">
      <c r="A887" s="46" t="s">
        <v>572</v>
      </c>
      <c r="B887" s="28" t="s">
        <v>1332</v>
      </c>
      <c r="C887" s="28" t="s">
        <v>2330</v>
      </c>
      <c r="D887" s="9" t="s">
        <v>2474</v>
      </c>
      <c r="E887" s="28" t="s">
        <v>91</v>
      </c>
      <c r="F887" s="31" t="s">
        <v>369</v>
      </c>
      <c r="G887" s="31" t="s">
        <v>369</v>
      </c>
      <c r="H887" s="31" t="s">
        <v>2377</v>
      </c>
      <c r="I887" s="28" t="str">
        <f>VLOOKUP(E887,표준용어사전!$C$2:$D$494, 2, FALSE)</f>
        <v>명V20</v>
      </c>
      <c r="J887" s="28" t="s">
        <v>718</v>
      </c>
      <c r="K887" s="29" t="s">
        <v>986</v>
      </c>
      <c r="L887" s="55" t="s">
        <v>571</v>
      </c>
      <c r="M887" s="29" t="s">
        <v>727</v>
      </c>
      <c r="N887" s="29" t="s">
        <v>75</v>
      </c>
      <c r="O887" s="9"/>
      <c r="P887" s="9" t="s">
        <v>76</v>
      </c>
      <c r="Q887" s="28"/>
      <c r="R887" s="29"/>
      <c r="S887" s="9"/>
      <c r="T887" s="9"/>
      <c r="U887" s="28" t="s">
        <v>75</v>
      </c>
      <c r="V887" s="28" t="s">
        <v>75</v>
      </c>
      <c r="W887" s="9"/>
    </row>
    <row r="888" spans="1:23" s="12" customFormat="1">
      <c r="A888" s="46" t="s">
        <v>572</v>
      </c>
      <c r="B888" s="28" t="s">
        <v>1332</v>
      </c>
      <c r="C888" s="28" t="s">
        <v>2330</v>
      </c>
      <c r="D888" s="9" t="s">
        <v>2474</v>
      </c>
      <c r="E888" s="28" t="s">
        <v>92</v>
      </c>
      <c r="F888" s="31" t="s">
        <v>15</v>
      </c>
      <c r="G888" s="31" t="s">
        <v>15</v>
      </c>
      <c r="H888" s="31" t="s">
        <v>2377</v>
      </c>
      <c r="I888" s="28" t="str">
        <f>VLOOKUP(E888,표준용어사전!$C$2:$D$494, 2, FALSE)</f>
        <v>연월일시분초TS</v>
      </c>
      <c r="J888" s="28" t="s">
        <v>719</v>
      </c>
      <c r="K888" s="29" t="s">
        <v>571</v>
      </c>
      <c r="L888" s="55" t="s">
        <v>571</v>
      </c>
      <c r="M888" s="29" t="s">
        <v>726</v>
      </c>
      <c r="N888" s="29" t="s">
        <v>75</v>
      </c>
      <c r="O888" s="9"/>
      <c r="P888" s="9" t="s">
        <v>76</v>
      </c>
      <c r="Q888" s="28"/>
      <c r="R888" s="29"/>
      <c r="S888" s="9"/>
      <c r="T888" s="9"/>
      <c r="U888" s="28" t="s">
        <v>75</v>
      </c>
      <c r="V888" s="28" t="s">
        <v>75</v>
      </c>
      <c r="W888" s="9"/>
    </row>
    <row r="889" spans="1:23" s="12" customFormat="1">
      <c r="A889" s="46" t="s">
        <v>572</v>
      </c>
      <c r="B889" s="28" t="s">
        <v>1332</v>
      </c>
      <c r="C889" s="28" t="s">
        <v>2330</v>
      </c>
      <c r="D889" s="9" t="s">
        <v>2474</v>
      </c>
      <c r="E889" s="28" t="s">
        <v>93</v>
      </c>
      <c r="F889" s="31" t="s">
        <v>370</v>
      </c>
      <c r="G889" s="31" t="s">
        <v>370</v>
      </c>
      <c r="H889" s="31" t="s">
        <v>2377</v>
      </c>
      <c r="I889" s="28" t="str">
        <f>VLOOKUP(E889,표준용어사전!$C$2:$D$494, 2, FALSE)</f>
        <v>명V20</v>
      </c>
      <c r="J889" s="28" t="s">
        <v>718</v>
      </c>
      <c r="K889" s="29" t="s">
        <v>986</v>
      </c>
      <c r="L889" s="55" t="s">
        <v>571</v>
      </c>
      <c r="M889" s="29" t="s">
        <v>727</v>
      </c>
      <c r="N889" s="29" t="s">
        <v>75</v>
      </c>
      <c r="O889" s="9"/>
      <c r="P889" s="9" t="s">
        <v>76</v>
      </c>
      <c r="Q889" s="28"/>
      <c r="R889" s="29"/>
      <c r="S889" s="9"/>
      <c r="T889" s="9"/>
      <c r="U889" s="28" t="s">
        <v>75</v>
      </c>
      <c r="V889" s="28" t="s">
        <v>75</v>
      </c>
      <c r="W889" s="9"/>
    </row>
    <row r="890" spans="1:23" s="12" customFormat="1">
      <c r="A890" s="46" t="s">
        <v>572</v>
      </c>
      <c r="B890" s="28" t="s">
        <v>1332</v>
      </c>
      <c r="C890" s="28" t="s">
        <v>2330</v>
      </c>
      <c r="D890" s="9" t="s">
        <v>2475</v>
      </c>
      <c r="E890" s="28" t="s">
        <v>1999</v>
      </c>
      <c r="F890" s="31" t="s">
        <v>1998</v>
      </c>
      <c r="G890" s="31" t="s">
        <v>1998</v>
      </c>
      <c r="H890" s="31" t="s">
        <v>2378</v>
      </c>
      <c r="I890" s="28" t="str">
        <f>VLOOKUP(E890,표준용어사전!$C$2:$D$494, 2, FALSE)</f>
        <v>번호I</v>
      </c>
      <c r="J890" s="28" t="s">
        <v>717</v>
      </c>
      <c r="K890" s="29" t="s">
        <v>571</v>
      </c>
      <c r="L890" s="55" t="s">
        <v>571</v>
      </c>
      <c r="M890" s="29" t="s">
        <v>2591</v>
      </c>
      <c r="N890" s="29" t="s">
        <v>973</v>
      </c>
      <c r="O890" s="9" t="s">
        <v>73</v>
      </c>
      <c r="P890" s="9" t="s">
        <v>76</v>
      </c>
      <c r="Q890" s="28"/>
      <c r="R890" s="29"/>
      <c r="S890" s="9"/>
      <c r="T890" s="9"/>
      <c r="U890" s="28" t="s">
        <v>75</v>
      </c>
      <c r="V890" s="28" t="s">
        <v>75</v>
      </c>
      <c r="W890" s="9"/>
    </row>
    <row r="891" spans="1:23" s="12" customFormat="1">
      <c r="A891" s="46" t="s">
        <v>572</v>
      </c>
      <c r="B891" s="28" t="s">
        <v>1332</v>
      </c>
      <c r="C891" s="28" t="s">
        <v>2330</v>
      </c>
      <c r="D891" s="28" t="s">
        <v>2475</v>
      </c>
      <c r="E891" s="28" t="s">
        <v>1965</v>
      </c>
      <c r="F891" s="31" t="s">
        <v>1964</v>
      </c>
      <c r="G891" s="31" t="s">
        <v>1964</v>
      </c>
      <c r="H891" s="31" t="s">
        <v>2378</v>
      </c>
      <c r="I891" s="28" t="str">
        <f>VLOOKUP(E891,표준용어사전!$C$2:$D$494, 2, FALSE)</f>
        <v>번호N10</v>
      </c>
      <c r="J891" s="28" t="s">
        <v>748</v>
      </c>
      <c r="K891" s="29">
        <v>10</v>
      </c>
      <c r="L891" s="55" t="s">
        <v>571</v>
      </c>
      <c r="M891" s="29" t="s">
        <v>2592</v>
      </c>
      <c r="N891" s="29" t="s">
        <v>973</v>
      </c>
      <c r="O891" s="9"/>
      <c r="P891" s="9" t="s">
        <v>76</v>
      </c>
      <c r="Q891" s="28"/>
      <c r="R891" s="29"/>
      <c r="S891" s="9"/>
      <c r="T891" s="9"/>
      <c r="U891" s="28" t="s">
        <v>75</v>
      </c>
      <c r="V891" s="28" t="s">
        <v>75</v>
      </c>
      <c r="W891" s="9"/>
    </row>
    <row r="892" spans="1:23" s="12" customFormat="1">
      <c r="A892" s="46" t="s">
        <v>572</v>
      </c>
      <c r="B892" s="28" t="s">
        <v>1332</v>
      </c>
      <c r="C892" s="28" t="s">
        <v>2330</v>
      </c>
      <c r="D892" s="28" t="s">
        <v>2475</v>
      </c>
      <c r="E892" s="28" t="s">
        <v>170</v>
      </c>
      <c r="F892" s="31" t="s">
        <v>426</v>
      </c>
      <c r="G892" s="31" t="s">
        <v>426</v>
      </c>
      <c r="H892" s="31" t="s">
        <v>2378</v>
      </c>
      <c r="I892" s="28" t="str">
        <f>VLOOKUP(E892,표준용어사전!$C$2:$D$494, 2, FALSE)</f>
        <v>코드V50</v>
      </c>
      <c r="J892" s="28" t="s">
        <v>718</v>
      </c>
      <c r="K892" s="29">
        <v>50</v>
      </c>
      <c r="L892" s="55" t="s">
        <v>571</v>
      </c>
      <c r="M892" s="29" t="s">
        <v>720</v>
      </c>
      <c r="N892" s="29" t="s">
        <v>973</v>
      </c>
      <c r="O892" s="9"/>
      <c r="P892" s="9" t="s">
        <v>76</v>
      </c>
      <c r="Q892" s="28"/>
      <c r="R892" s="29"/>
      <c r="S892" s="9"/>
      <c r="T892" s="9"/>
      <c r="U892" s="28" t="s">
        <v>75</v>
      </c>
      <c r="V892" s="28" t="s">
        <v>75</v>
      </c>
      <c r="W892" s="9"/>
    </row>
    <row r="893" spans="1:23" s="12" customFormat="1">
      <c r="A893" s="46" t="s">
        <v>572</v>
      </c>
      <c r="B893" s="28" t="s">
        <v>1332</v>
      </c>
      <c r="C893" s="28" t="s">
        <v>2330</v>
      </c>
      <c r="D893" s="28" t="s">
        <v>2475</v>
      </c>
      <c r="E893" s="28" t="s">
        <v>82</v>
      </c>
      <c r="F893" s="31" t="s">
        <v>84</v>
      </c>
      <c r="G893" s="31" t="s">
        <v>84</v>
      </c>
      <c r="H893" s="31" t="s">
        <v>2378</v>
      </c>
      <c r="I893" s="28" t="str">
        <f>VLOOKUP(E893,표준용어사전!$C$2:$D$494, 2, FALSE)</f>
        <v>명V256</v>
      </c>
      <c r="J893" s="28" t="s">
        <v>718</v>
      </c>
      <c r="K893" s="29">
        <v>256</v>
      </c>
      <c r="L893" s="55" t="s">
        <v>571</v>
      </c>
      <c r="M893" s="29" t="s">
        <v>730</v>
      </c>
      <c r="N893" s="29" t="s">
        <v>973</v>
      </c>
      <c r="O893" s="9"/>
      <c r="P893" s="9" t="s">
        <v>76</v>
      </c>
      <c r="Q893" s="28"/>
      <c r="R893" s="29"/>
      <c r="S893" s="9"/>
      <c r="T893" s="9"/>
      <c r="U893" s="28" t="s">
        <v>75</v>
      </c>
      <c r="V893" s="28" t="s">
        <v>75</v>
      </c>
      <c r="W893" s="9"/>
    </row>
    <row r="894" spans="1:23" s="12" customFormat="1">
      <c r="A894" s="46" t="s">
        <v>572</v>
      </c>
      <c r="B894" s="28" t="s">
        <v>1332</v>
      </c>
      <c r="C894" s="28" t="s">
        <v>2330</v>
      </c>
      <c r="D894" s="28" t="s">
        <v>2475</v>
      </c>
      <c r="E894" s="28" t="s">
        <v>90</v>
      </c>
      <c r="F894" s="31" t="s">
        <v>14</v>
      </c>
      <c r="G894" s="31" t="s">
        <v>14</v>
      </c>
      <c r="H894" s="31" t="s">
        <v>2378</v>
      </c>
      <c r="I894" s="28" t="str">
        <f>VLOOKUP(E894,표준용어사전!$C$2:$D$494, 2, FALSE)</f>
        <v>연월일시분초TS</v>
      </c>
      <c r="J894" s="28" t="s">
        <v>719</v>
      </c>
      <c r="K894" s="29" t="s">
        <v>571</v>
      </c>
      <c r="L894" s="55" t="s">
        <v>571</v>
      </c>
      <c r="M894" s="29" t="s">
        <v>726</v>
      </c>
      <c r="N894" s="29" t="s">
        <v>973</v>
      </c>
      <c r="O894" s="9"/>
      <c r="P894" s="9" t="s">
        <v>76</v>
      </c>
      <c r="Q894" s="28"/>
      <c r="R894" s="29"/>
      <c r="S894" s="9"/>
      <c r="T894" s="9"/>
      <c r="U894" s="28" t="s">
        <v>75</v>
      </c>
      <c r="V894" s="28" t="s">
        <v>75</v>
      </c>
      <c r="W894" s="9"/>
    </row>
    <row r="895" spans="1:23" s="12" customFormat="1">
      <c r="A895" s="46" t="s">
        <v>572</v>
      </c>
      <c r="B895" s="28" t="s">
        <v>1332</v>
      </c>
      <c r="C895" s="28" t="s">
        <v>2330</v>
      </c>
      <c r="D895" s="28" t="s">
        <v>2475</v>
      </c>
      <c r="E895" s="28" t="s">
        <v>91</v>
      </c>
      <c r="F895" s="31" t="s">
        <v>369</v>
      </c>
      <c r="G895" s="31" t="s">
        <v>369</v>
      </c>
      <c r="H895" s="31" t="s">
        <v>2378</v>
      </c>
      <c r="I895" s="28" t="str">
        <f>VLOOKUP(E895,표준용어사전!$C$2:$D$494, 2, FALSE)</f>
        <v>명V20</v>
      </c>
      <c r="J895" s="28" t="s">
        <v>718</v>
      </c>
      <c r="K895" s="29" t="s">
        <v>986</v>
      </c>
      <c r="L895" s="55" t="s">
        <v>571</v>
      </c>
      <c r="M895" s="29" t="s">
        <v>727</v>
      </c>
      <c r="N895" s="29" t="s">
        <v>75</v>
      </c>
      <c r="O895" s="9"/>
      <c r="P895" s="9" t="s">
        <v>76</v>
      </c>
      <c r="Q895" s="28"/>
      <c r="R895" s="29"/>
      <c r="S895" s="9"/>
      <c r="T895" s="9"/>
      <c r="U895" s="28" t="s">
        <v>75</v>
      </c>
      <c r="V895" s="28" t="s">
        <v>75</v>
      </c>
      <c r="W895" s="9"/>
    </row>
    <row r="896" spans="1:23" s="12" customFormat="1">
      <c r="A896" s="46" t="s">
        <v>572</v>
      </c>
      <c r="B896" s="28" t="s">
        <v>1332</v>
      </c>
      <c r="C896" s="28" t="s">
        <v>2330</v>
      </c>
      <c r="D896" s="28" t="s">
        <v>2475</v>
      </c>
      <c r="E896" s="28" t="s">
        <v>92</v>
      </c>
      <c r="F896" s="31" t="s">
        <v>15</v>
      </c>
      <c r="G896" s="31" t="s">
        <v>15</v>
      </c>
      <c r="H896" s="31" t="s">
        <v>2378</v>
      </c>
      <c r="I896" s="28" t="str">
        <f>VLOOKUP(E896,표준용어사전!$C$2:$D$494, 2, FALSE)</f>
        <v>연월일시분초TS</v>
      </c>
      <c r="J896" s="28" t="s">
        <v>719</v>
      </c>
      <c r="K896" s="29" t="s">
        <v>571</v>
      </c>
      <c r="L896" s="55" t="s">
        <v>571</v>
      </c>
      <c r="M896" s="29" t="s">
        <v>726</v>
      </c>
      <c r="N896" s="29" t="s">
        <v>75</v>
      </c>
      <c r="O896" s="9"/>
      <c r="P896" s="9" t="s">
        <v>76</v>
      </c>
      <c r="Q896" s="28"/>
      <c r="R896" s="29"/>
      <c r="S896" s="9"/>
      <c r="T896" s="9"/>
      <c r="U896" s="28" t="s">
        <v>75</v>
      </c>
      <c r="V896" s="28" t="s">
        <v>75</v>
      </c>
      <c r="W896" s="9"/>
    </row>
    <row r="897" spans="1:23" s="12" customFormat="1">
      <c r="A897" s="46" t="s">
        <v>572</v>
      </c>
      <c r="B897" s="28" t="s">
        <v>1332</v>
      </c>
      <c r="C897" s="28" t="s">
        <v>2330</v>
      </c>
      <c r="D897" s="28" t="s">
        <v>2475</v>
      </c>
      <c r="E897" s="28" t="s">
        <v>93</v>
      </c>
      <c r="F897" s="31" t="s">
        <v>370</v>
      </c>
      <c r="G897" s="31" t="s">
        <v>370</v>
      </c>
      <c r="H897" s="31" t="s">
        <v>2378</v>
      </c>
      <c r="I897" s="28" t="str">
        <f>VLOOKUP(E897,표준용어사전!$C$2:$D$494, 2, FALSE)</f>
        <v>명V20</v>
      </c>
      <c r="J897" s="28" t="s">
        <v>718</v>
      </c>
      <c r="K897" s="29" t="s">
        <v>986</v>
      </c>
      <c r="L897" s="55" t="s">
        <v>571</v>
      </c>
      <c r="M897" s="29" t="s">
        <v>727</v>
      </c>
      <c r="N897" s="29" t="s">
        <v>75</v>
      </c>
      <c r="O897" s="9"/>
      <c r="P897" s="9" t="s">
        <v>76</v>
      </c>
      <c r="Q897" s="28"/>
      <c r="R897" s="29"/>
      <c r="S897" s="9"/>
      <c r="T897" s="9"/>
      <c r="U897" s="28" t="s">
        <v>75</v>
      </c>
      <c r="V897" s="28" t="s">
        <v>75</v>
      </c>
      <c r="W897" s="9"/>
    </row>
    <row r="898" spans="1:23" s="12" customFormat="1">
      <c r="A898" s="46" t="s">
        <v>572</v>
      </c>
      <c r="B898" s="28" t="s">
        <v>1332</v>
      </c>
      <c r="C898" s="28" t="s">
        <v>2330</v>
      </c>
      <c r="D898" s="28" t="s">
        <v>2476</v>
      </c>
      <c r="E898" s="28" t="s">
        <v>1994</v>
      </c>
      <c r="F898" s="31" t="s">
        <v>1993</v>
      </c>
      <c r="G898" s="31" t="s">
        <v>1993</v>
      </c>
      <c r="H898" s="31" t="s">
        <v>2379</v>
      </c>
      <c r="I898" s="28" t="str">
        <f>VLOOKUP(E898,표준용어사전!$C$2:$D$494, 2, FALSE)</f>
        <v>번호I</v>
      </c>
      <c r="J898" s="28" t="s">
        <v>717</v>
      </c>
      <c r="K898" s="29" t="s">
        <v>571</v>
      </c>
      <c r="L898" s="55" t="s">
        <v>571</v>
      </c>
      <c r="M898" s="29" t="s">
        <v>2591</v>
      </c>
      <c r="N898" s="29" t="s">
        <v>973</v>
      </c>
      <c r="O898" s="9" t="s">
        <v>73</v>
      </c>
      <c r="P898" s="9" t="s">
        <v>76</v>
      </c>
      <c r="Q898" s="28"/>
      <c r="R898" s="29"/>
      <c r="S898" s="9"/>
      <c r="T898" s="9"/>
      <c r="U898" s="28" t="s">
        <v>75</v>
      </c>
      <c r="V898" s="28" t="s">
        <v>75</v>
      </c>
      <c r="W898" s="9"/>
    </row>
    <row r="899" spans="1:23" s="12" customFormat="1">
      <c r="A899" s="46" t="s">
        <v>572</v>
      </c>
      <c r="B899" s="28" t="s">
        <v>1332</v>
      </c>
      <c r="C899" s="28" t="s">
        <v>2330</v>
      </c>
      <c r="D899" s="28" t="s">
        <v>2476</v>
      </c>
      <c r="E899" s="28" t="s">
        <v>1965</v>
      </c>
      <c r="F899" s="31" t="s">
        <v>1964</v>
      </c>
      <c r="G899" s="31" t="s">
        <v>1964</v>
      </c>
      <c r="H899" s="31" t="s">
        <v>2379</v>
      </c>
      <c r="I899" s="28" t="str">
        <f>VLOOKUP(E899,표준용어사전!$C$2:$D$494, 2, FALSE)</f>
        <v>번호N10</v>
      </c>
      <c r="J899" s="28" t="s">
        <v>748</v>
      </c>
      <c r="K899" s="29">
        <v>10</v>
      </c>
      <c r="L899" s="55" t="s">
        <v>571</v>
      </c>
      <c r="M899" s="29" t="s">
        <v>2592</v>
      </c>
      <c r="N899" s="29" t="s">
        <v>973</v>
      </c>
      <c r="O899" s="9"/>
      <c r="P899" s="9" t="s">
        <v>76</v>
      </c>
      <c r="Q899" s="28"/>
      <c r="R899" s="29"/>
      <c r="S899" s="9"/>
      <c r="T899" s="9"/>
      <c r="U899" s="28" t="s">
        <v>75</v>
      </c>
      <c r="V899" s="28" t="s">
        <v>75</v>
      </c>
      <c r="W899" s="9"/>
    </row>
    <row r="900" spans="1:23" s="12" customFormat="1">
      <c r="A900" s="46" t="s">
        <v>572</v>
      </c>
      <c r="B900" s="28" t="s">
        <v>1332</v>
      </c>
      <c r="C900" s="28" t="s">
        <v>2330</v>
      </c>
      <c r="D900" s="28" t="s">
        <v>2476</v>
      </c>
      <c r="E900" s="28" t="s">
        <v>1996</v>
      </c>
      <c r="F900" s="31" t="s">
        <v>428</v>
      </c>
      <c r="G900" s="31" t="s">
        <v>428</v>
      </c>
      <c r="H900" s="31" t="s">
        <v>2379</v>
      </c>
      <c r="I900" s="28" t="str">
        <f>VLOOKUP(E900,표준용어사전!$C$2:$D$494, 2, FALSE)</f>
        <v>명V256</v>
      </c>
      <c r="J900" s="28" t="s">
        <v>718</v>
      </c>
      <c r="K900" s="29">
        <v>256</v>
      </c>
      <c r="L900" s="55" t="s">
        <v>571</v>
      </c>
      <c r="M900" s="29" t="s">
        <v>730</v>
      </c>
      <c r="N900" s="29" t="s">
        <v>973</v>
      </c>
      <c r="O900" s="9"/>
      <c r="P900" s="9" t="s">
        <v>76</v>
      </c>
      <c r="Q900" s="28"/>
      <c r="R900" s="29"/>
      <c r="S900" s="9"/>
      <c r="T900" s="9"/>
      <c r="U900" s="28" t="s">
        <v>75</v>
      </c>
      <c r="V900" s="28" t="s">
        <v>75</v>
      </c>
      <c r="W900" s="9"/>
    </row>
    <row r="901" spans="1:23" s="12" customFormat="1">
      <c r="A901" s="46" t="s">
        <v>572</v>
      </c>
      <c r="B901" s="28" t="s">
        <v>1332</v>
      </c>
      <c r="C901" s="28" t="s">
        <v>2330</v>
      </c>
      <c r="D901" s="28" t="s">
        <v>2476</v>
      </c>
      <c r="E901" s="28" t="s">
        <v>1997</v>
      </c>
      <c r="F901" s="31" t="s">
        <v>429</v>
      </c>
      <c r="G901" s="31" t="s">
        <v>429</v>
      </c>
      <c r="H901" s="31" t="s">
        <v>2379</v>
      </c>
      <c r="I901" s="28" t="str">
        <f>VLOOKUP(E901,표준용어사전!$C$2:$D$494, 2, FALSE)</f>
        <v>명V256</v>
      </c>
      <c r="J901" s="28" t="s">
        <v>718</v>
      </c>
      <c r="K901" s="29">
        <v>256</v>
      </c>
      <c r="L901" s="55" t="s">
        <v>571</v>
      </c>
      <c r="M901" s="29" t="s">
        <v>730</v>
      </c>
      <c r="N901" s="29" t="s">
        <v>75</v>
      </c>
      <c r="O901" s="9"/>
      <c r="P901" s="9" t="s">
        <v>76</v>
      </c>
      <c r="Q901" s="28"/>
      <c r="R901" s="29"/>
      <c r="S901" s="9"/>
      <c r="T901" s="9"/>
      <c r="U901" s="28" t="s">
        <v>75</v>
      </c>
      <c r="V901" s="28" t="s">
        <v>75</v>
      </c>
      <c r="W901" s="9"/>
    </row>
    <row r="902" spans="1:23" s="12" customFormat="1">
      <c r="A902" s="46" t="s">
        <v>572</v>
      </c>
      <c r="B902" s="28" t="s">
        <v>1332</v>
      </c>
      <c r="C902" s="28" t="s">
        <v>2330</v>
      </c>
      <c r="D902" s="28" t="s">
        <v>2476</v>
      </c>
      <c r="E902" s="28" t="s">
        <v>90</v>
      </c>
      <c r="F902" s="31" t="s">
        <v>14</v>
      </c>
      <c r="G902" s="31" t="s">
        <v>14</v>
      </c>
      <c r="H902" s="31" t="s">
        <v>2379</v>
      </c>
      <c r="I902" s="28" t="str">
        <f>VLOOKUP(E902,표준용어사전!$C$2:$D$494, 2, FALSE)</f>
        <v>연월일시분초TS</v>
      </c>
      <c r="J902" s="28" t="s">
        <v>719</v>
      </c>
      <c r="K902" s="29" t="s">
        <v>571</v>
      </c>
      <c r="L902" s="55" t="s">
        <v>571</v>
      </c>
      <c r="M902" s="29" t="s">
        <v>726</v>
      </c>
      <c r="N902" s="29" t="s">
        <v>973</v>
      </c>
      <c r="O902" s="9"/>
      <c r="P902" s="9" t="s">
        <v>76</v>
      </c>
      <c r="Q902" s="28"/>
      <c r="R902" s="29"/>
      <c r="S902" s="9"/>
      <c r="T902" s="9"/>
      <c r="U902" s="28" t="s">
        <v>75</v>
      </c>
      <c r="V902" s="28" t="s">
        <v>75</v>
      </c>
      <c r="W902" s="9"/>
    </row>
    <row r="903" spans="1:23" s="12" customFormat="1">
      <c r="A903" s="46" t="s">
        <v>572</v>
      </c>
      <c r="B903" s="28" t="s">
        <v>1332</v>
      </c>
      <c r="C903" s="28" t="s">
        <v>2330</v>
      </c>
      <c r="D903" s="28" t="s">
        <v>2476</v>
      </c>
      <c r="E903" s="28" t="s">
        <v>91</v>
      </c>
      <c r="F903" s="31" t="s">
        <v>369</v>
      </c>
      <c r="G903" s="31" t="s">
        <v>369</v>
      </c>
      <c r="H903" s="31" t="s">
        <v>2379</v>
      </c>
      <c r="I903" s="28" t="str">
        <f>VLOOKUP(E903,표준용어사전!$C$2:$D$494, 2, FALSE)</f>
        <v>명V20</v>
      </c>
      <c r="J903" s="28" t="s">
        <v>718</v>
      </c>
      <c r="K903" s="29" t="s">
        <v>986</v>
      </c>
      <c r="L903" s="55" t="s">
        <v>571</v>
      </c>
      <c r="M903" s="29" t="s">
        <v>727</v>
      </c>
      <c r="N903" s="29" t="s">
        <v>75</v>
      </c>
      <c r="O903" s="9"/>
      <c r="P903" s="9" t="s">
        <v>76</v>
      </c>
      <c r="Q903" s="28"/>
      <c r="R903" s="29"/>
      <c r="S903" s="9"/>
      <c r="T903" s="9"/>
      <c r="U903" s="28" t="s">
        <v>75</v>
      </c>
      <c r="V903" s="28" t="s">
        <v>75</v>
      </c>
      <c r="W903" s="9"/>
    </row>
    <row r="904" spans="1:23" s="12" customFormat="1">
      <c r="A904" s="46" t="s">
        <v>572</v>
      </c>
      <c r="B904" s="28" t="s">
        <v>1332</v>
      </c>
      <c r="C904" s="28" t="s">
        <v>2330</v>
      </c>
      <c r="D904" s="28" t="s">
        <v>2476</v>
      </c>
      <c r="E904" s="28" t="s">
        <v>92</v>
      </c>
      <c r="F904" s="31" t="s">
        <v>15</v>
      </c>
      <c r="G904" s="31" t="s">
        <v>15</v>
      </c>
      <c r="H904" s="31" t="s">
        <v>2379</v>
      </c>
      <c r="I904" s="28" t="str">
        <f>VLOOKUP(E904,표준용어사전!$C$2:$D$494, 2, FALSE)</f>
        <v>연월일시분초TS</v>
      </c>
      <c r="J904" s="28" t="s">
        <v>719</v>
      </c>
      <c r="K904" s="29" t="s">
        <v>571</v>
      </c>
      <c r="L904" s="55" t="s">
        <v>571</v>
      </c>
      <c r="M904" s="29" t="s">
        <v>726</v>
      </c>
      <c r="N904" s="29" t="s">
        <v>75</v>
      </c>
      <c r="O904" s="9"/>
      <c r="P904" s="9" t="s">
        <v>76</v>
      </c>
      <c r="Q904" s="28"/>
      <c r="R904" s="29"/>
      <c r="S904" s="9"/>
      <c r="T904" s="9"/>
      <c r="U904" s="28" t="s">
        <v>75</v>
      </c>
      <c r="V904" s="28" t="s">
        <v>75</v>
      </c>
      <c r="W904" s="9"/>
    </row>
    <row r="905" spans="1:23" s="12" customFormat="1">
      <c r="A905" s="46" t="s">
        <v>572</v>
      </c>
      <c r="B905" s="28" t="s">
        <v>1332</v>
      </c>
      <c r="C905" s="28" t="s">
        <v>2330</v>
      </c>
      <c r="D905" s="28" t="s">
        <v>2476</v>
      </c>
      <c r="E905" s="28" t="s">
        <v>93</v>
      </c>
      <c r="F905" s="31" t="s">
        <v>370</v>
      </c>
      <c r="G905" s="31" t="s">
        <v>370</v>
      </c>
      <c r="H905" s="31" t="s">
        <v>2379</v>
      </c>
      <c r="I905" s="28" t="str">
        <f>VLOOKUP(E905,표준용어사전!$C$2:$D$494, 2, FALSE)</f>
        <v>명V20</v>
      </c>
      <c r="J905" s="28" t="s">
        <v>718</v>
      </c>
      <c r="K905" s="29" t="s">
        <v>986</v>
      </c>
      <c r="L905" s="55" t="s">
        <v>571</v>
      </c>
      <c r="M905" s="29" t="s">
        <v>727</v>
      </c>
      <c r="N905" s="29" t="s">
        <v>75</v>
      </c>
      <c r="O905" s="9"/>
      <c r="P905" s="9" t="s">
        <v>76</v>
      </c>
      <c r="Q905" s="28"/>
      <c r="R905" s="29"/>
      <c r="S905" s="9"/>
      <c r="T905" s="9"/>
      <c r="U905" s="28" t="s">
        <v>75</v>
      </c>
      <c r="V905" s="28" t="s">
        <v>75</v>
      </c>
      <c r="W905" s="9"/>
    </row>
    <row r="906" spans="1:23" s="12" customFormat="1">
      <c r="A906" s="46" t="s">
        <v>572</v>
      </c>
      <c r="B906" s="28" t="s">
        <v>1332</v>
      </c>
      <c r="C906" s="28" t="s">
        <v>2330</v>
      </c>
      <c r="D906" s="28" t="s">
        <v>2477</v>
      </c>
      <c r="E906" s="28" t="s">
        <v>1965</v>
      </c>
      <c r="F906" s="31" t="s">
        <v>1964</v>
      </c>
      <c r="G906" s="31" t="s">
        <v>1964</v>
      </c>
      <c r="H906" s="31" t="s">
        <v>2380</v>
      </c>
      <c r="I906" s="28" t="str">
        <f>VLOOKUP(E906,표준용어사전!$C$2:$D$494, 2, FALSE)</f>
        <v>번호N10</v>
      </c>
      <c r="J906" s="28" t="s">
        <v>748</v>
      </c>
      <c r="K906" s="29">
        <v>10</v>
      </c>
      <c r="L906" s="55" t="s">
        <v>571</v>
      </c>
      <c r="M906" s="29" t="s">
        <v>2592</v>
      </c>
      <c r="N906" s="29" t="s">
        <v>973</v>
      </c>
      <c r="O906" s="9" t="s">
        <v>73</v>
      </c>
      <c r="P906" s="9" t="s">
        <v>76</v>
      </c>
      <c r="Q906" s="28"/>
      <c r="R906" s="29"/>
      <c r="S906" s="9"/>
      <c r="T906" s="9"/>
      <c r="U906" s="28" t="s">
        <v>75</v>
      </c>
      <c r="V906" s="28" t="s">
        <v>75</v>
      </c>
      <c r="W906" s="9"/>
    </row>
    <row r="907" spans="1:23" s="12" customFormat="1">
      <c r="A907" s="46" t="s">
        <v>572</v>
      </c>
      <c r="B907" s="28" t="s">
        <v>1332</v>
      </c>
      <c r="C907" s="28" t="s">
        <v>2330</v>
      </c>
      <c r="D907" s="28" t="s">
        <v>2477</v>
      </c>
      <c r="E907" s="28" t="s">
        <v>1976</v>
      </c>
      <c r="F907" s="31" t="s">
        <v>1975</v>
      </c>
      <c r="G907" s="31" t="s">
        <v>1975</v>
      </c>
      <c r="H907" s="31" t="s">
        <v>2380</v>
      </c>
      <c r="I907" s="28" t="str">
        <f>VLOOKUP(E907,표준용어사전!$C$2:$D$494, 2, FALSE)</f>
        <v>명V100</v>
      </c>
      <c r="J907" s="28" t="s">
        <v>718</v>
      </c>
      <c r="K907" s="29">
        <v>100</v>
      </c>
      <c r="L907" s="55" t="s">
        <v>571</v>
      </c>
      <c r="M907" s="29" t="s">
        <v>729</v>
      </c>
      <c r="N907" s="29" t="s">
        <v>75</v>
      </c>
      <c r="O907" s="9"/>
      <c r="P907" s="9" t="s">
        <v>76</v>
      </c>
      <c r="Q907" s="28"/>
      <c r="R907" s="29"/>
      <c r="S907" s="9"/>
      <c r="T907" s="9"/>
      <c r="U907" s="28" t="s">
        <v>75</v>
      </c>
      <c r="V907" s="28" t="s">
        <v>75</v>
      </c>
      <c r="W907" s="9"/>
    </row>
    <row r="908" spans="1:23" s="12" customFormat="1">
      <c r="A908" s="46" t="s">
        <v>572</v>
      </c>
      <c r="B908" s="28" t="s">
        <v>1332</v>
      </c>
      <c r="C908" s="28" t="s">
        <v>2330</v>
      </c>
      <c r="D908" s="28" t="s">
        <v>2477</v>
      </c>
      <c r="E908" s="28" t="s">
        <v>1978</v>
      </c>
      <c r="F908" s="31" t="s">
        <v>1977</v>
      </c>
      <c r="G908" s="31" t="s">
        <v>1977</v>
      </c>
      <c r="H908" s="31" t="s">
        <v>2380</v>
      </c>
      <c r="I908" s="28" t="str">
        <f>VLOOKUP(E908,표준용어사전!$C$2:$D$494, 2, FALSE)</f>
        <v>명V512</v>
      </c>
      <c r="J908" s="28" t="s">
        <v>718</v>
      </c>
      <c r="K908" s="29">
        <v>512</v>
      </c>
      <c r="L908" s="55" t="s">
        <v>571</v>
      </c>
      <c r="M908" s="29" t="s">
        <v>721</v>
      </c>
      <c r="N908" s="29" t="s">
        <v>75</v>
      </c>
      <c r="O908" s="9"/>
      <c r="P908" s="9" t="s">
        <v>76</v>
      </c>
      <c r="Q908" s="28"/>
      <c r="R908" s="29"/>
      <c r="S908" s="9"/>
      <c r="T908" s="9"/>
      <c r="U908" s="28" t="s">
        <v>75</v>
      </c>
      <c r="V908" s="28" t="s">
        <v>75</v>
      </c>
      <c r="W908" s="9"/>
    </row>
    <row r="909" spans="1:23" s="12" customFormat="1">
      <c r="A909" s="46" t="s">
        <v>572</v>
      </c>
      <c r="B909" s="28" t="s">
        <v>1332</v>
      </c>
      <c r="C909" s="28" t="s">
        <v>2330</v>
      </c>
      <c r="D909" s="28" t="s">
        <v>2477</v>
      </c>
      <c r="E909" s="28" t="s">
        <v>1980</v>
      </c>
      <c r="F909" s="31" t="s">
        <v>1979</v>
      </c>
      <c r="G909" s="31" t="s">
        <v>1979</v>
      </c>
      <c r="H909" s="31" t="s">
        <v>2380</v>
      </c>
      <c r="I909" s="28" t="str">
        <f>VLOOKUP(E909,표준용어사전!$C$2:$D$494, 2, FALSE)</f>
        <v>명V256</v>
      </c>
      <c r="J909" s="28" t="s">
        <v>718</v>
      </c>
      <c r="K909" s="29">
        <v>256</v>
      </c>
      <c r="L909" s="55" t="s">
        <v>571</v>
      </c>
      <c r="M909" s="29" t="s">
        <v>730</v>
      </c>
      <c r="N909" s="29" t="s">
        <v>75</v>
      </c>
      <c r="O909" s="9"/>
      <c r="P909" s="28" t="s">
        <v>76</v>
      </c>
      <c r="Q909" s="28"/>
      <c r="R909" s="29"/>
      <c r="S909" s="28"/>
      <c r="T909" s="28"/>
      <c r="U909" s="28" t="s">
        <v>75</v>
      </c>
      <c r="V909" s="28" t="s">
        <v>75</v>
      </c>
      <c r="W909" s="28"/>
    </row>
    <row r="910" spans="1:23" s="12" customFormat="1">
      <c r="A910" s="46" t="s">
        <v>572</v>
      </c>
      <c r="B910" s="28" t="s">
        <v>1332</v>
      </c>
      <c r="C910" s="28" t="s">
        <v>2330</v>
      </c>
      <c r="D910" s="28" t="s">
        <v>2477</v>
      </c>
      <c r="E910" s="28" t="s">
        <v>1982</v>
      </c>
      <c r="F910" s="31" t="s">
        <v>1981</v>
      </c>
      <c r="G910" s="31" t="s">
        <v>1981</v>
      </c>
      <c r="H910" s="31" t="s">
        <v>2380</v>
      </c>
      <c r="I910" s="28" t="str">
        <f>VLOOKUP(E910,표준용어사전!$C$2:$D$494, 2, FALSE)</f>
        <v>내용V2000</v>
      </c>
      <c r="J910" s="28" t="s">
        <v>718</v>
      </c>
      <c r="K910" s="29">
        <v>2000</v>
      </c>
      <c r="L910" s="55" t="s">
        <v>571</v>
      </c>
      <c r="M910" s="29" t="s">
        <v>728</v>
      </c>
      <c r="N910" s="29" t="s">
        <v>75</v>
      </c>
      <c r="O910" s="28"/>
      <c r="P910" s="28" t="s">
        <v>76</v>
      </c>
      <c r="Q910" s="28"/>
      <c r="R910" s="29"/>
      <c r="S910" s="28"/>
      <c r="T910" s="28"/>
      <c r="U910" s="28" t="s">
        <v>75</v>
      </c>
      <c r="V910" s="28" t="s">
        <v>75</v>
      </c>
      <c r="W910" s="28"/>
    </row>
    <row r="911" spans="1:23" s="12" customFormat="1">
      <c r="A911" s="46" t="s">
        <v>572</v>
      </c>
      <c r="B911" s="28" t="s">
        <v>1332</v>
      </c>
      <c r="C911" s="28" t="s">
        <v>2330</v>
      </c>
      <c r="D911" s="28" t="s">
        <v>2477</v>
      </c>
      <c r="E911" s="28" t="s">
        <v>1984</v>
      </c>
      <c r="F911" s="31" t="s">
        <v>1983</v>
      </c>
      <c r="G911" s="31" t="s">
        <v>1983</v>
      </c>
      <c r="H911" s="31" t="s">
        <v>2380</v>
      </c>
      <c r="I911" s="28" t="str">
        <f>VLOOKUP(E911,표준용어사전!$C$2:$D$494, 2, FALSE)</f>
        <v>주소V2000</v>
      </c>
      <c r="J911" s="28" t="s">
        <v>718</v>
      </c>
      <c r="K911" s="29">
        <v>2000</v>
      </c>
      <c r="L911" s="55" t="s">
        <v>571</v>
      </c>
      <c r="M911" s="29" t="s">
        <v>728</v>
      </c>
      <c r="N911" s="29" t="s">
        <v>75</v>
      </c>
      <c r="O911" s="28"/>
      <c r="P911" s="28" t="s">
        <v>76</v>
      </c>
      <c r="Q911" s="28"/>
      <c r="R911" s="29"/>
      <c r="S911" s="28"/>
      <c r="T911" s="28"/>
      <c r="U911" s="28" t="s">
        <v>75</v>
      </c>
      <c r="V911" s="28" t="s">
        <v>75</v>
      </c>
      <c r="W911" s="28"/>
    </row>
    <row r="912" spans="1:23" s="12" customFormat="1">
      <c r="A912" s="46" t="s">
        <v>572</v>
      </c>
      <c r="B912" s="28" t="s">
        <v>1332</v>
      </c>
      <c r="C912" s="28" t="s">
        <v>2330</v>
      </c>
      <c r="D912" s="28" t="s">
        <v>2477</v>
      </c>
      <c r="E912" s="28" t="s">
        <v>1986</v>
      </c>
      <c r="F912" s="31" t="s">
        <v>1985</v>
      </c>
      <c r="G912" s="31" t="s">
        <v>1985</v>
      </c>
      <c r="H912" s="31" t="s">
        <v>2380</v>
      </c>
      <c r="I912" s="28" t="str">
        <f>VLOOKUP(E912,표준용어사전!$C$2:$D$494, 2, FALSE)</f>
        <v>내용TXT</v>
      </c>
      <c r="J912" s="28" t="s">
        <v>713</v>
      </c>
      <c r="K912" s="29" t="s">
        <v>571</v>
      </c>
      <c r="L912" s="55" t="s">
        <v>571</v>
      </c>
      <c r="M912" s="29" t="s">
        <v>2590</v>
      </c>
      <c r="N912" s="29" t="s">
        <v>75</v>
      </c>
      <c r="O912" s="28"/>
      <c r="P912" s="28" t="s">
        <v>76</v>
      </c>
      <c r="Q912" s="28"/>
      <c r="R912" s="29"/>
      <c r="S912" s="28"/>
      <c r="T912" s="28"/>
      <c r="U912" s="28" t="s">
        <v>75</v>
      </c>
      <c r="V912" s="28" t="s">
        <v>75</v>
      </c>
      <c r="W912" s="28"/>
    </row>
    <row r="913" spans="1:23" s="12" customFormat="1">
      <c r="A913" s="46" t="s">
        <v>572</v>
      </c>
      <c r="B913" s="28" t="s">
        <v>1332</v>
      </c>
      <c r="C913" s="28" t="s">
        <v>2330</v>
      </c>
      <c r="D913" s="28" t="s">
        <v>2477</v>
      </c>
      <c r="E913" s="28" t="s">
        <v>1988</v>
      </c>
      <c r="F913" s="31" t="s">
        <v>1987</v>
      </c>
      <c r="G913" s="31" t="s">
        <v>1987</v>
      </c>
      <c r="H913" s="31" t="s">
        <v>2380</v>
      </c>
      <c r="I913" s="28" t="str">
        <f>VLOOKUP(E913,표준용어사전!$C$2:$D$494, 2, FALSE)</f>
        <v>내용TXT</v>
      </c>
      <c r="J913" s="28" t="s">
        <v>713</v>
      </c>
      <c r="K913" s="29" t="s">
        <v>571</v>
      </c>
      <c r="L913" s="55" t="s">
        <v>571</v>
      </c>
      <c r="M913" s="29" t="s">
        <v>2590</v>
      </c>
      <c r="N913" s="29" t="s">
        <v>75</v>
      </c>
      <c r="O913" s="28"/>
      <c r="P913" s="28" t="s">
        <v>76</v>
      </c>
      <c r="Q913" s="28"/>
      <c r="R913" s="29"/>
      <c r="S913" s="28"/>
      <c r="T913" s="28"/>
      <c r="U913" s="28" t="s">
        <v>75</v>
      </c>
      <c r="V913" s="28" t="s">
        <v>75</v>
      </c>
      <c r="W913" s="9"/>
    </row>
    <row r="914" spans="1:23" s="12" customFormat="1">
      <c r="A914" s="46" t="s">
        <v>572</v>
      </c>
      <c r="B914" s="28" t="s">
        <v>1332</v>
      </c>
      <c r="C914" s="28" t="s">
        <v>2330</v>
      </c>
      <c r="D914" s="28" t="s">
        <v>2477</v>
      </c>
      <c r="E914" s="28" t="s">
        <v>1990</v>
      </c>
      <c r="F914" s="31" t="s">
        <v>1989</v>
      </c>
      <c r="G914" s="31" t="s">
        <v>1989</v>
      </c>
      <c r="H914" s="31" t="s">
        <v>2380</v>
      </c>
      <c r="I914" s="28" t="str">
        <f>VLOOKUP(E914,표준용어사전!$C$2:$D$494, 2, FALSE)</f>
        <v>주소V2000</v>
      </c>
      <c r="J914" s="28" t="s">
        <v>718</v>
      </c>
      <c r="K914" s="29">
        <v>2000</v>
      </c>
      <c r="L914" s="55" t="s">
        <v>571</v>
      </c>
      <c r="M914" s="29" t="s">
        <v>728</v>
      </c>
      <c r="N914" s="29" t="s">
        <v>75</v>
      </c>
      <c r="O914" s="28"/>
      <c r="P914" s="28" t="s">
        <v>76</v>
      </c>
      <c r="Q914" s="28"/>
      <c r="R914" s="29"/>
      <c r="S914" s="28"/>
      <c r="T914" s="28"/>
      <c r="U914" s="28" t="s">
        <v>75</v>
      </c>
      <c r="V914" s="28" t="s">
        <v>75</v>
      </c>
      <c r="W914" s="28"/>
    </row>
    <row r="915" spans="1:23" s="12" customFormat="1">
      <c r="A915" s="46" t="s">
        <v>572</v>
      </c>
      <c r="B915" s="28" t="s">
        <v>1332</v>
      </c>
      <c r="C915" s="28" t="s">
        <v>2330</v>
      </c>
      <c r="D915" s="28" t="s">
        <v>2477</v>
      </c>
      <c r="E915" s="28" t="s">
        <v>182</v>
      </c>
      <c r="F915" s="31" t="s">
        <v>436</v>
      </c>
      <c r="G915" s="31" t="s">
        <v>436</v>
      </c>
      <c r="H915" s="31" t="s">
        <v>2380</v>
      </c>
      <c r="I915" s="28" t="str">
        <f>VLOOKUP(E915,표준용어사전!$C$2:$D$494, 2, FALSE)</f>
        <v>연월일C8</v>
      </c>
      <c r="J915" s="28" t="s">
        <v>709</v>
      </c>
      <c r="K915" s="29">
        <v>8</v>
      </c>
      <c r="L915" s="55" t="s">
        <v>571</v>
      </c>
      <c r="M915" s="29" t="s">
        <v>731</v>
      </c>
      <c r="N915" s="29" t="s">
        <v>75</v>
      </c>
      <c r="O915" s="28"/>
      <c r="P915" s="28" t="s">
        <v>76</v>
      </c>
      <c r="Q915" s="28"/>
      <c r="R915" s="29"/>
      <c r="S915" s="28"/>
      <c r="T915" s="28"/>
      <c r="U915" s="28" t="s">
        <v>75</v>
      </c>
      <c r="V915" s="28" t="s">
        <v>75</v>
      </c>
      <c r="W915" s="28"/>
    </row>
    <row r="916" spans="1:23" s="12" customFormat="1">
      <c r="A916" s="46" t="s">
        <v>572</v>
      </c>
      <c r="B916" s="28" t="s">
        <v>1332</v>
      </c>
      <c r="C916" s="28" t="s">
        <v>2330</v>
      </c>
      <c r="D916" s="28" t="s">
        <v>2477</v>
      </c>
      <c r="E916" s="28" t="s">
        <v>1991</v>
      </c>
      <c r="F916" s="31" t="s">
        <v>437</v>
      </c>
      <c r="G916" s="31" t="s">
        <v>437</v>
      </c>
      <c r="H916" s="31" t="s">
        <v>2380</v>
      </c>
      <c r="I916" s="28" t="str">
        <f>VLOOKUP(E916,표준용어사전!$C$2:$D$494, 2, FALSE)</f>
        <v>여부C1</v>
      </c>
      <c r="J916" s="28" t="s">
        <v>709</v>
      </c>
      <c r="K916" s="29">
        <v>1</v>
      </c>
      <c r="L916" s="55" t="s">
        <v>571</v>
      </c>
      <c r="M916" s="29" t="s">
        <v>722</v>
      </c>
      <c r="N916" s="29" t="s">
        <v>75</v>
      </c>
      <c r="O916" s="28"/>
      <c r="P916" s="28" t="s">
        <v>76</v>
      </c>
      <c r="Q916" s="28"/>
      <c r="R916" s="29"/>
      <c r="S916" s="28"/>
      <c r="T916" s="28"/>
      <c r="U916" s="28" t="s">
        <v>75</v>
      </c>
      <c r="V916" s="28" t="s">
        <v>75</v>
      </c>
      <c r="W916" s="9"/>
    </row>
    <row r="917" spans="1:23" s="12" customFormat="1">
      <c r="A917" s="46" t="s">
        <v>572</v>
      </c>
      <c r="B917" s="28" t="s">
        <v>1332</v>
      </c>
      <c r="C917" s="28" t="s">
        <v>2330</v>
      </c>
      <c r="D917" s="28" t="s">
        <v>2477</v>
      </c>
      <c r="E917" s="28" t="s">
        <v>153</v>
      </c>
      <c r="F917" s="31" t="s">
        <v>79</v>
      </c>
      <c r="G917" s="31" t="s">
        <v>79</v>
      </c>
      <c r="H917" s="31" t="s">
        <v>2380</v>
      </c>
      <c r="I917" s="28" t="str">
        <f>VLOOKUP(E917,표준용어사전!$C$2:$D$494, 2, FALSE)</f>
        <v>코드C2</v>
      </c>
      <c r="J917" s="28" t="s">
        <v>709</v>
      </c>
      <c r="K917" s="29">
        <v>2</v>
      </c>
      <c r="L917" s="55" t="s">
        <v>571</v>
      </c>
      <c r="M917" s="29" t="s">
        <v>766</v>
      </c>
      <c r="N917" s="29" t="s">
        <v>75</v>
      </c>
      <c r="O917" s="9"/>
      <c r="P917" s="9" t="s">
        <v>76</v>
      </c>
      <c r="Q917" s="28"/>
      <c r="R917" s="29"/>
      <c r="S917" s="9"/>
      <c r="T917" s="9"/>
      <c r="U917" s="28" t="s">
        <v>75</v>
      </c>
      <c r="V917" s="28" t="s">
        <v>75</v>
      </c>
      <c r="W917" s="9"/>
    </row>
    <row r="918" spans="1:23" s="12" customFormat="1">
      <c r="A918" s="46" t="s">
        <v>572</v>
      </c>
      <c r="B918" s="28" t="s">
        <v>1332</v>
      </c>
      <c r="C918" s="28" t="s">
        <v>2330</v>
      </c>
      <c r="D918" s="28" t="s">
        <v>2477</v>
      </c>
      <c r="E918" s="28" t="s">
        <v>184</v>
      </c>
      <c r="F918" s="31" t="s">
        <v>438</v>
      </c>
      <c r="G918" s="31" t="s">
        <v>438</v>
      </c>
      <c r="H918" s="31" t="s">
        <v>2380</v>
      </c>
      <c r="I918" s="28" t="str">
        <f>VLOOKUP(E918,표준용어사전!$C$2:$D$494, 2, FALSE)</f>
        <v>명V20</v>
      </c>
      <c r="J918" s="28" t="s">
        <v>718</v>
      </c>
      <c r="K918" s="29" t="s">
        <v>986</v>
      </c>
      <c r="L918" s="55" t="s">
        <v>571</v>
      </c>
      <c r="M918" s="29" t="s">
        <v>727</v>
      </c>
      <c r="N918" s="29" t="s">
        <v>75</v>
      </c>
      <c r="O918" s="9"/>
      <c r="P918" s="9" t="s">
        <v>76</v>
      </c>
      <c r="Q918" s="28"/>
      <c r="R918" s="29"/>
      <c r="S918" s="9"/>
      <c r="T918" s="9"/>
      <c r="U918" s="28" t="s">
        <v>75</v>
      </c>
      <c r="V918" s="28" t="s">
        <v>75</v>
      </c>
      <c r="W918" s="9"/>
    </row>
    <row r="919" spans="1:23" s="12" customFormat="1">
      <c r="A919" s="46" t="s">
        <v>572</v>
      </c>
      <c r="B919" s="28" t="s">
        <v>1332</v>
      </c>
      <c r="C919" s="28" t="s">
        <v>2330</v>
      </c>
      <c r="D919" s="28" t="s">
        <v>2477</v>
      </c>
      <c r="E919" s="28" t="s">
        <v>90</v>
      </c>
      <c r="F919" s="31" t="s">
        <v>14</v>
      </c>
      <c r="G919" s="31" t="s">
        <v>14</v>
      </c>
      <c r="H919" s="31" t="s">
        <v>2380</v>
      </c>
      <c r="I919" s="28" t="str">
        <f>VLOOKUP(E919,표준용어사전!$C$2:$D$494, 2, FALSE)</f>
        <v>연월일시분초TS</v>
      </c>
      <c r="J919" s="28" t="s">
        <v>719</v>
      </c>
      <c r="K919" s="29" t="s">
        <v>571</v>
      </c>
      <c r="L919" s="55" t="s">
        <v>571</v>
      </c>
      <c r="M919" s="29" t="s">
        <v>726</v>
      </c>
      <c r="N919" s="29" t="s">
        <v>973</v>
      </c>
      <c r="O919" s="9"/>
      <c r="P919" s="9" t="s">
        <v>76</v>
      </c>
      <c r="Q919" s="28"/>
      <c r="R919" s="29"/>
      <c r="S919" s="9"/>
      <c r="T919" s="9"/>
      <c r="U919" s="28" t="s">
        <v>75</v>
      </c>
      <c r="V919" s="28" t="s">
        <v>75</v>
      </c>
      <c r="W919" s="9"/>
    </row>
    <row r="920" spans="1:23" s="12" customFormat="1">
      <c r="A920" s="46" t="s">
        <v>572</v>
      </c>
      <c r="B920" s="28" t="s">
        <v>1332</v>
      </c>
      <c r="C920" s="28" t="s">
        <v>2330</v>
      </c>
      <c r="D920" s="28" t="s">
        <v>2477</v>
      </c>
      <c r="E920" s="28" t="s">
        <v>91</v>
      </c>
      <c r="F920" s="31" t="s">
        <v>369</v>
      </c>
      <c r="G920" s="31" t="s">
        <v>369</v>
      </c>
      <c r="H920" s="31" t="s">
        <v>2380</v>
      </c>
      <c r="I920" s="28" t="str">
        <f>VLOOKUP(E920,표준용어사전!$C$2:$D$494, 2, FALSE)</f>
        <v>명V20</v>
      </c>
      <c r="J920" s="28" t="s">
        <v>718</v>
      </c>
      <c r="K920" s="29" t="s">
        <v>986</v>
      </c>
      <c r="L920" s="55" t="s">
        <v>571</v>
      </c>
      <c r="M920" s="29" t="s">
        <v>727</v>
      </c>
      <c r="N920" s="29" t="s">
        <v>75</v>
      </c>
      <c r="O920" s="9"/>
      <c r="P920" s="9" t="s">
        <v>76</v>
      </c>
      <c r="Q920" s="28"/>
      <c r="R920" s="29"/>
      <c r="S920" s="9"/>
      <c r="T920" s="9"/>
      <c r="U920" s="28" t="s">
        <v>75</v>
      </c>
      <c r="V920" s="28" t="s">
        <v>75</v>
      </c>
      <c r="W920" s="9"/>
    </row>
    <row r="921" spans="1:23" s="12" customFormat="1">
      <c r="A921" s="46" t="s">
        <v>572</v>
      </c>
      <c r="B921" s="28" t="s">
        <v>1332</v>
      </c>
      <c r="C921" s="28" t="s">
        <v>2330</v>
      </c>
      <c r="D921" s="28" t="s">
        <v>2477</v>
      </c>
      <c r="E921" s="28" t="s">
        <v>92</v>
      </c>
      <c r="F921" s="31" t="s">
        <v>15</v>
      </c>
      <c r="G921" s="31" t="s">
        <v>15</v>
      </c>
      <c r="H921" s="31" t="s">
        <v>2380</v>
      </c>
      <c r="I921" s="28" t="str">
        <f>VLOOKUP(E921,표준용어사전!$C$2:$D$494, 2, FALSE)</f>
        <v>연월일시분초TS</v>
      </c>
      <c r="J921" s="28" t="s">
        <v>719</v>
      </c>
      <c r="K921" s="29" t="s">
        <v>571</v>
      </c>
      <c r="L921" s="55" t="s">
        <v>571</v>
      </c>
      <c r="M921" s="29" t="s">
        <v>726</v>
      </c>
      <c r="N921" s="29" t="s">
        <v>75</v>
      </c>
      <c r="O921" s="9"/>
      <c r="P921" s="9" t="s">
        <v>76</v>
      </c>
      <c r="Q921" s="28"/>
      <c r="R921" s="29"/>
      <c r="S921" s="9"/>
      <c r="T921" s="9"/>
      <c r="U921" s="28" t="s">
        <v>75</v>
      </c>
      <c r="V921" s="28" t="s">
        <v>75</v>
      </c>
      <c r="W921" s="9"/>
    </row>
    <row r="922" spans="1:23" s="12" customFormat="1">
      <c r="A922" s="46" t="s">
        <v>572</v>
      </c>
      <c r="B922" s="28" t="s">
        <v>1332</v>
      </c>
      <c r="C922" s="28" t="s">
        <v>2330</v>
      </c>
      <c r="D922" s="28" t="s">
        <v>2477</v>
      </c>
      <c r="E922" s="28" t="s">
        <v>93</v>
      </c>
      <c r="F922" s="31" t="s">
        <v>370</v>
      </c>
      <c r="G922" s="31" t="s">
        <v>370</v>
      </c>
      <c r="H922" s="31" t="s">
        <v>2380</v>
      </c>
      <c r="I922" s="28" t="str">
        <f>VLOOKUP(E922,표준용어사전!$C$2:$D$494, 2, FALSE)</f>
        <v>명V20</v>
      </c>
      <c r="J922" s="28" t="s">
        <v>718</v>
      </c>
      <c r="K922" s="29" t="s">
        <v>986</v>
      </c>
      <c r="L922" s="55" t="s">
        <v>571</v>
      </c>
      <c r="M922" s="29" t="s">
        <v>727</v>
      </c>
      <c r="N922" s="29" t="s">
        <v>75</v>
      </c>
      <c r="O922" s="9"/>
      <c r="P922" s="9" t="s">
        <v>76</v>
      </c>
      <c r="Q922" s="28"/>
      <c r="R922" s="29"/>
      <c r="S922" s="9"/>
      <c r="T922" s="9"/>
      <c r="U922" s="28" t="s">
        <v>75</v>
      </c>
      <c r="V922" s="28" t="s">
        <v>75</v>
      </c>
      <c r="W922" s="9"/>
    </row>
    <row r="923" spans="1:23" s="12" customFormat="1">
      <c r="A923" s="46" t="s">
        <v>572</v>
      </c>
      <c r="B923" s="28" t="s">
        <v>1332</v>
      </c>
      <c r="C923" s="28" t="s">
        <v>2330</v>
      </c>
      <c r="D923" s="28" t="s">
        <v>2477</v>
      </c>
      <c r="E923" s="28" t="s">
        <v>825</v>
      </c>
      <c r="F923" s="31" t="s">
        <v>712</v>
      </c>
      <c r="G923" s="31" t="s">
        <v>712</v>
      </c>
      <c r="H923" s="31" t="s">
        <v>2380</v>
      </c>
      <c r="I923" s="28" t="str">
        <f>VLOOKUP(E923,표준용어사전!$C$2:$D$494, 2, FALSE)</f>
        <v>여부C1</v>
      </c>
      <c r="J923" s="28" t="s">
        <v>709</v>
      </c>
      <c r="K923" s="29">
        <v>1</v>
      </c>
      <c r="L923" s="55" t="s">
        <v>571</v>
      </c>
      <c r="M923" s="29" t="s">
        <v>722</v>
      </c>
      <c r="N923" s="29" t="s">
        <v>75</v>
      </c>
      <c r="O923" s="9"/>
      <c r="P923" s="9" t="s">
        <v>76</v>
      </c>
      <c r="Q923" s="28"/>
      <c r="R923" s="29"/>
      <c r="S923" s="9"/>
      <c r="T923" s="9"/>
      <c r="U923" s="28" t="s">
        <v>75</v>
      </c>
      <c r="V923" s="28" t="s">
        <v>75</v>
      </c>
      <c r="W923" s="9"/>
    </row>
    <row r="924" spans="1:23" s="12" customFormat="1">
      <c r="A924" s="46" t="s">
        <v>572</v>
      </c>
      <c r="B924" s="28" t="s">
        <v>1332</v>
      </c>
      <c r="C924" s="28" t="s">
        <v>2330</v>
      </c>
      <c r="D924" s="28" t="s">
        <v>2478</v>
      </c>
      <c r="E924" s="28" t="s">
        <v>1965</v>
      </c>
      <c r="F924" s="31" t="s">
        <v>1964</v>
      </c>
      <c r="G924" s="31" t="s">
        <v>1964</v>
      </c>
      <c r="H924" s="31" t="s">
        <v>2381</v>
      </c>
      <c r="I924" s="28" t="str">
        <f>VLOOKUP(E924,표준용어사전!$C$2:$D$494, 2, FALSE)</f>
        <v>번호N10</v>
      </c>
      <c r="J924" s="28" t="s">
        <v>748</v>
      </c>
      <c r="K924" s="29">
        <v>10</v>
      </c>
      <c r="L924" s="55" t="s">
        <v>571</v>
      </c>
      <c r="M924" s="29" t="s">
        <v>2592</v>
      </c>
      <c r="N924" s="29" t="s">
        <v>973</v>
      </c>
      <c r="O924" s="28" t="s">
        <v>73</v>
      </c>
      <c r="P924" s="28" t="s">
        <v>76</v>
      </c>
      <c r="Q924" s="28"/>
      <c r="R924" s="29"/>
      <c r="S924" s="28"/>
      <c r="T924" s="9"/>
      <c r="U924" s="28" t="s">
        <v>75</v>
      </c>
      <c r="V924" s="28" t="s">
        <v>75</v>
      </c>
      <c r="W924" s="28"/>
    </row>
    <row r="925" spans="1:23" s="12" customFormat="1">
      <c r="A925" s="46" t="s">
        <v>572</v>
      </c>
      <c r="B925" s="28" t="s">
        <v>1332</v>
      </c>
      <c r="C925" s="28" t="s">
        <v>2330</v>
      </c>
      <c r="D925" s="28" t="s">
        <v>2478</v>
      </c>
      <c r="E925" s="28" t="s">
        <v>1974</v>
      </c>
      <c r="F925" s="31" t="s">
        <v>1973</v>
      </c>
      <c r="G925" s="31" t="s">
        <v>1973</v>
      </c>
      <c r="H925" s="31" t="s">
        <v>2381</v>
      </c>
      <c r="I925" s="28" t="str">
        <f>VLOOKUP(E925,표준용어사전!$C$2:$D$494, 2, FALSE)</f>
        <v>번호N10</v>
      </c>
      <c r="J925" s="28" t="s">
        <v>748</v>
      </c>
      <c r="K925" s="29">
        <v>10</v>
      </c>
      <c r="L925" s="55" t="s">
        <v>571</v>
      </c>
      <c r="M925" s="29" t="s">
        <v>2592</v>
      </c>
      <c r="N925" s="29" t="s">
        <v>973</v>
      </c>
      <c r="O925" s="28" t="s">
        <v>74</v>
      </c>
      <c r="P925" s="28" t="s">
        <v>76</v>
      </c>
      <c r="Q925" s="28"/>
      <c r="R925" s="29"/>
      <c r="S925" s="28"/>
      <c r="T925" s="28"/>
      <c r="U925" s="28" t="s">
        <v>75</v>
      </c>
      <c r="V925" s="28" t="s">
        <v>75</v>
      </c>
      <c r="W925" s="9"/>
    </row>
    <row r="926" spans="1:23" s="12" customFormat="1">
      <c r="A926" s="46" t="s">
        <v>572</v>
      </c>
      <c r="B926" s="28" t="s">
        <v>1332</v>
      </c>
      <c r="C926" s="28" t="s">
        <v>2330</v>
      </c>
      <c r="D926" s="28" t="s">
        <v>2478</v>
      </c>
      <c r="E926" s="28" t="s">
        <v>1976</v>
      </c>
      <c r="F926" s="31" t="s">
        <v>1975</v>
      </c>
      <c r="G926" s="31" t="s">
        <v>1975</v>
      </c>
      <c r="H926" s="31" t="s">
        <v>2381</v>
      </c>
      <c r="I926" s="28" t="str">
        <f>VLOOKUP(E926,표준용어사전!$C$2:$D$494, 2, FALSE)</f>
        <v>명V100</v>
      </c>
      <c r="J926" s="28" t="s">
        <v>718</v>
      </c>
      <c r="K926" s="29">
        <v>100</v>
      </c>
      <c r="L926" s="55" t="s">
        <v>571</v>
      </c>
      <c r="M926" s="29" t="s">
        <v>729</v>
      </c>
      <c r="N926" s="29" t="s">
        <v>75</v>
      </c>
      <c r="O926" s="28"/>
      <c r="P926" s="28" t="s">
        <v>76</v>
      </c>
      <c r="Q926" s="28"/>
      <c r="R926" s="29"/>
      <c r="S926" s="28"/>
      <c r="T926" s="28"/>
      <c r="U926" s="28" t="s">
        <v>75</v>
      </c>
      <c r="V926" s="28" t="s">
        <v>75</v>
      </c>
      <c r="W926" s="28"/>
    </row>
    <row r="927" spans="1:23" s="12" customFormat="1">
      <c r="A927" s="46" t="s">
        <v>572</v>
      </c>
      <c r="B927" s="28" t="s">
        <v>1332</v>
      </c>
      <c r="C927" s="28" t="s">
        <v>2330</v>
      </c>
      <c r="D927" s="28" t="s">
        <v>2478</v>
      </c>
      <c r="E927" s="28" t="s">
        <v>90</v>
      </c>
      <c r="F927" s="31" t="s">
        <v>14</v>
      </c>
      <c r="G927" s="31" t="s">
        <v>14</v>
      </c>
      <c r="H927" s="31" t="s">
        <v>2381</v>
      </c>
      <c r="I927" s="28" t="str">
        <f>VLOOKUP(E927,표준용어사전!$C$2:$D$494, 2, FALSE)</f>
        <v>연월일시분초TS</v>
      </c>
      <c r="J927" s="28" t="s">
        <v>719</v>
      </c>
      <c r="K927" s="29" t="s">
        <v>571</v>
      </c>
      <c r="L927" s="55" t="s">
        <v>571</v>
      </c>
      <c r="M927" s="29" t="s">
        <v>726</v>
      </c>
      <c r="N927" s="29" t="s">
        <v>973</v>
      </c>
      <c r="O927" s="28"/>
      <c r="P927" s="28" t="s">
        <v>76</v>
      </c>
      <c r="Q927" s="28"/>
      <c r="R927" s="29"/>
      <c r="S927" s="28"/>
      <c r="T927" s="28"/>
      <c r="U927" s="28" t="s">
        <v>75</v>
      </c>
      <c r="V927" s="28" t="s">
        <v>75</v>
      </c>
      <c r="W927" s="9"/>
    </row>
    <row r="928" spans="1:23" s="12" customFormat="1">
      <c r="A928" s="46" t="s">
        <v>572</v>
      </c>
      <c r="B928" s="28" t="s">
        <v>1332</v>
      </c>
      <c r="C928" s="28" t="s">
        <v>2330</v>
      </c>
      <c r="D928" s="28" t="s">
        <v>2478</v>
      </c>
      <c r="E928" s="28" t="s">
        <v>91</v>
      </c>
      <c r="F928" s="31" t="s">
        <v>369</v>
      </c>
      <c r="G928" s="31" t="s">
        <v>369</v>
      </c>
      <c r="H928" s="31" t="s">
        <v>2381</v>
      </c>
      <c r="I928" s="28" t="str">
        <f>VLOOKUP(E928,표준용어사전!$C$2:$D$494, 2, FALSE)</f>
        <v>명V20</v>
      </c>
      <c r="J928" s="28" t="s">
        <v>718</v>
      </c>
      <c r="K928" s="29" t="s">
        <v>986</v>
      </c>
      <c r="L928" s="55" t="s">
        <v>571</v>
      </c>
      <c r="M928" s="29" t="s">
        <v>727</v>
      </c>
      <c r="N928" s="29" t="s">
        <v>75</v>
      </c>
      <c r="O928" s="28"/>
      <c r="P928" s="28" t="s">
        <v>76</v>
      </c>
      <c r="Q928" s="28"/>
      <c r="R928" s="29"/>
      <c r="S928" s="28"/>
      <c r="T928" s="28"/>
      <c r="U928" s="28" t="s">
        <v>75</v>
      </c>
      <c r="V928" s="28" t="s">
        <v>75</v>
      </c>
      <c r="W928" s="9"/>
    </row>
    <row r="929" spans="1:23" s="12" customFormat="1">
      <c r="A929" s="46" t="s">
        <v>572</v>
      </c>
      <c r="B929" s="28" t="s">
        <v>1332</v>
      </c>
      <c r="C929" s="28" t="s">
        <v>2330</v>
      </c>
      <c r="D929" s="28" t="s">
        <v>2478</v>
      </c>
      <c r="E929" s="28" t="s">
        <v>92</v>
      </c>
      <c r="F929" s="31" t="s">
        <v>15</v>
      </c>
      <c r="G929" s="31" t="s">
        <v>15</v>
      </c>
      <c r="H929" s="31" t="s">
        <v>2381</v>
      </c>
      <c r="I929" s="28" t="str">
        <f>VLOOKUP(E929,표준용어사전!$C$2:$D$494, 2, FALSE)</f>
        <v>연월일시분초TS</v>
      </c>
      <c r="J929" s="28" t="s">
        <v>719</v>
      </c>
      <c r="K929" s="29" t="s">
        <v>571</v>
      </c>
      <c r="L929" s="55" t="s">
        <v>571</v>
      </c>
      <c r="M929" s="29" t="s">
        <v>726</v>
      </c>
      <c r="N929" s="29" t="s">
        <v>75</v>
      </c>
      <c r="O929" s="28"/>
      <c r="P929" s="28" t="s">
        <v>76</v>
      </c>
      <c r="Q929" s="28"/>
      <c r="R929" s="29"/>
      <c r="S929" s="28"/>
      <c r="T929" s="28"/>
      <c r="U929" s="28" t="s">
        <v>75</v>
      </c>
      <c r="V929" s="28" t="s">
        <v>75</v>
      </c>
      <c r="W929" s="9"/>
    </row>
    <row r="930" spans="1:23" s="12" customFormat="1">
      <c r="A930" s="46" t="s">
        <v>572</v>
      </c>
      <c r="B930" s="28" t="s">
        <v>1332</v>
      </c>
      <c r="C930" s="28" t="s">
        <v>2330</v>
      </c>
      <c r="D930" s="28" t="s">
        <v>2478</v>
      </c>
      <c r="E930" s="28" t="s">
        <v>93</v>
      </c>
      <c r="F930" s="31" t="s">
        <v>370</v>
      </c>
      <c r="G930" s="31" t="s">
        <v>370</v>
      </c>
      <c r="H930" s="31" t="s">
        <v>2381</v>
      </c>
      <c r="I930" s="28" t="str">
        <f>VLOOKUP(E930,표준용어사전!$C$2:$D$494, 2, FALSE)</f>
        <v>명V20</v>
      </c>
      <c r="J930" s="28" t="s">
        <v>718</v>
      </c>
      <c r="K930" s="29" t="s">
        <v>986</v>
      </c>
      <c r="L930" s="55" t="s">
        <v>571</v>
      </c>
      <c r="M930" s="29" t="s">
        <v>727</v>
      </c>
      <c r="N930" s="29" t="s">
        <v>75</v>
      </c>
      <c r="O930" s="28"/>
      <c r="P930" s="28" t="s">
        <v>76</v>
      </c>
      <c r="Q930" s="28"/>
      <c r="R930" s="29"/>
      <c r="S930" s="28"/>
      <c r="T930" s="28"/>
      <c r="U930" s="28" t="s">
        <v>75</v>
      </c>
      <c r="V930" s="28" t="s">
        <v>75</v>
      </c>
      <c r="W930" s="9"/>
    </row>
    <row r="931" spans="1:23" s="12" customFormat="1">
      <c r="A931" s="46" t="s">
        <v>572</v>
      </c>
      <c r="B931" s="28" t="s">
        <v>1332</v>
      </c>
      <c r="C931" s="28" t="s">
        <v>2330</v>
      </c>
      <c r="D931" s="28" t="s">
        <v>2479</v>
      </c>
      <c r="E931" s="28" t="s">
        <v>2575</v>
      </c>
      <c r="F931" s="31" t="s">
        <v>1599</v>
      </c>
      <c r="G931" s="31" t="s">
        <v>1599</v>
      </c>
      <c r="H931" s="31" t="s">
        <v>1600</v>
      </c>
      <c r="I931" s="28" t="str">
        <f>VLOOKUP(E931,표준용어사전!$C$2:$D$494, 2, FALSE)</f>
        <v>코드V50</v>
      </c>
      <c r="J931" s="28" t="s">
        <v>718</v>
      </c>
      <c r="K931" s="29">
        <v>50</v>
      </c>
      <c r="L931" s="55" t="s">
        <v>571</v>
      </c>
      <c r="M931" s="29" t="s">
        <v>720</v>
      </c>
      <c r="N931" s="29" t="s">
        <v>973</v>
      </c>
      <c r="O931" s="28" t="s">
        <v>73</v>
      </c>
      <c r="P931" s="28" t="s">
        <v>76</v>
      </c>
      <c r="Q931" s="28"/>
      <c r="R931" s="29"/>
      <c r="S931" s="28"/>
      <c r="T931" s="9"/>
      <c r="U931" s="28" t="s">
        <v>75</v>
      </c>
      <c r="V931" s="28" t="s">
        <v>75</v>
      </c>
      <c r="W931" s="9"/>
    </row>
    <row r="932" spans="1:23" s="12" customFormat="1">
      <c r="A932" s="46" t="s">
        <v>572</v>
      </c>
      <c r="B932" s="28" t="s">
        <v>1332</v>
      </c>
      <c r="C932" s="28" t="s">
        <v>2330</v>
      </c>
      <c r="D932" s="28" t="s">
        <v>2479</v>
      </c>
      <c r="E932" s="28" t="s">
        <v>2576</v>
      </c>
      <c r="F932" s="31" t="s">
        <v>1601</v>
      </c>
      <c r="G932" s="31" t="s">
        <v>1601</v>
      </c>
      <c r="H932" s="31" t="s">
        <v>1600</v>
      </c>
      <c r="I932" s="28" t="str">
        <f>VLOOKUP(E932,표준용어사전!$C$2:$D$494, 2, FALSE)</f>
        <v>코드V50</v>
      </c>
      <c r="J932" s="28" t="s">
        <v>718</v>
      </c>
      <c r="K932" s="29">
        <v>50</v>
      </c>
      <c r="L932" s="55" t="s">
        <v>571</v>
      </c>
      <c r="M932" s="29" t="s">
        <v>720</v>
      </c>
      <c r="N932" s="29" t="s">
        <v>75</v>
      </c>
      <c r="O932" s="28"/>
      <c r="P932" s="28" t="s">
        <v>76</v>
      </c>
      <c r="Q932" s="28"/>
      <c r="R932" s="29"/>
      <c r="S932" s="28"/>
      <c r="T932" s="28"/>
      <c r="U932" s="28" t="s">
        <v>75</v>
      </c>
      <c r="V932" s="28" t="s">
        <v>75</v>
      </c>
      <c r="W932" s="9"/>
    </row>
    <row r="933" spans="1:23" s="12" customFormat="1">
      <c r="A933" s="46" t="s">
        <v>572</v>
      </c>
      <c r="B933" s="28" t="s">
        <v>1332</v>
      </c>
      <c r="C933" s="28" t="s">
        <v>2330</v>
      </c>
      <c r="D933" s="28" t="s">
        <v>2479</v>
      </c>
      <c r="E933" s="28" t="s">
        <v>1971</v>
      </c>
      <c r="F933" s="31" t="s">
        <v>371</v>
      </c>
      <c r="G933" s="31" t="s">
        <v>371</v>
      </c>
      <c r="H933" s="31" t="s">
        <v>1600</v>
      </c>
      <c r="I933" s="28" t="str">
        <f>VLOOKUP(E933,표준용어사전!$C$2:$D$494, 2, FALSE)</f>
        <v>내용V2000</v>
      </c>
      <c r="J933" s="28" t="s">
        <v>718</v>
      </c>
      <c r="K933" s="29">
        <v>2000</v>
      </c>
      <c r="L933" s="55" t="s">
        <v>571</v>
      </c>
      <c r="M933" s="29" t="s">
        <v>728</v>
      </c>
      <c r="N933" s="29" t="s">
        <v>75</v>
      </c>
      <c r="O933" s="28"/>
      <c r="P933" s="28" t="s">
        <v>76</v>
      </c>
      <c r="Q933" s="28"/>
      <c r="R933" s="29"/>
      <c r="S933" s="28"/>
      <c r="T933" s="28"/>
      <c r="U933" s="28" t="s">
        <v>75</v>
      </c>
      <c r="V933" s="28" t="s">
        <v>75</v>
      </c>
      <c r="W933" s="9"/>
    </row>
    <row r="934" spans="1:23" s="12" customFormat="1">
      <c r="A934" s="46" t="s">
        <v>572</v>
      </c>
      <c r="B934" s="28" t="s">
        <v>1332</v>
      </c>
      <c r="C934" s="28" t="s">
        <v>2330</v>
      </c>
      <c r="D934" s="31" t="s">
        <v>2479</v>
      </c>
      <c r="E934" s="28" t="s">
        <v>1972</v>
      </c>
      <c r="F934" s="31" t="s">
        <v>372</v>
      </c>
      <c r="G934" s="31" t="s">
        <v>372</v>
      </c>
      <c r="H934" s="31" t="s">
        <v>1600</v>
      </c>
      <c r="I934" s="28" t="str">
        <f>VLOOKUP(E934,표준용어사전!$C$2:$D$494, 2, FALSE)</f>
        <v>내용V2000</v>
      </c>
      <c r="J934" s="28" t="s">
        <v>718</v>
      </c>
      <c r="K934" s="29">
        <v>2000</v>
      </c>
      <c r="L934" s="55" t="s">
        <v>571</v>
      </c>
      <c r="M934" s="29" t="s">
        <v>728</v>
      </c>
      <c r="N934" s="32" t="s">
        <v>75</v>
      </c>
      <c r="O934" s="28"/>
      <c r="P934" s="31" t="s">
        <v>76</v>
      </c>
      <c r="Q934" s="28"/>
      <c r="R934" s="29"/>
      <c r="S934" s="31"/>
      <c r="T934" s="31"/>
      <c r="U934" s="28" t="s">
        <v>75</v>
      </c>
      <c r="V934" s="28" t="s">
        <v>75</v>
      </c>
      <c r="W934" s="31"/>
    </row>
    <row r="935" spans="1:23" s="12" customFormat="1">
      <c r="A935" s="46" t="s">
        <v>572</v>
      </c>
      <c r="B935" s="28" t="s">
        <v>1332</v>
      </c>
      <c r="C935" s="28" t="s">
        <v>2330</v>
      </c>
      <c r="D935" s="31" t="s">
        <v>2479</v>
      </c>
      <c r="E935" s="28" t="s">
        <v>2203</v>
      </c>
      <c r="F935" s="31" t="s">
        <v>966</v>
      </c>
      <c r="G935" s="31" t="s">
        <v>966</v>
      </c>
      <c r="H935" s="31" t="s">
        <v>1600</v>
      </c>
      <c r="I935" s="28" t="str">
        <f>VLOOKUP(E935,표준용어사전!$C$2:$D$494, 2, FALSE)</f>
        <v>내용V2000</v>
      </c>
      <c r="J935" s="28" t="s">
        <v>718</v>
      </c>
      <c r="K935" s="29">
        <v>2000</v>
      </c>
      <c r="L935" s="55" t="s">
        <v>571</v>
      </c>
      <c r="M935" s="29" t="s">
        <v>728</v>
      </c>
      <c r="N935" s="32" t="s">
        <v>75</v>
      </c>
      <c r="O935" s="31"/>
      <c r="P935" s="31" t="s">
        <v>76</v>
      </c>
      <c r="Q935" s="28"/>
      <c r="R935" s="29"/>
      <c r="S935" s="31"/>
      <c r="T935" s="31"/>
      <c r="U935" s="28" t="s">
        <v>75</v>
      </c>
      <c r="V935" s="28" t="s">
        <v>75</v>
      </c>
      <c r="W935" s="31"/>
    </row>
    <row r="936" spans="1:23" s="12" customFormat="1">
      <c r="A936" s="46" t="s">
        <v>572</v>
      </c>
      <c r="B936" s="28" t="s">
        <v>1332</v>
      </c>
      <c r="C936" s="28" t="s">
        <v>2330</v>
      </c>
      <c r="D936" s="31" t="s">
        <v>2479</v>
      </c>
      <c r="E936" s="28" t="s">
        <v>2204</v>
      </c>
      <c r="F936" s="31" t="s">
        <v>967</v>
      </c>
      <c r="G936" s="31" t="s">
        <v>967</v>
      </c>
      <c r="H936" s="31" t="s">
        <v>1600</v>
      </c>
      <c r="I936" s="28" t="str">
        <f>VLOOKUP(E936,표준용어사전!$C$2:$D$494, 2, FALSE)</f>
        <v>내용V2000</v>
      </c>
      <c r="J936" s="28" t="s">
        <v>718</v>
      </c>
      <c r="K936" s="29">
        <v>2000</v>
      </c>
      <c r="L936" s="55" t="s">
        <v>571</v>
      </c>
      <c r="M936" s="29" t="s">
        <v>728</v>
      </c>
      <c r="N936" s="32" t="s">
        <v>75</v>
      </c>
      <c r="O936" s="31"/>
      <c r="P936" s="31" t="s">
        <v>76</v>
      </c>
      <c r="Q936" s="28"/>
      <c r="R936" s="29"/>
      <c r="S936" s="31"/>
      <c r="T936" s="31"/>
      <c r="U936" s="28" t="s">
        <v>75</v>
      </c>
      <c r="V936" s="28" t="s">
        <v>75</v>
      </c>
      <c r="W936" s="31"/>
    </row>
    <row r="937" spans="1:23" s="12" customFormat="1">
      <c r="A937" s="46" t="s">
        <v>572</v>
      </c>
      <c r="B937" s="28" t="s">
        <v>1332</v>
      </c>
      <c r="C937" s="28" t="s">
        <v>2330</v>
      </c>
      <c r="D937" s="31" t="s">
        <v>2479</v>
      </c>
      <c r="E937" s="28" t="s">
        <v>2544</v>
      </c>
      <c r="F937" s="31" t="s">
        <v>373</v>
      </c>
      <c r="G937" s="31" t="s">
        <v>373</v>
      </c>
      <c r="H937" s="31" t="s">
        <v>1600</v>
      </c>
      <c r="I937" s="28" t="str">
        <f>VLOOKUP(E937,표준용어사전!$C$2:$D$494, 2, FALSE)</f>
        <v>번호N10</v>
      </c>
      <c r="J937" s="28" t="s">
        <v>748</v>
      </c>
      <c r="K937" s="29">
        <v>10</v>
      </c>
      <c r="L937" s="55" t="s">
        <v>571</v>
      </c>
      <c r="M937" s="29" t="s">
        <v>2592</v>
      </c>
      <c r="N937" s="32" t="s">
        <v>75</v>
      </c>
      <c r="O937" s="31"/>
      <c r="P937" s="31" t="s">
        <v>76</v>
      </c>
      <c r="Q937" s="28"/>
      <c r="R937" s="29"/>
      <c r="S937" s="31"/>
      <c r="T937" s="31"/>
      <c r="U937" s="28" t="s">
        <v>75</v>
      </c>
      <c r="V937" s="28" t="s">
        <v>75</v>
      </c>
      <c r="W937" s="31"/>
    </row>
    <row r="938" spans="1:23" s="12" customFormat="1">
      <c r="A938" s="46" t="s">
        <v>572</v>
      </c>
      <c r="B938" s="28" t="s">
        <v>1332</v>
      </c>
      <c r="C938" s="28" t="s">
        <v>2330</v>
      </c>
      <c r="D938" s="31" t="s">
        <v>2479</v>
      </c>
      <c r="E938" s="28" t="s">
        <v>90</v>
      </c>
      <c r="F938" s="31" t="s">
        <v>14</v>
      </c>
      <c r="G938" s="31" t="s">
        <v>14</v>
      </c>
      <c r="H938" s="31" t="s">
        <v>1600</v>
      </c>
      <c r="I938" s="28" t="str">
        <f>VLOOKUP(E938,표준용어사전!$C$2:$D$494, 2, FALSE)</f>
        <v>연월일시분초TS</v>
      </c>
      <c r="J938" s="28" t="s">
        <v>719</v>
      </c>
      <c r="K938" s="29" t="s">
        <v>571</v>
      </c>
      <c r="L938" s="55" t="s">
        <v>571</v>
      </c>
      <c r="M938" s="29" t="s">
        <v>726</v>
      </c>
      <c r="N938" s="32" t="s">
        <v>75</v>
      </c>
      <c r="O938" s="31"/>
      <c r="P938" s="31" t="s">
        <v>76</v>
      </c>
      <c r="Q938" s="28"/>
      <c r="R938" s="29"/>
      <c r="S938" s="31"/>
      <c r="T938" s="31"/>
      <c r="U938" s="28" t="s">
        <v>75</v>
      </c>
      <c r="V938" s="28" t="s">
        <v>75</v>
      </c>
      <c r="W938" s="31"/>
    </row>
    <row r="939" spans="1:23" s="12" customFormat="1">
      <c r="A939" s="46" t="s">
        <v>572</v>
      </c>
      <c r="B939" s="28" t="s">
        <v>1332</v>
      </c>
      <c r="C939" s="28" t="s">
        <v>2330</v>
      </c>
      <c r="D939" s="31" t="s">
        <v>2479</v>
      </c>
      <c r="E939" s="28" t="s">
        <v>91</v>
      </c>
      <c r="F939" s="31" t="s">
        <v>369</v>
      </c>
      <c r="G939" s="31" t="s">
        <v>369</v>
      </c>
      <c r="H939" s="31" t="s">
        <v>1600</v>
      </c>
      <c r="I939" s="28" t="str">
        <f>VLOOKUP(E939,표준용어사전!$C$2:$D$494, 2, FALSE)</f>
        <v>명V20</v>
      </c>
      <c r="J939" s="28" t="s">
        <v>718</v>
      </c>
      <c r="K939" s="29" t="s">
        <v>986</v>
      </c>
      <c r="L939" s="55" t="s">
        <v>571</v>
      </c>
      <c r="M939" s="29" t="s">
        <v>727</v>
      </c>
      <c r="N939" s="32" t="s">
        <v>75</v>
      </c>
      <c r="O939" s="31"/>
      <c r="P939" s="31" t="s">
        <v>76</v>
      </c>
      <c r="Q939" s="28"/>
      <c r="R939" s="29"/>
      <c r="S939" s="31"/>
      <c r="T939" s="31"/>
      <c r="U939" s="28" t="s">
        <v>75</v>
      </c>
      <c r="V939" s="28" t="s">
        <v>75</v>
      </c>
      <c r="W939" s="31"/>
    </row>
    <row r="940" spans="1:23" s="12" customFormat="1">
      <c r="A940" s="46" t="s">
        <v>572</v>
      </c>
      <c r="B940" s="28" t="s">
        <v>1332</v>
      </c>
      <c r="C940" s="28" t="s">
        <v>2330</v>
      </c>
      <c r="D940" s="31" t="s">
        <v>2479</v>
      </c>
      <c r="E940" s="28" t="s">
        <v>92</v>
      </c>
      <c r="F940" s="31" t="s">
        <v>15</v>
      </c>
      <c r="G940" s="31" t="s">
        <v>15</v>
      </c>
      <c r="H940" s="31" t="s">
        <v>1600</v>
      </c>
      <c r="I940" s="28" t="str">
        <f>VLOOKUP(E940,표준용어사전!$C$2:$D$494, 2, FALSE)</f>
        <v>연월일시분초TS</v>
      </c>
      <c r="J940" s="28" t="s">
        <v>719</v>
      </c>
      <c r="K940" s="29" t="s">
        <v>571</v>
      </c>
      <c r="L940" s="55" t="s">
        <v>571</v>
      </c>
      <c r="M940" s="29" t="s">
        <v>726</v>
      </c>
      <c r="N940" s="32" t="s">
        <v>75</v>
      </c>
      <c r="O940" s="31"/>
      <c r="P940" s="31" t="s">
        <v>76</v>
      </c>
      <c r="Q940" s="28"/>
      <c r="R940" s="29"/>
      <c r="S940" s="31"/>
      <c r="T940" s="31"/>
      <c r="U940" s="28" t="s">
        <v>75</v>
      </c>
      <c r="V940" s="28" t="s">
        <v>75</v>
      </c>
      <c r="W940" s="31"/>
    </row>
    <row r="941" spans="1:23" s="12" customFormat="1">
      <c r="A941" s="46" t="s">
        <v>572</v>
      </c>
      <c r="B941" s="28" t="s">
        <v>1332</v>
      </c>
      <c r="C941" s="28" t="s">
        <v>2330</v>
      </c>
      <c r="D941" s="31" t="s">
        <v>2479</v>
      </c>
      <c r="E941" s="28" t="s">
        <v>93</v>
      </c>
      <c r="F941" s="31" t="s">
        <v>370</v>
      </c>
      <c r="G941" s="31" t="s">
        <v>370</v>
      </c>
      <c r="H941" s="31" t="s">
        <v>1600</v>
      </c>
      <c r="I941" s="28" t="str">
        <f>VLOOKUP(E941,표준용어사전!$C$2:$D$494, 2, FALSE)</f>
        <v>명V20</v>
      </c>
      <c r="J941" s="28" t="s">
        <v>718</v>
      </c>
      <c r="K941" s="29" t="s">
        <v>986</v>
      </c>
      <c r="L941" s="55" t="s">
        <v>571</v>
      </c>
      <c r="M941" s="29" t="s">
        <v>727</v>
      </c>
      <c r="N941" s="29" t="s">
        <v>75</v>
      </c>
      <c r="O941" s="31"/>
      <c r="P941" s="31" t="s">
        <v>76</v>
      </c>
      <c r="Q941" s="28"/>
      <c r="R941" s="29"/>
      <c r="S941" s="31"/>
      <c r="T941" s="28"/>
      <c r="U941" s="28" t="s">
        <v>75</v>
      </c>
      <c r="V941" s="28" t="s">
        <v>75</v>
      </c>
      <c r="W941" s="31"/>
    </row>
    <row r="942" spans="1:23" s="12" customFormat="1">
      <c r="A942" s="46" t="s">
        <v>572</v>
      </c>
      <c r="B942" s="28" t="s">
        <v>1332</v>
      </c>
      <c r="C942" s="28" t="s">
        <v>2330</v>
      </c>
      <c r="D942" s="31" t="s">
        <v>2480</v>
      </c>
      <c r="E942" s="28" t="s">
        <v>1965</v>
      </c>
      <c r="F942" s="31" t="s">
        <v>1964</v>
      </c>
      <c r="G942" s="31" t="s">
        <v>1964</v>
      </c>
      <c r="H942" s="31" t="s">
        <v>2382</v>
      </c>
      <c r="I942" s="28" t="str">
        <f>VLOOKUP(E942,표준용어사전!$C$2:$D$494, 2, FALSE)</f>
        <v>번호N10</v>
      </c>
      <c r="J942" s="28" t="s">
        <v>748</v>
      </c>
      <c r="K942" s="29">
        <v>10</v>
      </c>
      <c r="L942" s="55" t="s">
        <v>571</v>
      </c>
      <c r="M942" s="29" t="s">
        <v>2592</v>
      </c>
      <c r="N942" s="32" t="s">
        <v>973</v>
      </c>
      <c r="O942" s="31" t="s">
        <v>73</v>
      </c>
      <c r="P942" s="31" t="s">
        <v>76</v>
      </c>
      <c r="Q942" s="28"/>
      <c r="R942" s="29"/>
      <c r="S942" s="31"/>
      <c r="T942" s="31"/>
      <c r="U942" s="28" t="s">
        <v>75</v>
      </c>
      <c r="V942" s="28" t="s">
        <v>75</v>
      </c>
      <c r="W942" s="31"/>
    </row>
    <row r="943" spans="1:23" s="12" customFormat="1">
      <c r="A943" s="46" t="s">
        <v>572</v>
      </c>
      <c r="B943" s="28" t="s">
        <v>1332</v>
      </c>
      <c r="C943" s="28" t="s">
        <v>2330</v>
      </c>
      <c r="D943" s="31" t="s">
        <v>2480</v>
      </c>
      <c r="E943" s="28" t="s">
        <v>2575</v>
      </c>
      <c r="F943" s="31" t="s">
        <v>1599</v>
      </c>
      <c r="G943" s="31" t="s">
        <v>1599</v>
      </c>
      <c r="H943" s="31" t="s">
        <v>2382</v>
      </c>
      <c r="I943" s="28" t="str">
        <f>VLOOKUP(E943,표준용어사전!$C$2:$D$494, 2, FALSE)</f>
        <v>코드V50</v>
      </c>
      <c r="J943" s="28" t="s">
        <v>718</v>
      </c>
      <c r="K943" s="29">
        <v>50</v>
      </c>
      <c r="L943" s="55" t="s">
        <v>571</v>
      </c>
      <c r="M943" s="29" t="s">
        <v>720</v>
      </c>
      <c r="N943" s="32" t="s">
        <v>973</v>
      </c>
      <c r="O943" s="31" t="s">
        <v>74</v>
      </c>
      <c r="P943" s="31" t="s">
        <v>76</v>
      </c>
      <c r="Q943" s="28"/>
      <c r="R943" s="29"/>
      <c r="S943" s="31"/>
      <c r="T943" s="28"/>
      <c r="U943" s="28" t="s">
        <v>75</v>
      </c>
      <c r="V943" s="28" t="s">
        <v>75</v>
      </c>
      <c r="W943" s="31"/>
    </row>
    <row r="944" spans="1:23" s="12" customFormat="1">
      <c r="A944" s="46" t="s">
        <v>572</v>
      </c>
      <c r="B944" s="28" t="s">
        <v>1332</v>
      </c>
      <c r="C944" s="28" t="s">
        <v>2330</v>
      </c>
      <c r="D944" s="31" t="s">
        <v>2480</v>
      </c>
      <c r="E944" s="28" t="s">
        <v>90</v>
      </c>
      <c r="F944" s="31" t="s">
        <v>14</v>
      </c>
      <c r="G944" s="31" t="s">
        <v>14</v>
      </c>
      <c r="H944" s="31" t="s">
        <v>2382</v>
      </c>
      <c r="I944" s="28" t="str">
        <f>VLOOKUP(E944,표준용어사전!$C$2:$D$494, 2, FALSE)</f>
        <v>연월일시분초TS</v>
      </c>
      <c r="J944" s="28" t="s">
        <v>719</v>
      </c>
      <c r="K944" s="29" t="s">
        <v>571</v>
      </c>
      <c r="L944" s="55" t="s">
        <v>571</v>
      </c>
      <c r="M944" s="29" t="s">
        <v>726</v>
      </c>
      <c r="N944" s="32" t="s">
        <v>75</v>
      </c>
      <c r="O944" s="31"/>
      <c r="P944" s="31" t="s">
        <v>76</v>
      </c>
      <c r="Q944" s="28"/>
      <c r="R944" s="29"/>
      <c r="S944" s="31"/>
      <c r="T944" s="31"/>
      <c r="U944" s="28" t="s">
        <v>75</v>
      </c>
      <c r="V944" s="28" t="s">
        <v>75</v>
      </c>
      <c r="W944" s="31"/>
    </row>
    <row r="945" spans="1:23" s="12" customFormat="1">
      <c r="A945" s="46" t="s">
        <v>572</v>
      </c>
      <c r="B945" s="28" t="s">
        <v>1332</v>
      </c>
      <c r="C945" s="28" t="s">
        <v>2330</v>
      </c>
      <c r="D945" s="31" t="s">
        <v>2480</v>
      </c>
      <c r="E945" s="28" t="s">
        <v>91</v>
      </c>
      <c r="F945" s="31" t="s">
        <v>369</v>
      </c>
      <c r="G945" s="31" t="s">
        <v>369</v>
      </c>
      <c r="H945" s="31" t="s">
        <v>2382</v>
      </c>
      <c r="I945" s="28" t="str">
        <f>VLOOKUP(E945,표준용어사전!$C$2:$D$494, 2, FALSE)</f>
        <v>명V20</v>
      </c>
      <c r="J945" s="28" t="s">
        <v>718</v>
      </c>
      <c r="K945" s="29" t="s">
        <v>986</v>
      </c>
      <c r="L945" s="55" t="s">
        <v>571</v>
      </c>
      <c r="M945" s="29" t="s">
        <v>727</v>
      </c>
      <c r="N945" s="32" t="s">
        <v>75</v>
      </c>
      <c r="O945" s="28"/>
      <c r="P945" s="31" t="s">
        <v>76</v>
      </c>
      <c r="Q945" s="28"/>
      <c r="R945" s="29"/>
      <c r="S945" s="31"/>
      <c r="T945" s="31"/>
      <c r="U945" s="28" t="s">
        <v>75</v>
      </c>
      <c r="V945" s="28" t="s">
        <v>75</v>
      </c>
      <c r="W945" s="31"/>
    </row>
    <row r="946" spans="1:23" s="12" customFormat="1">
      <c r="A946" s="46" t="s">
        <v>572</v>
      </c>
      <c r="B946" s="28" t="s">
        <v>1332</v>
      </c>
      <c r="C946" s="28" t="s">
        <v>2330</v>
      </c>
      <c r="D946" s="31" t="s">
        <v>2480</v>
      </c>
      <c r="E946" s="28" t="s">
        <v>92</v>
      </c>
      <c r="F946" s="31" t="s">
        <v>15</v>
      </c>
      <c r="G946" s="31" t="s">
        <v>15</v>
      </c>
      <c r="H946" s="31" t="s">
        <v>2382</v>
      </c>
      <c r="I946" s="28" t="str">
        <f>VLOOKUP(E946,표준용어사전!$C$2:$D$494, 2, FALSE)</f>
        <v>연월일시분초TS</v>
      </c>
      <c r="J946" s="28" t="s">
        <v>719</v>
      </c>
      <c r="K946" s="29" t="s">
        <v>571</v>
      </c>
      <c r="L946" s="55" t="s">
        <v>571</v>
      </c>
      <c r="M946" s="29" t="s">
        <v>726</v>
      </c>
      <c r="N946" s="32" t="s">
        <v>75</v>
      </c>
      <c r="O946" s="28"/>
      <c r="P946" s="31" t="s">
        <v>76</v>
      </c>
      <c r="Q946" s="28"/>
      <c r="R946" s="29"/>
      <c r="S946" s="31"/>
      <c r="T946" s="31"/>
      <c r="U946" s="28" t="s">
        <v>75</v>
      </c>
      <c r="V946" s="28" t="s">
        <v>75</v>
      </c>
      <c r="W946" s="31"/>
    </row>
    <row r="947" spans="1:23" s="12" customFormat="1">
      <c r="A947" s="46" t="s">
        <v>572</v>
      </c>
      <c r="B947" s="28" t="s">
        <v>1332</v>
      </c>
      <c r="C947" s="28" t="s">
        <v>2330</v>
      </c>
      <c r="D947" s="31" t="s">
        <v>2480</v>
      </c>
      <c r="E947" s="28" t="s">
        <v>93</v>
      </c>
      <c r="F947" s="31" t="s">
        <v>370</v>
      </c>
      <c r="G947" s="31" t="s">
        <v>370</v>
      </c>
      <c r="H947" s="31" t="s">
        <v>2382</v>
      </c>
      <c r="I947" s="28" t="str">
        <f>VLOOKUP(E947,표준용어사전!$C$2:$D$494, 2, FALSE)</f>
        <v>명V20</v>
      </c>
      <c r="J947" s="28" t="s">
        <v>718</v>
      </c>
      <c r="K947" s="29" t="s">
        <v>986</v>
      </c>
      <c r="L947" s="55" t="s">
        <v>571</v>
      </c>
      <c r="M947" s="29" t="s">
        <v>727</v>
      </c>
      <c r="N947" s="29" t="s">
        <v>75</v>
      </c>
      <c r="O947" s="31"/>
      <c r="P947" s="31" t="s">
        <v>76</v>
      </c>
      <c r="Q947" s="28"/>
      <c r="R947" s="29"/>
      <c r="S947" s="31"/>
      <c r="T947" s="28"/>
      <c r="U947" s="28" t="s">
        <v>75</v>
      </c>
      <c r="V947" s="28" t="s">
        <v>75</v>
      </c>
      <c r="W947" s="31"/>
    </row>
    <row r="948" spans="1:23" s="12" customFormat="1">
      <c r="A948" s="46" t="s">
        <v>572</v>
      </c>
      <c r="B948" s="28" t="s">
        <v>1332</v>
      </c>
      <c r="C948" s="28" t="s">
        <v>2330</v>
      </c>
      <c r="D948" s="31" t="s">
        <v>2481</v>
      </c>
      <c r="E948" s="28" t="s">
        <v>1970</v>
      </c>
      <c r="F948" s="31" t="s">
        <v>1969</v>
      </c>
      <c r="G948" s="31" t="s">
        <v>1969</v>
      </c>
      <c r="H948" s="31" t="s">
        <v>188</v>
      </c>
      <c r="I948" s="28" t="str">
        <f>VLOOKUP(E948,표준용어사전!$C$2:$D$494, 2, FALSE)</f>
        <v>명V256</v>
      </c>
      <c r="J948" s="28" t="s">
        <v>718</v>
      </c>
      <c r="K948" s="29">
        <v>256</v>
      </c>
      <c r="L948" s="55" t="s">
        <v>571</v>
      </c>
      <c r="M948" s="29" t="s">
        <v>730</v>
      </c>
      <c r="N948" s="32" t="s">
        <v>973</v>
      </c>
      <c r="O948" s="31" t="s">
        <v>73</v>
      </c>
      <c r="P948" s="31" t="s">
        <v>76</v>
      </c>
      <c r="Q948" s="28"/>
      <c r="R948" s="29"/>
      <c r="S948" s="31"/>
      <c r="T948" s="31"/>
      <c r="U948" s="28" t="s">
        <v>75</v>
      </c>
      <c r="V948" s="28" t="s">
        <v>75</v>
      </c>
      <c r="W948" s="31"/>
    </row>
    <row r="949" spans="1:23" s="12" customFormat="1">
      <c r="A949" s="46" t="s">
        <v>572</v>
      </c>
      <c r="B949" s="28" t="s">
        <v>1332</v>
      </c>
      <c r="C949" s="28" t="s">
        <v>2330</v>
      </c>
      <c r="D949" s="31" t="s">
        <v>2481</v>
      </c>
      <c r="E949" s="28" t="s">
        <v>189</v>
      </c>
      <c r="F949" s="31" t="s">
        <v>441</v>
      </c>
      <c r="G949" s="31" t="s">
        <v>441</v>
      </c>
      <c r="H949" s="31" t="s">
        <v>188</v>
      </c>
      <c r="I949" s="28" t="str">
        <f>VLOOKUP(E949,표준용어사전!$C$2:$D$494, 2, FALSE)</f>
        <v>코드V50</v>
      </c>
      <c r="J949" s="28" t="s">
        <v>718</v>
      </c>
      <c r="K949" s="29">
        <v>50</v>
      </c>
      <c r="L949" s="55" t="s">
        <v>571</v>
      </c>
      <c r="M949" s="29" t="s">
        <v>720</v>
      </c>
      <c r="N949" s="32" t="s">
        <v>973</v>
      </c>
      <c r="O949" s="31" t="s">
        <v>74</v>
      </c>
      <c r="P949" s="31" t="s">
        <v>76</v>
      </c>
      <c r="Q949" s="28"/>
      <c r="R949" s="29"/>
      <c r="S949" s="31"/>
      <c r="T949" s="28"/>
      <c r="U949" s="28" t="s">
        <v>75</v>
      </c>
      <c r="V949" s="28" t="s">
        <v>75</v>
      </c>
      <c r="W949" s="31"/>
    </row>
    <row r="950" spans="1:23" s="12" customFormat="1">
      <c r="A950" s="46" t="s">
        <v>572</v>
      </c>
      <c r="B950" s="28" t="s">
        <v>1332</v>
      </c>
      <c r="C950" s="28" t="s">
        <v>2330</v>
      </c>
      <c r="D950" s="31" t="s">
        <v>2481</v>
      </c>
      <c r="E950" s="28" t="s">
        <v>1971</v>
      </c>
      <c r="F950" s="31" t="s">
        <v>371</v>
      </c>
      <c r="G950" s="31" t="s">
        <v>371</v>
      </c>
      <c r="H950" s="31" t="s">
        <v>188</v>
      </c>
      <c r="I950" s="28" t="str">
        <f>VLOOKUP(E950,표준용어사전!$C$2:$D$494, 2, FALSE)</f>
        <v>내용V2000</v>
      </c>
      <c r="J950" s="28" t="s">
        <v>718</v>
      </c>
      <c r="K950" s="29">
        <v>2000</v>
      </c>
      <c r="L950" s="55" t="s">
        <v>571</v>
      </c>
      <c r="M950" s="29" t="s">
        <v>728</v>
      </c>
      <c r="N950" s="32" t="s">
        <v>75</v>
      </c>
      <c r="O950" s="31"/>
      <c r="P950" s="31" t="s">
        <v>76</v>
      </c>
      <c r="Q950" s="28"/>
      <c r="R950" s="29"/>
      <c r="S950" s="31"/>
      <c r="T950" s="31"/>
      <c r="U950" s="28" t="s">
        <v>75</v>
      </c>
      <c r="V950" s="28" t="s">
        <v>75</v>
      </c>
      <c r="W950" s="31"/>
    </row>
    <row r="951" spans="1:23" s="12" customFormat="1">
      <c r="A951" s="46" t="s">
        <v>572</v>
      </c>
      <c r="B951" s="28" t="s">
        <v>1332</v>
      </c>
      <c r="C951" s="28" t="s">
        <v>2330</v>
      </c>
      <c r="D951" s="31" t="s">
        <v>2481</v>
      </c>
      <c r="E951" s="28" t="s">
        <v>1972</v>
      </c>
      <c r="F951" s="31" t="s">
        <v>372</v>
      </c>
      <c r="G951" s="31" t="s">
        <v>372</v>
      </c>
      <c r="H951" s="31" t="s">
        <v>188</v>
      </c>
      <c r="I951" s="28" t="str">
        <f>VLOOKUP(E951,표준용어사전!$C$2:$D$494, 2, FALSE)</f>
        <v>내용V2000</v>
      </c>
      <c r="J951" s="28" t="s">
        <v>718</v>
      </c>
      <c r="K951" s="29">
        <v>2000</v>
      </c>
      <c r="L951" s="55" t="s">
        <v>571</v>
      </c>
      <c r="M951" s="29" t="s">
        <v>728</v>
      </c>
      <c r="N951" s="32" t="s">
        <v>75</v>
      </c>
      <c r="O951" s="28"/>
      <c r="P951" s="31" t="s">
        <v>76</v>
      </c>
      <c r="Q951" s="28"/>
      <c r="R951" s="29"/>
      <c r="S951" s="31"/>
      <c r="T951" s="31"/>
      <c r="U951" s="28" t="s">
        <v>75</v>
      </c>
      <c r="V951" s="28" t="s">
        <v>75</v>
      </c>
      <c r="W951" s="31"/>
    </row>
    <row r="952" spans="1:23" s="12" customFormat="1">
      <c r="A952" s="46" t="s">
        <v>572</v>
      </c>
      <c r="B952" s="28" t="s">
        <v>1332</v>
      </c>
      <c r="C952" s="28" t="s">
        <v>2330</v>
      </c>
      <c r="D952" s="31" t="s">
        <v>2481</v>
      </c>
      <c r="E952" s="28" t="s">
        <v>90</v>
      </c>
      <c r="F952" s="31" t="s">
        <v>14</v>
      </c>
      <c r="G952" s="31" t="s">
        <v>14</v>
      </c>
      <c r="H952" s="31" t="s">
        <v>188</v>
      </c>
      <c r="I952" s="28" t="str">
        <f>VLOOKUP(E952,표준용어사전!$C$2:$D$494, 2, FALSE)</f>
        <v>연월일시분초TS</v>
      </c>
      <c r="J952" s="28" t="s">
        <v>719</v>
      </c>
      <c r="K952" s="29" t="s">
        <v>571</v>
      </c>
      <c r="L952" s="55" t="s">
        <v>571</v>
      </c>
      <c r="M952" s="29" t="s">
        <v>726</v>
      </c>
      <c r="N952" s="32" t="s">
        <v>973</v>
      </c>
      <c r="O952" s="31"/>
      <c r="P952" s="31" t="s">
        <v>76</v>
      </c>
      <c r="Q952" s="28"/>
      <c r="R952" s="29"/>
      <c r="S952" s="31"/>
      <c r="T952" s="31"/>
      <c r="U952" s="28" t="s">
        <v>75</v>
      </c>
      <c r="V952" s="28" t="s">
        <v>75</v>
      </c>
      <c r="W952" s="31"/>
    </row>
    <row r="953" spans="1:23" s="12" customFormat="1">
      <c r="A953" s="46" t="s">
        <v>572</v>
      </c>
      <c r="B953" s="28" t="s">
        <v>1332</v>
      </c>
      <c r="C953" s="28" t="s">
        <v>2330</v>
      </c>
      <c r="D953" s="31" t="s">
        <v>2481</v>
      </c>
      <c r="E953" s="28" t="s">
        <v>91</v>
      </c>
      <c r="F953" s="31" t="s">
        <v>369</v>
      </c>
      <c r="G953" s="31" t="s">
        <v>369</v>
      </c>
      <c r="H953" s="31" t="s">
        <v>188</v>
      </c>
      <c r="I953" s="28" t="str">
        <f>VLOOKUP(E953,표준용어사전!$C$2:$D$494, 2, FALSE)</f>
        <v>명V20</v>
      </c>
      <c r="J953" s="28" t="s">
        <v>718</v>
      </c>
      <c r="K953" s="29" t="s">
        <v>986</v>
      </c>
      <c r="L953" s="55" t="s">
        <v>571</v>
      </c>
      <c r="M953" s="29" t="s">
        <v>727</v>
      </c>
      <c r="N953" s="32" t="s">
        <v>75</v>
      </c>
      <c r="O953" s="31"/>
      <c r="P953" s="31" t="s">
        <v>76</v>
      </c>
      <c r="Q953" s="28"/>
      <c r="R953" s="29"/>
      <c r="S953" s="31"/>
      <c r="T953" s="31"/>
      <c r="U953" s="28" t="s">
        <v>75</v>
      </c>
      <c r="V953" s="28" t="s">
        <v>75</v>
      </c>
      <c r="W953" s="31"/>
    </row>
    <row r="954" spans="1:23" s="12" customFormat="1">
      <c r="A954" s="46" t="s">
        <v>572</v>
      </c>
      <c r="B954" s="28" t="s">
        <v>1332</v>
      </c>
      <c r="C954" s="28" t="s">
        <v>2330</v>
      </c>
      <c r="D954" s="31" t="s">
        <v>2481</v>
      </c>
      <c r="E954" s="28" t="s">
        <v>92</v>
      </c>
      <c r="F954" s="31" t="s">
        <v>15</v>
      </c>
      <c r="G954" s="31" t="s">
        <v>15</v>
      </c>
      <c r="H954" s="31" t="s">
        <v>188</v>
      </c>
      <c r="I954" s="28" t="str">
        <f>VLOOKUP(E954,표준용어사전!$C$2:$D$494, 2, FALSE)</f>
        <v>연월일시분초TS</v>
      </c>
      <c r="J954" s="28" t="s">
        <v>719</v>
      </c>
      <c r="K954" s="29" t="s">
        <v>571</v>
      </c>
      <c r="L954" s="55" t="s">
        <v>571</v>
      </c>
      <c r="M954" s="29" t="s">
        <v>726</v>
      </c>
      <c r="N954" s="32" t="s">
        <v>75</v>
      </c>
      <c r="O954" s="31"/>
      <c r="P954" s="31" t="s">
        <v>76</v>
      </c>
      <c r="Q954" s="28"/>
      <c r="R954" s="29"/>
      <c r="S954" s="31"/>
      <c r="T954" s="31"/>
      <c r="U954" s="28" t="s">
        <v>75</v>
      </c>
      <c r="V954" s="28" t="s">
        <v>75</v>
      </c>
      <c r="W954" s="31"/>
    </row>
    <row r="955" spans="1:23" s="12" customFormat="1">
      <c r="A955" s="46" t="s">
        <v>572</v>
      </c>
      <c r="B955" s="28" t="s">
        <v>1332</v>
      </c>
      <c r="C955" s="28" t="s">
        <v>2330</v>
      </c>
      <c r="D955" s="31" t="s">
        <v>2481</v>
      </c>
      <c r="E955" s="28" t="s">
        <v>93</v>
      </c>
      <c r="F955" s="31" t="s">
        <v>370</v>
      </c>
      <c r="G955" s="31" t="s">
        <v>370</v>
      </c>
      <c r="H955" s="31" t="s">
        <v>188</v>
      </c>
      <c r="I955" s="28" t="str">
        <f>VLOOKUP(E955,표준용어사전!$C$2:$D$494, 2, FALSE)</f>
        <v>명V20</v>
      </c>
      <c r="J955" s="28" t="s">
        <v>718</v>
      </c>
      <c r="K955" s="29" t="s">
        <v>986</v>
      </c>
      <c r="L955" s="55" t="s">
        <v>571</v>
      </c>
      <c r="M955" s="29" t="s">
        <v>727</v>
      </c>
      <c r="N955" s="29" t="s">
        <v>75</v>
      </c>
      <c r="O955" s="31"/>
      <c r="P955" s="31" t="s">
        <v>76</v>
      </c>
      <c r="Q955" s="28"/>
      <c r="R955" s="29"/>
      <c r="S955" s="31"/>
      <c r="T955" s="28"/>
      <c r="U955" s="28" t="s">
        <v>75</v>
      </c>
      <c r="V955" s="28" t="s">
        <v>75</v>
      </c>
      <c r="W955" s="31"/>
    </row>
    <row r="956" spans="1:23" s="12" customFormat="1">
      <c r="A956" s="46" t="s">
        <v>572</v>
      </c>
      <c r="B956" s="28" t="s">
        <v>1332</v>
      </c>
      <c r="C956" s="28" t="s">
        <v>2330</v>
      </c>
      <c r="D956" s="31" t="s">
        <v>2482</v>
      </c>
      <c r="E956" s="28" t="s">
        <v>2205</v>
      </c>
      <c r="F956" s="31" t="s">
        <v>969</v>
      </c>
      <c r="G956" s="31" t="s">
        <v>969</v>
      </c>
      <c r="H956" s="31" t="s">
        <v>970</v>
      </c>
      <c r="I956" s="28" t="str">
        <f>VLOOKUP(E956,표준용어사전!$C$2:$D$494, 2, FALSE)</f>
        <v>코드V50</v>
      </c>
      <c r="J956" s="28" t="s">
        <v>718</v>
      </c>
      <c r="K956" s="29">
        <v>50</v>
      </c>
      <c r="L956" s="55" t="s">
        <v>571</v>
      </c>
      <c r="M956" s="29" t="s">
        <v>720</v>
      </c>
      <c r="N956" s="32" t="s">
        <v>973</v>
      </c>
      <c r="O956" s="31" t="s">
        <v>73</v>
      </c>
      <c r="P956" s="31" t="s">
        <v>76</v>
      </c>
      <c r="Q956" s="28"/>
      <c r="R956" s="29"/>
      <c r="S956" s="31"/>
      <c r="T956" s="31"/>
      <c r="U956" s="28" t="s">
        <v>75</v>
      </c>
      <c r="V956" s="28" t="s">
        <v>75</v>
      </c>
      <c r="W956" s="31"/>
    </row>
    <row r="957" spans="1:23" s="12" customFormat="1">
      <c r="A957" s="46" t="s">
        <v>572</v>
      </c>
      <c r="B957" s="28" t="s">
        <v>1332</v>
      </c>
      <c r="C957" s="28" t="s">
        <v>2330</v>
      </c>
      <c r="D957" s="31" t="s">
        <v>2482</v>
      </c>
      <c r="E957" s="28" t="s">
        <v>2206</v>
      </c>
      <c r="F957" s="31" t="s">
        <v>971</v>
      </c>
      <c r="G957" s="31" t="s">
        <v>971</v>
      </c>
      <c r="H957" s="31" t="s">
        <v>970</v>
      </c>
      <c r="I957" s="28" t="str">
        <f>VLOOKUP(E957,표준용어사전!$C$2:$D$494, 2, FALSE)</f>
        <v>코드V50</v>
      </c>
      <c r="J957" s="28" t="s">
        <v>718</v>
      </c>
      <c r="K957" s="29">
        <v>50</v>
      </c>
      <c r="L957" s="55" t="s">
        <v>571</v>
      </c>
      <c r="M957" s="29" t="s">
        <v>720</v>
      </c>
      <c r="N957" s="32" t="s">
        <v>75</v>
      </c>
      <c r="O957" s="31"/>
      <c r="P957" s="31" t="s">
        <v>76</v>
      </c>
      <c r="Q957" s="28"/>
      <c r="R957" s="29"/>
      <c r="S957" s="31"/>
      <c r="T957" s="28"/>
      <c r="U957" s="28" t="s">
        <v>75</v>
      </c>
      <c r="V957" s="28" t="s">
        <v>75</v>
      </c>
      <c r="W957" s="31"/>
    </row>
    <row r="958" spans="1:23" s="12" customFormat="1">
      <c r="A958" s="46" t="s">
        <v>572</v>
      </c>
      <c r="B958" s="28" t="s">
        <v>1332</v>
      </c>
      <c r="C958" s="28" t="s">
        <v>2330</v>
      </c>
      <c r="D958" s="31" t="s">
        <v>2482</v>
      </c>
      <c r="E958" s="28" t="s">
        <v>1971</v>
      </c>
      <c r="F958" s="31" t="s">
        <v>371</v>
      </c>
      <c r="G958" s="31" t="s">
        <v>371</v>
      </c>
      <c r="H958" s="31" t="s">
        <v>970</v>
      </c>
      <c r="I958" s="28" t="str">
        <f>VLOOKUP(E958,표준용어사전!$C$2:$D$494, 2, FALSE)</f>
        <v>내용V2000</v>
      </c>
      <c r="J958" s="28" t="s">
        <v>718</v>
      </c>
      <c r="K958" s="29">
        <v>2000</v>
      </c>
      <c r="L958" s="55" t="s">
        <v>571</v>
      </c>
      <c r="M958" s="29" t="s">
        <v>728</v>
      </c>
      <c r="N958" s="32" t="s">
        <v>75</v>
      </c>
      <c r="O958" s="31"/>
      <c r="P958" s="31" t="s">
        <v>76</v>
      </c>
      <c r="Q958" s="28"/>
      <c r="R958" s="29"/>
      <c r="S958" s="31"/>
      <c r="T958" s="31"/>
      <c r="U958" s="28" t="s">
        <v>75</v>
      </c>
      <c r="V958" s="28" t="s">
        <v>75</v>
      </c>
      <c r="W958" s="31"/>
    </row>
    <row r="959" spans="1:23" s="12" customFormat="1">
      <c r="A959" s="46" t="s">
        <v>572</v>
      </c>
      <c r="B959" s="28" t="s">
        <v>1332</v>
      </c>
      <c r="C959" s="28" t="s">
        <v>2330</v>
      </c>
      <c r="D959" s="31" t="s">
        <v>2482</v>
      </c>
      <c r="E959" s="28" t="s">
        <v>1972</v>
      </c>
      <c r="F959" s="31" t="s">
        <v>372</v>
      </c>
      <c r="G959" s="31" t="s">
        <v>372</v>
      </c>
      <c r="H959" s="31" t="s">
        <v>970</v>
      </c>
      <c r="I959" s="28" t="str">
        <f>VLOOKUP(E959,표준용어사전!$C$2:$D$494, 2, FALSE)</f>
        <v>내용V2000</v>
      </c>
      <c r="J959" s="28" t="s">
        <v>718</v>
      </c>
      <c r="K959" s="29">
        <v>2000</v>
      </c>
      <c r="L959" s="55" t="s">
        <v>571</v>
      </c>
      <c r="M959" s="29" t="s">
        <v>728</v>
      </c>
      <c r="N959" s="32" t="s">
        <v>75</v>
      </c>
      <c r="O959" s="28"/>
      <c r="P959" s="31" t="s">
        <v>76</v>
      </c>
      <c r="Q959" s="28"/>
      <c r="R959" s="29"/>
      <c r="S959" s="31"/>
      <c r="T959" s="31"/>
      <c r="U959" s="28" t="s">
        <v>75</v>
      </c>
      <c r="V959" s="28" t="s">
        <v>75</v>
      </c>
      <c r="W959" s="31"/>
    </row>
    <row r="960" spans="1:23" s="12" customFormat="1">
      <c r="A960" s="46" t="s">
        <v>572</v>
      </c>
      <c r="B960" s="28" t="s">
        <v>1332</v>
      </c>
      <c r="C960" s="28" t="s">
        <v>2330</v>
      </c>
      <c r="D960" s="31" t="s">
        <v>2482</v>
      </c>
      <c r="E960" s="28" t="s">
        <v>90</v>
      </c>
      <c r="F960" s="31" t="s">
        <v>14</v>
      </c>
      <c r="G960" s="31" t="s">
        <v>14</v>
      </c>
      <c r="H960" s="31" t="s">
        <v>970</v>
      </c>
      <c r="I960" s="28" t="str">
        <f>VLOOKUP(E960,표준용어사전!$C$2:$D$494, 2, FALSE)</f>
        <v>연월일시분초TS</v>
      </c>
      <c r="J960" s="28" t="s">
        <v>719</v>
      </c>
      <c r="K960" s="29" t="s">
        <v>571</v>
      </c>
      <c r="L960" s="55" t="s">
        <v>571</v>
      </c>
      <c r="M960" s="29" t="s">
        <v>726</v>
      </c>
      <c r="N960" s="32" t="s">
        <v>75</v>
      </c>
      <c r="O960" s="28"/>
      <c r="P960" s="31" t="s">
        <v>76</v>
      </c>
      <c r="Q960" s="28"/>
      <c r="R960" s="29"/>
      <c r="S960" s="31"/>
      <c r="T960" s="31"/>
      <c r="U960" s="28" t="s">
        <v>75</v>
      </c>
      <c r="V960" s="28" t="s">
        <v>75</v>
      </c>
      <c r="W960" s="31"/>
    </row>
    <row r="961" spans="1:23" s="12" customFormat="1">
      <c r="A961" s="46" t="s">
        <v>572</v>
      </c>
      <c r="B961" s="28" t="s">
        <v>1332</v>
      </c>
      <c r="C961" s="28" t="s">
        <v>2330</v>
      </c>
      <c r="D961" s="31" t="s">
        <v>2482</v>
      </c>
      <c r="E961" s="28" t="s">
        <v>91</v>
      </c>
      <c r="F961" s="31" t="s">
        <v>369</v>
      </c>
      <c r="G961" s="31" t="s">
        <v>369</v>
      </c>
      <c r="H961" s="31" t="s">
        <v>970</v>
      </c>
      <c r="I961" s="28" t="str">
        <f>VLOOKUP(E961,표준용어사전!$C$2:$D$494, 2, FALSE)</f>
        <v>명V20</v>
      </c>
      <c r="J961" s="28" t="s">
        <v>718</v>
      </c>
      <c r="K961" s="29" t="s">
        <v>986</v>
      </c>
      <c r="L961" s="55" t="s">
        <v>571</v>
      </c>
      <c r="M961" s="29" t="s">
        <v>727</v>
      </c>
      <c r="N961" s="29" t="s">
        <v>75</v>
      </c>
      <c r="O961" s="31"/>
      <c r="P961" s="31" t="s">
        <v>76</v>
      </c>
      <c r="Q961" s="28"/>
      <c r="R961" s="29"/>
      <c r="S961" s="31"/>
      <c r="T961" s="28"/>
      <c r="U961" s="28" t="s">
        <v>75</v>
      </c>
      <c r="V961" s="28" t="s">
        <v>75</v>
      </c>
      <c r="W961" s="31"/>
    </row>
    <row r="962" spans="1:23" s="12" customFormat="1">
      <c r="A962" s="46" t="s">
        <v>572</v>
      </c>
      <c r="B962" s="28" t="s">
        <v>1332</v>
      </c>
      <c r="C962" s="28" t="s">
        <v>2330</v>
      </c>
      <c r="D962" s="31" t="s">
        <v>2482</v>
      </c>
      <c r="E962" s="28" t="s">
        <v>92</v>
      </c>
      <c r="F962" s="31" t="s">
        <v>15</v>
      </c>
      <c r="G962" s="31" t="s">
        <v>15</v>
      </c>
      <c r="H962" s="31" t="s">
        <v>970</v>
      </c>
      <c r="I962" s="28" t="str">
        <f>VLOOKUP(E962,표준용어사전!$C$2:$D$494, 2, FALSE)</f>
        <v>연월일시분초TS</v>
      </c>
      <c r="J962" s="28" t="s">
        <v>719</v>
      </c>
      <c r="K962" s="29" t="s">
        <v>571</v>
      </c>
      <c r="L962" s="55" t="s">
        <v>571</v>
      </c>
      <c r="M962" s="29" t="s">
        <v>726</v>
      </c>
      <c r="N962" s="32" t="s">
        <v>75</v>
      </c>
      <c r="O962" s="31"/>
      <c r="P962" s="31" t="s">
        <v>76</v>
      </c>
      <c r="Q962" s="28"/>
      <c r="R962" s="29"/>
      <c r="S962" s="31"/>
      <c r="T962" s="31"/>
      <c r="U962" s="28" t="s">
        <v>75</v>
      </c>
      <c r="V962" s="28" t="s">
        <v>75</v>
      </c>
      <c r="W962" s="31"/>
    </row>
    <row r="963" spans="1:23" s="12" customFormat="1">
      <c r="A963" s="46" t="s">
        <v>572</v>
      </c>
      <c r="B963" s="28" t="s">
        <v>1332</v>
      </c>
      <c r="C963" s="28" t="s">
        <v>2330</v>
      </c>
      <c r="D963" s="31" t="s">
        <v>2482</v>
      </c>
      <c r="E963" s="28" t="s">
        <v>93</v>
      </c>
      <c r="F963" s="31" t="s">
        <v>370</v>
      </c>
      <c r="G963" s="31" t="s">
        <v>370</v>
      </c>
      <c r="H963" s="31" t="s">
        <v>970</v>
      </c>
      <c r="I963" s="28" t="str">
        <f>VLOOKUP(E963,표준용어사전!$C$2:$D$494, 2, FALSE)</f>
        <v>명V20</v>
      </c>
      <c r="J963" s="28" t="s">
        <v>718</v>
      </c>
      <c r="K963" s="29" t="s">
        <v>986</v>
      </c>
      <c r="L963" s="55" t="s">
        <v>571</v>
      </c>
      <c r="M963" s="29" t="s">
        <v>727</v>
      </c>
      <c r="N963" s="32" t="s">
        <v>75</v>
      </c>
      <c r="O963" s="31"/>
      <c r="P963" s="31" t="s">
        <v>76</v>
      </c>
      <c r="Q963" s="28"/>
      <c r="R963" s="29"/>
      <c r="S963" s="31"/>
      <c r="T963" s="28"/>
      <c r="U963" s="28" t="s">
        <v>75</v>
      </c>
      <c r="V963" s="28" t="s">
        <v>75</v>
      </c>
      <c r="W963" s="31"/>
    </row>
    <row r="964" spans="1:23" s="12" customFormat="1">
      <c r="A964" s="46" t="s">
        <v>572</v>
      </c>
      <c r="B964" s="28" t="s">
        <v>1332</v>
      </c>
      <c r="C964" s="28" t="s">
        <v>2330</v>
      </c>
      <c r="D964" s="31" t="s">
        <v>2483</v>
      </c>
      <c r="E964" s="28" t="s">
        <v>1965</v>
      </c>
      <c r="F964" s="31" t="s">
        <v>1964</v>
      </c>
      <c r="G964" s="31" t="s">
        <v>1964</v>
      </c>
      <c r="H964" s="31" t="s">
        <v>2383</v>
      </c>
      <c r="I964" s="28" t="str">
        <f>VLOOKUP(E964,표준용어사전!$C$2:$D$494, 2, FALSE)</f>
        <v>번호N10</v>
      </c>
      <c r="J964" s="28" t="s">
        <v>748</v>
      </c>
      <c r="K964" s="29">
        <v>10</v>
      </c>
      <c r="L964" s="55" t="s">
        <v>571</v>
      </c>
      <c r="M964" s="29" t="s">
        <v>2592</v>
      </c>
      <c r="N964" s="32" t="s">
        <v>973</v>
      </c>
      <c r="O964" s="31" t="s">
        <v>73</v>
      </c>
      <c r="P964" s="31" t="s">
        <v>76</v>
      </c>
      <c r="Q964" s="28"/>
      <c r="R964" s="29"/>
      <c r="S964" s="31"/>
      <c r="T964" s="31"/>
      <c r="U964" s="28" t="s">
        <v>75</v>
      </c>
      <c r="V964" s="28" t="s">
        <v>75</v>
      </c>
      <c r="W964" s="31"/>
    </row>
    <row r="965" spans="1:23" s="12" customFormat="1">
      <c r="A965" s="46" t="s">
        <v>572</v>
      </c>
      <c r="B965" s="28" t="s">
        <v>1332</v>
      </c>
      <c r="C965" s="28" t="s">
        <v>2330</v>
      </c>
      <c r="D965" s="31" t="s">
        <v>2483</v>
      </c>
      <c r="E965" s="28" t="s">
        <v>2205</v>
      </c>
      <c r="F965" s="31" t="s">
        <v>969</v>
      </c>
      <c r="G965" s="31" t="s">
        <v>969</v>
      </c>
      <c r="H965" s="31" t="s">
        <v>2383</v>
      </c>
      <c r="I965" s="28" t="str">
        <f>VLOOKUP(E965,표준용어사전!$C$2:$D$494, 2, FALSE)</f>
        <v>코드V50</v>
      </c>
      <c r="J965" s="28" t="s">
        <v>718</v>
      </c>
      <c r="K965" s="29">
        <v>50</v>
      </c>
      <c r="L965" s="55" t="s">
        <v>571</v>
      </c>
      <c r="M965" s="29" t="s">
        <v>720</v>
      </c>
      <c r="N965" s="32" t="s">
        <v>973</v>
      </c>
      <c r="O965" s="28" t="s">
        <v>74</v>
      </c>
      <c r="P965" s="31" t="s">
        <v>76</v>
      </c>
      <c r="Q965" s="28"/>
      <c r="R965" s="29"/>
      <c r="S965" s="31"/>
      <c r="T965" s="31"/>
      <c r="U965" s="28" t="s">
        <v>75</v>
      </c>
      <c r="V965" s="28" t="s">
        <v>75</v>
      </c>
      <c r="W965" s="31"/>
    </row>
    <row r="966" spans="1:23" s="12" customFormat="1">
      <c r="A966" s="46" t="s">
        <v>572</v>
      </c>
      <c r="B966" s="28" t="s">
        <v>1332</v>
      </c>
      <c r="C966" s="28" t="s">
        <v>2330</v>
      </c>
      <c r="D966" s="31" t="s">
        <v>2483</v>
      </c>
      <c r="E966" s="28" t="s">
        <v>90</v>
      </c>
      <c r="F966" s="31" t="s">
        <v>14</v>
      </c>
      <c r="G966" s="31" t="s">
        <v>14</v>
      </c>
      <c r="H966" s="31" t="s">
        <v>2383</v>
      </c>
      <c r="I966" s="28" t="str">
        <f>VLOOKUP(E966,표준용어사전!$C$2:$D$494, 2, FALSE)</f>
        <v>연월일시분초TS</v>
      </c>
      <c r="J966" s="28" t="s">
        <v>719</v>
      </c>
      <c r="K966" s="29" t="s">
        <v>571</v>
      </c>
      <c r="L966" s="55" t="s">
        <v>571</v>
      </c>
      <c r="M966" s="29" t="s">
        <v>726</v>
      </c>
      <c r="N966" s="32" t="s">
        <v>75</v>
      </c>
      <c r="O966" s="31"/>
      <c r="P966" s="31" t="s">
        <v>76</v>
      </c>
      <c r="Q966" s="28"/>
      <c r="R966" s="29"/>
      <c r="S966" s="31"/>
      <c r="T966" s="31"/>
      <c r="U966" s="28" t="s">
        <v>75</v>
      </c>
      <c r="V966" s="28" t="s">
        <v>75</v>
      </c>
      <c r="W966" s="31"/>
    </row>
    <row r="967" spans="1:23" s="12" customFormat="1">
      <c r="A967" s="46" t="s">
        <v>572</v>
      </c>
      <c r="B967" s="28" t="s">
        <v>1332</v>
      </c>
      <c r="C967" s="28" t="s">
        <v>2330</v>
      </c>
      <c r="D967" s="31" t="s">
        <v>2483</v>
      </c>
      <c r="E967" s="28" t="s">
        <v>91</v>
      </c>
      <c r="F967" s="31" t="s">
        <v>369</v>
      </c>
      <c r="G967" s="31" t="s">
        <v>369</v>
      </c>
      <c r="H967" s="31" t="s">
        <v>2383</v>
      </c>
      <c r="I967" s="28" t="str">
        <f>VLOOKUP(E967,표준용어사전!$C$2:$D$494, 2, FALSE)</f>
        <v>명V20</v>
      </c>
      <c r="J967" s="28" t="s">
        <v>718</v>
      </c>
      <c r="K967" s="29" t="s">
        <v>986</v>
      </c>
      <c r="L967" s="55" t="s">
        <v>571</v>
      </c>
      <c r="M967" s="29" t="s">
        <v>727</v>
      </c>
      <c r="N967" s="32" t="s">
        <v>75</v>
      </c>
      <c r="O967" s="31"/>
      <c r="P967" s="31" t="s">
        <v>76</v>
      </c>
      <c r="Q967" s="28"/>
      <c r="R967" s="29"/>
      <c r="S967" s="31"/>
      <c r="T967" s="31"/>
      <c r="U967" s="28" t="s">
        <v>75</v>
      </c>
      <c r="V967" s="28" t="s">
        <v>75</v>
      </c>
      <c r="W967" s="31"/>
    </row>
    <row r="968" spans="1:23" s="12" customFormat="1">
      <c r="A968" s="46" t="s">
        <v>572</v>
      </c>
      <c r="B968" s="28" t="s">
        <v>1332</v>
      </c>
      <c r="C968" s="28" t="s">
        <v>2330</v>
      </c>
      <c r="D968" s="31" t="s">
        <v>2483</v>
      </c>
      <c r="E968" s="28" t="s">
        <v>92</v>
      </c>
      <c r="F968" s="31" t="s">
        <v>15</v>
      </c>
      <c r="G968" s="31" t="s">
        <v>15</v>
      </c>
      <c r="H968" s="31" t="s">
        <v>2383</v>
      </c>
      <c r="I968" s="28" t="str">
        <f>VLOOKUP(E968,표준용어사전!$C$2:$D$494, 2, FALSE)</f>
        <v>연월일시분초TS</v>
      </c>
      <c r="J968" s="28" t="s">
        <v>719</v>
      </c>
      <c r="K968" s="29" t="s">
        <v>571</v>
      </c>
      <c r="L968" s="55" t="s">
        <v>571</v>
      </c>
      <c r="M968" s="29" t="s">
        <v>726</v>
      </c>
      <c r="N968" s="32" t="s">
        <v>75</v>
      </c>
      <c r="O968" s="31"/>
      <c r="P968" s="31" t="s">
        <v>76</v>
      </c>
      <c r="Q968" s="28"/>
      <c r="R968" s="29"/>
      <c r="S968" s="31"/>
      <c r="T968" s="31"/>
      <c r="U968" s="28" t="s">
        <v>75</v>
      </c>
      <c r="V968" s="28" t="s">
        <v>75</v>
      </c>
      <c r="W968" s="31"/>
    </row>
    <row r="969" spans="1:23" s="12" customFormat="1">
      <c r="A969" s="46" t="s">
        <v>572</v>
      </c>
      <c r="B969" s="28" t="s">
        <v>1332</v>
      </c>
      <c r="C969" s="28" t="s">
        <v>2330</v>
      </c>
      <c r="D969" s="31" t="s">
        <v>2483</v>
      </c>
      <c r="E969" s="28" t="s">
        <v>93</v>
      </c>
      <c r="F969" s="31" t="s">
        <v>370</v>
      </c>
      <c r="G969" s="31" t="s">
        <v>370</v>
      </c>
      <c r="H969" s="31" t="s">
        <v>2383</v>
      </c>
      <c r="I969" s="28" t="str">
        <f>VLOOKUP(E969,표준용어사전!$C$2:$D$494, 2, FALSE)</f>
        <v>명V20</v>
      </c>
      <c r="J969" s="28" t="s">
        <v>718</v>
      </c>
      <c r="K969" s="29" t="s">
        <v>986</v>
      </c>
      <c r="L969" s="55" t="s">
        <v>571</v>
      </c>
      <c r="M969" s="29" t="s">
        <v>727</v>
      </c>
      <c r="N969" s="29" t="s">
        <v>75</v>
      </c>
      <c r="O969" s="31"/>
      <c r="P969" s="31" t="s">
        <v>76</v>
      </c>
      <c r="Q969" s="28"/>
      <c r="R969" s="29"/>
      <c r="S969" s="31"/>
      <c r="T969" s="28"/>
      <c r="U969" s="28" t="s">
        <v>75</v>
      </c>
      <c r="V969" s="28" t="s">
        <v>75</v>
      </c>
      <c r="W969" s="31"/>
    </row>
    <row r="970" spans="1:23" s="12" customFormat="1">
      <c r="A970" s="46" t="s">
        <v>572</v>
      </c>
      <c r="B970" s="28" t="s">
        <v>1332</v>
      </c>
      <c r="C970" s="28" t="s">
        <v>2330</v>
      </c>
      <c r="D970" s="31" t="s">
        <v>2484</v>
      </c>
      <c r="E970" s="28" t="s">
        <v>1189</v>
      </c>
      <c r="F970" s="31" t="s">
        <v>974</v>
      </c>
      <c r="G970" s="31" t="s">
        <v>974</v>
      </c>
      <c r="H970" s="31" t="s">
        <v>975</v>
      </c>
      <c r="I970" s="28" t="str">
        <f>VLOOKUP(E970,표준용어사전!$C$2:$D$494, 2, FALSE)</f>
        <v>코드V50</v>
      </c>
      <c r="J970" s="28" t="s">
        <v>718</v>
      </c>
      <c r="K970" s="29">
        <v>50</v>
      </c>
      <c r="L970" s="55" t="s">
        <v>571</v>
      </c>
      <c r="M970" s="29" t="s">
        <v>720</v>
      </c>
      <c r="N970" s="32" t="s">
        <v>973</v>
      </c>
      <c r="O970" s="31" t="s">
        <v>73</v>
      </c>
      <c r="P970" s="31" t="s">
        <v>76</v>
      </c>
      <c r="Q970" s="28"/>
      <c r="R970" s="29"/>
      <c r="S970" s="31"/>
      <c r="T970" s="31"/>
      <c r="U970" s="28" t="s">
        <v>75</v>
      </c>
      <c r="V970" s="28" t="s">
        <v>75</v>
      </c>
      <c r="W970" s="31"/>
    </row>
    <row r="971" spans="1:23" s="12" customFormat="1">
      <c r="A971" s="46" t="s">
        <v>572</v>
      </c>
      <c r="B971" s="28" t="s">
        <v>1332</v>
      </c>
      <c r="C971" s="28" t="s">
        <v>2330</v>
      </c>
      <c r="D971" s="31" t="s">
        <v>2484</v>
      </c>
      <c r="E971" s="28" t="s">
        <v>1190</v>
      </c>
      <c r="F971" s="31" t="s">
        <v>976</v>
      </c>
      <c r="G971" s="31" t="s">
        <v>976</v>
      </c>
      <c r="H971" s="31" t="s">
        <v>975</v>
      </c>
      <c r="I971" s="28" t="str">
        <f>VLOOKUP(E971,표준용어사전!$C$2:$D$494, 2, FALSE)</f>
        <v>코드V50</v>
      </c>
      <c r="J971" s="28" t="s">
        <v>718</v>
      </c>
      <c r="K971" s="29">
        <v>50</v>
      </c>
      <c r="L971" s="55" t="s">
        <v>571</v>
      </c>
      <c r="M971" s="29" t="s">
        <v>720</v>
      </c>
      <c r="N971" s="32" t="s">
        <v>75</v>
      </c>
      <c r="O971" s="31"/>
      <c r="P971" s="31" t="s">
        <v>76</v>
      </c>
      <c r="Q971" s="28"/>
      <c r="R971" s="29"/>
      <c r="S971" s="31"/>
      <c r="T971" s="28"/>
      <c r="U971" s="28" t="s">
        <v>75</v>
      </c>
      <c r="V971" s="28" t="s">
        <v>75</v>
      </c>
      <c r="W971" s="31"/>
    </row>
    <row r="972" spans="1:23" s="12" customFormat="1">
      <c r="A972" s="46" t="s">
        <v>572</v>
      </c>
      <c r="B972" s="28" t="s">
        <v>1332</v>
      </c>
      <c r="C972" s="28" t="s">
        <v>2330</v>
      </c>
      <c r="D972" s="31" t="s">
        <v>2484</v>
      </c>
      <c r="E972" s="28" t="s">
        <v>1971</v>
      </c>
      <c r="F972" s="31" t="s">
        <v>371</v>
      </c>
      <c r="G972" s="31" t="s">
        <v>371</v>
      </c>
      <c r="H972" s="31" t="s">
        <v>975</v>
      </c>
      <c r="I972" s="28" t="str">
        <f>VLOOKUP(E972,표준용어사전!$C$2:$D$494, 2, FALSE)</f>
        <v>내용V2000</v>
      </c>
      <c r="J972" s="28" t="s">
        <v>718</v>
      </c>
      <c r="K972" s="29">
        <v>2000</v>
      </c>
      <c r="L972" s="55" t="s">
        <v>571</v>
      </c>
      <c r="M972" s="29" t="s">
        <v>728</v>
      </c>
      <c r="N972" s="32" t="s">
        <v>75</v>
      </c>
      <c r="O972" s="31"/>
      <c r="P972" s="31" t="s">
        <v>76</v>
      </c>
      <c r="Q972" s="28"/>
      <c r="R972" s="29"/>
      <c r="S972" s="31"/>
      <c r="T972" s="31"/>
      <c r="U972" s="28" t="s">
        <v>75</v>
      </c>
      <c r="V972" s="28" t="s">
        <v>75</v>
      </c>
      <c r="W972" s="31"/>
    </row>
    <row r="973" spans="1:23" s="12" customFormat="1">
      <c r="A973" s="46" t="s">
        <v>572</v>
      </c>
      <c r="B973" s="28" t="s">
        <v>1332</v>
      </c>
      <c r="C973" s="28" t="s">
        <v>2330</v>
      </c>
      <c r="D973" s="31" t="s">
        <v>2484</v>
      </c>
      <c r="E973" s="28" t="s">
        <v>1972</v>
      </c>
      <c r="F973" s="31" t="s">
        <v>372</v>
      </c>
      <c r="G973" s="31" t="s">
        <v>372</v>
      </c>
      <c r="H973" s="31" t="s">
        <v>975</v>
      </c>
      <c r="I973" s="28" t="str">
        <f>VLOOKUP(E973,표준용어사전!$C$2:$D$494, 2, FALSE)</f>
        <v>내용V2000</v>
      </c>
      <c r="J973" s="28" t="s">
        <v>718</v>
      </c>
      <c r="K973" s="29">
        <v>2000</v>
      </c>
      <c r="L973" s="55" t="s">
        <v>571</v>
      </c>
      <c r="M973" s="29" t="s">
        <v>728</v>
      </c>
      <c r="N973" s="32" t="s">
        <v>75</v>
      </c>
      <c r="O973" s="28"/>
      <c r="P973" s="31" t="s">
        <v>76</v>
      </c>
      <c r="Q973" s="28"/>
      <c r="R973" s="29"/>
      <c r="S973" s="31"/>
      <c r="T973" s="31"/>
      <c r="U973" s="28" t="s">
        <v>75</v>
      </c>
      <c r="V973" s="28" t="s">
        <v>75</v>
      </c>
      <c r="W973" s="31"/>
    </row>
    <row r="974" spans="1:23" s="12" customFormat="1">
      <c r="A974" s="46" t="s">
        <v>572</v>
      </c>
      <c r="B974" s="28" t="s">
        <v>1332</v>
      </c>
      <c r="C974" s="28" t="s">
        <v>2330</v>
      </c>
      <c r="D974" s="31" t="s">
        <v>2484</v>
      </c>
      <c r="E974" s="28" t="s">
        <v>90</v>
      </c>
      <c r="F974" s="31" t="s">
        <v>14</v>
      </c>
      <c r="G974" s="31" t="s">
        <v>14</v>
      </c>
      <c r="H974" s="31" t="s">
        <v>975</v>
      </c>
      <c r="I974" s="28" t="str">
        <f>VLOOKUP(E974,표준용어사전!$C$2:$D$494, 2, FALSE)</f>
        <v>연월일시분초TS</v>
      </c>
      <c r="J974" s="28" t="s">
        <v>719</v>
      </c>
      <c r="K974" s="29" t="s">
        <v>571</v>
      </c>
      <c r="L974" s="55" t="s">
        <v>571</v>
      </c>
      <c r="M974" s="29" t="s">
        <v>726</v>
      </c>
      <c r="N974" s="32" t="s">
        <v>75</v>
      </c>
      <c r="O974" s="28"/>
      <c r="P974" s="31" t="s">
        <v>76</v>
      </c>
      <c r="Q974" s="28"/>
      <c r="R974" s="29"/>
      <c r="S974" s="31"/>
      <c r="T974" s="31"/>
      <c r="U974" s="28" t="s">
        <v>75</v>
      </c>
      <c r="V974" s="28" t="s">
        <v>75</v>
      </c>
      <c r="W974" s="31"/>
    </row>
    <row r="975" spans="1:23" s="12" customFormat="1">
      <c r="A975" s="46" t="s">
        <v>572</v>
      </c>
      <c r="B975" s="28" t="s">
        <v>1332</v>
      </c>
      <c r="C975" s="28" t="s">
        <v>2330</v>
      </c>
      <c r="D975" s="31" t="s">
        <v>2484</v>
      </c>
      <c r="E975" s="28" t="s">
        <v>91</v>
      </c>
      <c r="F975" s="31" t="s">
        <v>369</v>
      </c>
      <c r="G975" s="31" t="s">
        <v>369</v>
      </c>
      <c r="H975" s="31" t="s">
        <v>975</v>
      </c>
      <c r="I975" s="28" t="str">
        <f>VLOOKUP(E975,표준용어사전!$C$2:$D$494, 2, FALSE)</f>
        <v>명V20</v>
      </c>
      <c r="J975" s="28" t="s">
        <v>718</v>
      </c>
      <c r="K975" s="29" t="s">
        <v>986</v>
      </c>
      <c r="L975" s="55" t="s">
        <v>571</v>
      </c>
      <c r="M975" s="29" t="s">
        <v>727</v>
      </c>
      <c r="N975" s="29" t="s">
        <v>75</v>
      </c>
      <c r="O975" s="31"/>
      <c r="P975" s="31" t="s">
        <v>76</v>
      </c>
      <c r="Q975" s="28"/>
      <c r="R975" s="29"/>
      <c r="S975" s="31"/>
      <c r="T975" s="28"/>
      <c r="U975" s="28" t="s">
        <v>75</v>
      </c>
      <c r="V975" s="28" t="s">
        <v>75</v>
      </c>
      <c r="W975" s="31"/>
    </row>
    <row r="976" spans="1:23" s="12" customFormat="1">
      <c r="A976" s="46" t="s">
        <v>572</v>
      </c>
      <c r="B976" s="28" t="s">
        <v>1332</v>
      </c>
      <c r="C976" s="28" t="s">
        <v>2330</v>
      </c>
      <c r="D976" s="31" t="s">
        <v>2484</v>
      </c>
      <c r="E976" s="28" t="s">
        <v>92</v>
      </c>
      <c r="F976" s="31" t="s">
        <v>15</v>
      </c>
      <c r="G976" s="31" t="s">
        <v>15</v>
      </c>
      <c r="H976" s="31" t="s">
        <v>975</v>
      </c>
      <c r="I976" s="28" t="str">
        <f>VLOOKUP(E976,표준용어사전!$C$2:$D$494, 2, FALSE)</f>
        <v>연월일시분초TS</v>
      </c>
      <c r="J976" s="28" t="s">
        <v>719</v>
      </c>
      <c r="K976" s="29" t="s">
        <v>571</v>
      </c>
      <c r="L976" s="55" t="s">
        <v>571</v>
      </c>
      <c r="M976" s="29" t="s">
        <v>726</v>
      </c>
      <c r="N976" s="32" t="s">
        <v>75</v>
      </c>
      <c r="O976" s="31"/>
      <c r="P976" s="31" t="s">
        <v>76</v>
      </c>
      <c r="Q976" s="28"/>
      <c r="R976" s="29"/>
      <c r="S976" s="31"/>
      <c r="T976" s="31"/>
      <c r="U976" s="28" t="s">
        <v>75</v>
      </c>
      <c r="V976" s="28" t="s">
        <v>75</v>
      </c>
      <c r="W976" s="31"/>
    </row>
    <row r="977" spans="1:23" s="12" customFormat="1">
      <c r="A977" s="46" t="s">
        <v>572</v>
      </c>
      <c r="B977" s="28" t="s">
        <v>1332</v>
      </c>
      <c r="C977" s="28" t="s">
        <v>2330</v>
      </c>
      <c r="D977" s="31" t="s">
        <v>2484</v>
      </c>
      <c r="E977" s="28" t="s">
        <v>93</v>
      </c>
      <c r="F977" s="31" t="s">
        <v>370</v>
      </c>
      <c r="G977" s="31" t="s">
        <v>370</v>
      </c>
      <c r="H977" s="31" t="s">
        <v>975</v>
      </c>
      <c r="I977" s="28" t="str">
        <f>VLOOKUP(E977,표준용어사전!$C$2:$D$494, 2, FALSE)</f>
        <v>명V20</v>
      </c>
      <c r="J977" s="28" t="s">
        <v>718</v>
      </c>
      <c r="K977" s="29" t="s">
        <v>986</v>
      </c>
      <c r="L977" s="55" t="s">
        <v>571</v>
      </c>
      <c r="M977" s="29" t="s">
        <v>727</v>
      </c>
      <c r="N977" s="32" t="s">
        <v>75</v>
      </c>
      <c r="O977" s="31"/>
      <c r="P977" s="31" t="s">
        <v>76</v>
      </c>
      <c r="Q977" s="28"/>
      <c r="R977" s="29"/>
      <c r="S977" s="31"/>
      <c r="T977" s="28"/>
      <c r="U977" s="28" t="s">
        <v>75</v>
      </c>
      <c r="V977" s="28" t="s">
        <v>75</v>
      </c>
      <c r="W977" s="31"/>
    </row>
    <row r="978" spans="1:23" s="12" customFormat="1">
      <c r="A978" s="46" t="s">
        <v>572</v>
      </c>
      <c r="B978" s="28" t="s">
        <v>1332</v>
      </c>
      <c r="C978" s="28" t="s">
        <v>2330</v>
      </c>
      <c r="D978" s="31" t="s">
        <v>2485</v>
      </c>
      <c r="E978" s="28" t="s">
        <v>1965</v>
      </c>
      <c r="F978" s="31" t="s">
        <v>1964</v>
      </c>
      <c r="G978" s="31" t="s">
        <v>1964</v>
      </c>
      <c r="H978" s="31" t="s">
        <v>2384</v>
      </c>
      <c r="I978" s="28" t="str">
        <f>VLOOKUP(E978,표준용어사전!$C$2:$D$494, 2, FALSE)</f>
        <v>번호N10</v>
      </c>
      <c r="J978" s="28" t="s">
        <v>748</v>
      </c>
      <c r="K978" s="29">
        <v>10</v>
      </c>
      <c r="L978" s="55" t="s">
        <v>571</v>
      </c>
      <c r="M978" s="29" t="s">
        <v>2592</v>
      </c>
      <c r="N978" s="32" t="s">
        <v>973</v>
      </c>
      <c r="O978" s="31" t="s">
        <v>73</v>
      </c>
      <c r="P978" s="31" t="s">
        <v>76</v>
      </c>
      <c r="Q978" s="28"/>
      <c r="R978" s="29"/>
      <c r="S978" s="31"/>
      <c r="T978" s="31"/>
      <c r="U978" s="28" t="s">
        <v>75</v>
      </c>
      <c r="V978" s="28" t="s">
        <v>75</v>
      </c>
      <c r="W978" s="31"/>
    </row>
    <row r="979" spans="1:23" s="12" customFormat="1">
      <c r="A979" s="46" t="s">
        <v>572</v>
      </c>
      <c r="B979" s="28" t="s">
        <v>1332</v>
      </c>
      <c r="C979" s="28" t="s">
        <v>2330</v>
      </c>
      <c r="D979" s="31" t="s">
        <v>2485</v>
      </c>
      <c r="E979" s="28" t="s">
        <v>1189</v>
      </c>
      <c r="F979" s="31" t="s">
        <v>974</v>
      </c>
      <c r="G979" s="31" t="s">
        <v>974</v>
      </c>
      <c r="H979" s="31" t="s">
        <v>2384</v>
      </c>
      <c r="I979" s="28" t="str">
        <f>VLOOKUP(E979,표준용어사전!$C$2:$D$494, 2, FALSE)</f>
        <v>코드V50</v>
      </c>
      <c r="J979" s="28" t="s">
        <v>718</v>
      </c>
      <c r="K979" s="29">
        <v>50</v>
      </c>
      <c r="L979" s="55" t="s">
        <v>571</v>
      </c>
      <c r="M979" s="29" t="s">
        <v>720</v>
      </c>
      <c r="N979" s="32" t="s">
        <v>973</v>
      </c>
      <c r="O979" s="28" t="s">
        <v>74</v>
      </c>
      <c r="P979" s="31" t="s">
        <v>76</v>
      </c>
      <c r="Q979" s="28"/>
      <c r="R979" s="29"/>
      <c r="S979" s="31"/>
      <c r="T979" s="31"/>
      <c r="U979" s="28" t="s">
        <v>75</v>
      </c>
      <c r="V979" s="28" t="s">
        <v>75</v>
      </c>
      <c r="W979" s="31"/>
    </row>
    <row r="980" spans="1:23" s="12" customFormat="1">
      <c r="A980" s="46" t="s">
        <v>572</v>
      </c>
      <c r="B980" s="28" t="s">
        <v>1332</v>
      </c>
      <c r="C980" s="28" t="s">
        <v>2330</v>
      </c>
      <c r="D980" s="31" t="s">
        <v>2485</v>
      </c>
      <c r="E980" s="28" t="s">
        <v>90</v>
      </c>
      <c r="F980" s="31" t="s">
        <v>14</v>
      </c>
      <c r="G980" s="31" t="s">
        <v>14</v>
      </c>
      <c r="H980" s="31" t="s">
        <v>2384</v>
      </c>
      <c r="I980" s="28" t="str">
        <f>VLOOKUP(E980,표준용어사전!$C$2:$D$494, 2, FALSE)</f>
        <v>연월일시분초TS</v>
      </c>
      <c r="J980" s="28" t="s">
        <v>719</v>
      </c>
      <c r="K980" s="29" t="s">
        <v>571</v>
      </c>
      <c r="L980" s="55" t="s">
        <v>571</v>
      </c>
      <c r="M980" s="29" t="s">
        <v>726</v>
      </c>
      <c r="N980" s="32" t="s">
        <v>75</v>
      </c>
      <c r="O980" s="31"/>
      <c r="P980" s="31" t="s">
        <v>76</v>
      </c>
      <c r="Q980" s="28"/>
      <c r="R980" s="29"/>
      <c r="S980" s="31"/>
      <c r="T980" s="31"/>
      <c r="U980" s="28" t="s">
        <v>75</v>
      </c>
      <c r="V980" s="28" t="s">
        <v>75</v>
      </c>
      <c r="W980" s="31"/>
    </row>
    <row r="981" spans="1:23" s="12" customFormat="1">
      <c r="A981" s="46" t="s">
        <v>572</v>
      </c>
      <c r="B981" s="28" t="s">
        <v>1332</v>
      </c>
      <c r="C981" s="28" t="s">
        <v>2330</v>
      </c>
      <c r="D981" s="31" t="s">
        <v>2485</v>
      </c>
      <c r="E981" s="28" t="s">
        <v>91</v>
      </c>
      <c r="F981" s="31" t="s">
        <v>369</v>
      </c>
      <c r="G981" s="31" t="s">
        <v>369</v>
      </c>
      <c r="H981" s="31" t="s">
        <v>2384</v>
      </c>
      <c r="I981" s="28" t="str">
        <f>VLOOKUP(E981,표준용어사전!$C$2:$D$494, 2, FALSE)</f>
        <v>명V20</v>
      </c>
      <c r="J981" s="28" t="s">
        <v>718</v>
      </c>
      <c r="K981" s="29" t="s">
        <v>986</v>
      </c>
      <c r="L981" s="55" t="s">
        <v>571</v>
      </c>
      <c r="M981" s="29" t="s">
        <v>727</v>
      </c>
      <c r="N981" s="32" t="s">
        <v>75</v>
      </c>
      <c r="O981" s="31"/>
      <c r="P981" s="31" t="s">
        <v>76</v>
      </c>
      <c r="Q981" s="28"/>
      <c r="R981" s="29"/>
      <c r="S981" s="31"/>
      <c r="T981" s="31"/>
      <c r="U981" s="28" t="s">
        <v>75</v>
      </c>
      <c r="V981" s="28" t="s">
        <v>75</v>
      </c>
      <c r="W981" s="31"/>
    </row>
    <row r="982" spans="1:23" s="12" customFormat="1">
      <c r="A982" s="46" t="s">
        <v>572</v>
      </c>
      <c r="B982" s="28" t="s">
        <v>1332</v>
      </c>
      <c r="C982" s="28" t="s">
        <v>2330</v>
      </c>
      <c r="D982" s="31" t="s">
        <v>2485</v>
      </c>
      <c r="E982" s="28" t="s">
        <v>92</v>
      </c>
      <c r="F982" s="31" t="s">
        <v>15</v>
      </c>
      <c r="G982" s="31" t="s">
        <v>15</v>
      </c>
      <c r="H982" s="31" t="s">
        <v>2384</v>
      </c>
      <c r="I982" s="28" t="str">
        <f>VLOOKUP(E982,표준용어사전!$C$2:$D$494, 2, FALSE)</f>
        <v>연월일시분초TS</v>
      </c>
      <c r="J982" s="28" t="s">
        <v>719</v>
      </c>
      <c r="K982" s="29" t="s">
        <v>571</v>
      </c>
      <c r="L982" s="55" t="s">
        <v>571</v>
      </c>
      <c r="M982" s="29" t="s">
        <v>726</v>
      </c>
      <c r="N982" s="32" t="s">
        <v>75</v>
      </c>
      <c r="O982" s="31"/>
      <c r="P982" s="31" t="s">
        <v>76</v>
      </c>
      <c r="Q982" s="28"/>
      <c r="R982" s="29"/>
      <c r="S982" s="31"/>
      <c r="T982" s="28"/>
      <c r="U982" s="28" t="s">
        <v>75</v>
      </c>
      <c r="V982" s="28" t="s">
        <v>75</v>
      </c>
      <c r="W982" s="31"/>
    </row>
    <row r="983" spans="1:23" s="12" customFormat="1">
      <c r="A983" s="46" t="s">
        <v>572</v>
      </c>
      <c r="B983" s="28" t="s">
        <v>1332</v>
      </c>
      <c r="C983" s="28" t="s">
        <v>2330</v>
      </c>
      <c r="D983" s="31" t="s">
        <v>2485</v>
      </c>
      <c r="E983" s="28" t="s">
        <v>93</v>
      </c>
      <c r="F983" s="31" t="s">
        <v>370</v>
      </c>
      <c r="G983" s="31" t="s">
        <v>370</v>
      </c>
      <c r="H983" s="31" t="s">
        <v>2384</v>
      </c>
      <c r="I983" s="28" t="str">
        <f>VLOOKUP(E983,표준용어사전!$C$2:$D$494, 2, FALSE)</f>
        <v>명V20</v>
      </c>
      <c r="J983" s="28" t="s">
        <v>718</v>
      </c>
      <c r="K983" s="29" t="s">
        <v>986</v>
      </c>
      <c r="L983" s="55" t="s">
        <v>571</v>
      </c>
      <c r="M983" s="29" t="s">
        <v>727</v>
      </c>
      <c r="N983" s="32" t="s">
        <v>75</v>
      </c>
      <c r="O983" s="31"/>
      <c r="P983" s="31" t="s">
        <v>76</v>
      </c>
      <c r="Q983" s="28"/>
      <c r="R983" s="29"/>
      <c r="S983" s="31"/>
      <c r="T983" s="28"/>
      <c r="U983" s="28" t="s">
        <v>75</v>
      </c>
      <c r="V983" s="28" t="s">
        <v>75</v>
      </c>
      <c r="W983" s="31"/>
    </row>
    <row r="984" spans="1:23" s="12" customFormat="1">
      <c r="A984" s="46" t="s">
        <v>572</v>
      </c>
      <c r="B984" s="28" t="s">
        <v>1332</v>
      </c>
      <c r="C984" s="28" t="s">
        <v>2330</v>
      </c>
      <c r="D984" s="31" t="s">
        <v>2486</v>
      </c>
      <c r="E984" s="28" t="s">
        <v>1965</v>
      </c>
      <c r="F984" s="31" t="s">
        <v>1964</v>
      </c>
      <c r="G984" s="31" t="s">
        <v>1964</v>
      </c>
      <c r="H984" s="31" t="s">
        <v>2385</v>
      </c>
      <c r="I984" s="28" t="str">
        <f>VLOOKUP(E984,표준용어사전!$C$2:$D$494, 2, FALSE)</f>
        <v>번호N10</v>
      </c>
      <c r="J984" s="28" t="s">
        <v>748</v>
      </c>
      <c r="K984" s="29">
        <v>10</v>
      </c>
      <c r="L984" s="55" t="s">
        <v>571</v>
      </c>
      <c r="M984" s="29" t="s">
        <v>2592</v>
      </c>
      <c r="N984" s="32" t="s">
        <v>973</v>
      </c>
      <c r="O984" s="31" t="s">
        <v>73</v>
      </c>
      <c r="P984" s="31" t="s">
        <v>76</v>
      </c>
      <c r="Q984" s="28"/>
      <c r="R984" s="29"/>
      <c r="S984" s="31"/>
      <c r="T984" s="31"/>
      <c r="U984" s="28" t="s">
        <v>75</v>
      </c>
      <c r="V984" s="28" t="s">
        <v>75</v>
      </c>
      <c r="W984" s="31"/>
    </row>
    <row r="985" spans="1:23" s="12" customFormat="1">
      <c r="A985" s="46" t="s">
        <v>572</v>
      </c>
      <c r="B985" s="28" t="s">
        <v>1332</v>
      </c>
      <c r="C985" s="28" t="s">
        <v>2330</v>
      </c>
      <c r="D985" s="31" t="s">
        <v>2486</v>
      </c>
      <c r="E985" s="28" t="s">
        <v>191</v>
      </c>
      <c r="F985" s="31" t="s">
        <v>442</v>
      </c>
      <c r="G985" s="31" t="s">
        <v>442</v>
      </c>
      <c r="H985" s="31" t="s">
        <v>2385</v>
      </c>
      <c r="I985" s="28" t="str">
        <f>VLOOKUP(E985,표준용어사전!$C$2:$D$494, 2, FALSE)</f>
        <v>코드V50</v>
      </c>
      <c r="J985" s="28" t="s">
        <v>718</v>
      </c>
      <c r="K985" s="29">
        <v>50</v>
      </c>
      <c r="L985" s="55" t="s">
        <v>571</v>
      </c>
      <c r="M985" s="29" t="s">
        <v>720</v>
      </c>
      <c r="N985" s="32" t="s">
        <v>973</v>
      </c>
      <c r="O985" s="31" t="s">
        <v>74</v>
      </c>
      <c r="P985" s="31" t="s">
        <v>76</v>
      </c>
      <c r="Q985" s="28"/>
      <c r="R985" s="29"/>
      <c r="S985" s="31"/>
      <c r="T985" s="31"/>
      <c r="U985" s="28" t="s">
        <v>75</v>
      </c>
      <c r="V985" s="28" t="s">
        <v>75</v>
      </c>
      <c r="W985" s="31"/>
    </row>
    <row r="986" spans="1:23" s="12" customFormat="1">
      <c r="A986" s="46" t="s">
        <v>572</v>
      </c>
      <c r="B986" s="28" t="s">
        <v>1332</v>
      </c>
      <c r="C986" s="28" t="s">
        <v>2330</v>
      </c>
      <c r="D986" s="31" t="s">
        <v>2486</v>
      </c>
      <c r="E986" s="28" t="s">
        <v>90</v>
      </c>
      <c r="F986" s="31" t="s">
        <v>14</v>
      </c>
      <c r="G986" s="31" t="s">
        <v>14</v>
      </c>
      <c r="H986" s="31" t="s">
        <v>2385</v>
      </c>
      <c r="I986" s="28" t="str">
        <f>VLOOKUP(E986,표준용어사전!$C$2:$D$494, 2, FALSE)</f>
        <v>연월일시분초TS</v>
      </c>
      <c r="J986" s="28" t="s">
        <v>719</v>
      </c>
      <c r="K986" s="29" t="s">
        <v>571</v>
      </c>
      <c r="L986" s="55" t="s">
        <v>571</v>
      </c>
      <c r="M986" s="29" t="s">
        <v>726</v>
      </c>
      <c r="N986" s="32" t="s">
        <v>75</v>
      </c>
      <c r="O986" s="31"/>
      <c r="P986" s="31" t="s">
        <v>76</v>
      </c>
      <c r="Q986" s="28"/>
      <c r="R986" s="29"/>
      <c r="S986" s="31"/>
      <c r="T986" s="28"/>
      <c r="U986" s="28" t="s">
        <v>75</v>
      </c>
      <c r="V986" s="28" t="s">
        <v>75</v>
      </c>
      <c r="W986" s="31"/>
    </row>
    <row r="987" spans="1:23" s="12" customFormat="1">
      <c r="A987" s="46" t="s">
        <v>572</v>
      </c>
      <c r="B987" s="28" t="s">
        <v>1332</v>
      </c>
      <c r="C987" s="28" t="s">
        <v>2330</v>
      </c>
      <c r="D987" s="31" t="s">
        <v>2486</v>
      </c>
      <c r="E987" s="28" t="s">
        <v>91</v>
      </c>
      <c r="F987" s="31" t="s">
        <v>369</v>
      </c>
      <c r="G987" s="31" t="s">
        <v>369</v>
      </c>
      <c r="H987" s="31" t="s">
        <v>2385</v>
      </c>
      <c r="I987" s="28" t="str">
        <f>VLOOKUP(E987,표준용어사전!$C$2:$D$494, 2, FALSE)</f>
        <v>명V20</v>
      </c>
      <c r="J987" s="28" t="s">
        <v>718</v>
      </c>
      <c r="K987" s="29" t="s">
        <v>986</v>
      </c>
      <c r="L987" s="55" t="s">
        <v>571</v>
      </c>
      <c r="M987" s="29" t="s">
        <v>727</v>
      </c>
      <c r="N987" s="32" t="s">
        <v>75</v>
      </c>
      <c r="O987" s="28"/>
      <c r="P987" s="31" t="s">
        <v>76</v>
      </c>
      <c r="Q987" s="28"/>
      <c r="R987" s="29"/>
      <c r="S987" s="31"/>
      <c r="T987" s="31"/>
      <c r="U987" s="28" t="s">
        <v>75</v>
      </c>
      <c r="V987" s="28" t="s">
        <v>75</v>
      </c>
      <c r="W987" s="31"/>
    </row>
    <row r="988" spans="1:23" s="12" customFormat="1">
      <c r="A988" s="46" t="s">
        <v>572</v>
      </c>
      <c r="B988" s="28" t="s">
        <v>1332</v>
      </c>
      <c r="C988" s="28" t="s">
        <v>2330</v>
      </c>
      <c r="D988" s="31" t="s">
        <v>2486</v>
      </c>
      <c r="E988" s="28" t="s">
        <v>92</v>
      </c>
      <c r="F988" s="31" t="s">
        <v>15</v>
      </c>
      <c r="G988" s="31" t="s">
        <v>15</v>
      </c>
      <c r="H988" s="31" t="s">
        <v>2385</v>
      </c>
      <c r="I988" s="28" t="str">
        <f>VLOOKUP(E988,표준용어사전!$C$2:$D$494, 2, FALSE)</f>
        <v>연월일시분초TS</v>
      </c>
      <c r="J988" s="28" t="s">
        <v>719</v>
      </c>
      <c r="K988" s="29" t="s">
        <v>571</v>
      </c>
      <c r="L988" s="55" t="s">
        <v>571</v>
      </c>
      <c r="M988" s="29" t="s">
        <v>726</v>
      </c>
      <c r="N988" s="32" t="s">
        <v>75</v>
      </c>
      <c r="O988" s="31"/>
      <c r="P988" s="31" t="s">
        <v>76</v>
      </c>
      <c r="Q988" s="28"/>
      <c r="R988" s="29"/>
      <c r="S988" s="31"/>
      <c r="T988" s="31"/>
      <c r="U988" s="28" t="s">
        <v>75</v>
      </c>
      <c r="V988" s="28" t="s">
        <v>75</v>
      </c>
      <c r="W988" s="31"/>
    </row>
    <row r="989" spans="1:23" s="12" customFormat="1">
      <c r="A989" s="46" t="s">
        <v>572</v>
      </c>
      <c r="B989" s="28" t="s">
        <v>1332</v>
      </c>
      <c r="C989" s="28" t="s">
        <v>2330</v>
      </c>
      <c r="D989" s="31" t="s">
        <v>2486</v>
      </c>
      <c r="E989" s="28" t="s">
        <v>93</v>
      </c>
      <c r="F989" s="31" t="s">
        <v>370</v>
      </c>
      <c r="G989" s="31" t="s">
        <v>370</v>
      </c>
      <c r="H989" s="31" t="s">
        <v>2385</v>
      </c>
      <c r="I989" s="28" t="str">
        <f>VLOOKUP(E989,표준용어사전!$C$2:$D$494, 2, FALSE)</f>
        <v>명V20</v>
      </c>
      <c r="J989" s="28" t="s">
        <v>718</v>
      </c>
      <c r="K989" s="29" t="s">
        <v>986</v>
      </c>
      <c r="L989" s="55" t="s">
        <v>571</v>
      </c>
      <c r="M989" s="29" t="s">
        <v>727</v>
      </c>
      <c r="N989" s="32" t="s">
        <v>75</v>
      </c>
      <c r="O989" s="31"/>
      <c r="P989" s="31" t="s">
        <v>76</v>
      </c>
      <c r="Q989" s="28"/>
      <c r="R989" s="29"/>
      <c r="S989" s="31"/>
      <c r="T989" s="31"/>
      <c r="U989" s="28" t="s">
        <v>75</v>
      </c>
      <c r="V989" s="28" t="s">
        <v>75</v>
      </c>
      <c r="W989" s="31"/>
    </row>
    <row r="990" spans="1:23" s="12" customFormat="1">
      <c r="A990" s="46" t="s">
        <v>572</v>
      </c>
      <c r="B990" s="28" t="s">
        <v>1332</v>
      </c>
      <c r="C990" s="28" t="s">
        <v>2330</v>
      </c>
      <c r="D990" s="31" t="s">
        <v>2487</v>
      </c>
      <c r="E990" s="28" t="s">
        <v>1965</v>
      </c>
      <c r="F990" s="31" t="s">
        <v>1964</v>
      </c>
      <c r="G990" s="31" t="s">
        <v>1964</v>
      </c>
      <c r="H990" s="31" t="s">
        <v>2386</v>
      </c>
      <c r="I990" s="28" t="str">
        <f>VLOOKUP(E990,표준용어사전!$C$2:$D$494, 2, FALSE)</f>
        <v>번호N10</v>
      </c>
      <c r="J990" s="28" t="s">
        <v>748</v>
      </c>
      <c r="K990" s="29">
        <v>10</v>
      </c>
      <c r="L990" s="55" t="s">
        <v>571</v>
      </c>
      <c r="M990" s="29" t="s">
        <v>2592</v>
      </c>
      <c r="N990" s="32" t="s">
        <v>973</v>
      </c>
      <c r="O990" s="31" t="s">
        <v>73</v>
      </c>
      <c r="P990" s="31" t="s">
        <v>76</v>
      </c>
      <c r="Q990" s="28"/>
      <c r="R990" s="29"/>
      <c r="S990" s="31"/>
      <c r="T990" s="28"/>
      <c r="U990" s="28" t="s">
        <v>75</v>
      </c>
      <c r="V990" s="28" t="s">
        <v>75</v>
      </c>
      <c r="W990" s="31"/>
    </row>
    <row r="991" spans="1:23" s="12" customFormat="1">
      <c r="A991" s="46" t="s">
        <v>572</v>
      </c>
      <c r="B991" s="28" t="s">
        <v>1332</v>
      </c>
      <c r="C991" s="28" t="s">
        <v>2330</v>
      </c>
      <c r="D991" s="31" t="s">
        <v>2487</v>
      </c>
      <c r="E991" s="28" t="s">
        <v>1967</v>
      </c>
      <c r="F991" s="31" t="s">
        <v>443</v>
      </c>
      <c r="G991" s="31" t="s">
        <v>443</v>
      </c>
      <c r="H991" s="31" t="s">
        <v>2386</v>
      </c>
      <c r="I991" s="28" t="str">
        <f>VLOOKUP(E991,표준용어사전!$C$2:$D$494, 2, FALSE)</f>
        <v>코드V50</v>
      </c>
      <c r="J991" s="28" t="s">
        <v>718</v>
      </c>
      <c r="K991" s="29">
        <v>50</v>
      </c>
      <c r="L991" s="55" t="s">
        <v>571</v>
      </c>
      <c r="M991" s="29" t="s">
        <v>720</v>
      </c>
      <c r="N991" s="32" t="s">
        <v>973</v>
      </c>
      <c r="O991" s="31" t="s">
        <v>74</v>
      </c>
      <c r="P991" s="31" t="s">
        <v>76</v>
      </c>
      <c r="Q991" s="28"/>
      <c r="R991" s="29"/>
      <c r="S991" s="31"/>
      <c r="T991" s="31"/>
      <c r="U991" s="28" t="s">
        <v>75</v>
      </c>
      <c r="V991" s="28" t="s">
        <v>75</v>
      </c>
      <c r="W991" s="31"/>
    </row>
    <row r="992" spans="1:23" s="12" customFormat="1">
      <c r="A992" s="46" t="s">
        <v>572</v>
      </c>
      <c r="B992" s="28" t="s">
        <v>1332</v>
      </c>
      <c r="C992" s="28" t="s">
        <v>2330</v>
      </c>
      <c r="D992" s="31" t="s">
        <v>2487</v>
      </c>
      <c r="E992" s="28" t="s">
        <v>90</v>
      </c>
      <c r="F992" s="31" t="s">
        <v>14</v>
      </c>
      <c r="G992" s="31" t="s">
        <v>14</v>
      </c>
      <c r="H992" s="31" t="s">
        <v>2386</v>
      </c>
      <c r="I992" s="28" t="str">
        <f>VLOOKUP(E992,표준용어사전!$C$2:$D$494, 2, FALSE)</f>
        <v>연월일시분초TS</v>
      </c>
      <c r="J992" s="28" t="s">
        <v>719</v>
      </c>
      <c r="K992" s="29" t="s">
        <v>571</v>
      </c>
      <c r="L992" s="55" t="s">
        <v>571</v>
      </c>
      <c r="M992" s="29" t="s">
        <v>726</v>
      </c>
      <c r="N992" s="32" t="s">
        <v>973</v>
      </c>
      <c r="O992" s="31"/>
      <c r="P992" s="31" t="s">
        <v>76</v>
      </c>
      <c r="Q992" s="28"/>
      <c r="R992" s="29"/>
      <c r="S992" s="31"/>
      <c r="T992" s="28"/>
      <c r="U992" s="28" t="s">
        <v>75</v>
      </c>
      <c r="V992" s="28" t="s">
        <v>75</v>
      </c>
      <c r="W992" s="31"/>
    </row>
    <row r="993" spans="1:23" s="12" customFormat="1">
      <c r="A993" s="46" t="s">
        <v>572</v>
      </c>
      <c r="B993" s="28" t="s">
        <v>1332</v>
      </c>
      <c r="C993" s="28" t="s">
        <v>2330</v>
      </c>
      <c r="D993" s="31" t="s">
        <v>2487</v>
      </c>
      <c r="E993" s="28" t="s">
        <v>91</v>
      </c>
      <c r="F993" s="31" t="s">
        <v>369</v>
      </c>
      <c r="G993" s="31" t="s">
        <v>369</v>
      </c>
      <c r="H993" s="31" t="s">
        <v>2386</v>
      </c>
      <c r="I993" s="28" t="str">
        <f>VLOOKUP(E993,표준용어사전!$C$2:$D$494, 2, FALSE)</f>
        <v>명V20</v>
      </c>
      <c r="J993" s="28" t="s">
        <v>718</v>
      </c>
      <c r="K993" s="29" t="s">
        <v>986</v>
      </c>
      <c r="L993" s="55" t="s">
        <v>571</v>
      </c>
      <c r="M993" s="29" t="s">
        <v>727</v>
      </c>
      <c r="N993" s="32" t="s">
        <v>75</v>
      </c>
      <c r="O993" s="31"/>
      <c r="P993" s="31" t="s">
        <v>76</v>
      </c>
      <c r="Q993" s="28"/>
      <c r="R993" s="29"/>
      <c r="S993" s="31"/>
      <c r="T993" s="31"/>
      <c r="U993" s="28" t="s">
        <v>75</v>
      </c>
      <c r="V993" s="28" t="s">
        <v>75</v>
      </c>
      <c r="W993" s="31"/>
    </row>
    <row r="994" spans="1:23" s="12" customFormat="1">
      <c r="A994" s="46" t="s">
        <v>572</v>
      </c>
      <c r="B994" s="28" t="s">
        <v>1332</v>
      </c>
      <c r="C994" s="28" t="s">
        <v>2330</v>
      </c>
      <c r="D994" s="31" t="s">
        <v>2487</v>
      </c>
      <c r="E994" s="28" t="s">
        <v>92</v>
      </c>
      <c r="F994" s="31" t="s">
        <v>15</v>
      </c>
      <c r="G994" s="31" t="s">
        <v>15</v>
      </c>
      <c r="H994" s="31" t="s">
        <v>2386</v>
      </c>
      <c r="I994" s="28" t="str">
        <f>VLOOKUP(E994,표준용어사전!$C$2:$D$494, 2, FALSE)</f>
        <v>연월일시분초TS</v>
      </c>
      <c r="J994" s="28" t="s">
        <v>719</v>
      </c>
      <c r="K994" s="29" t="s">
        <v>571</v>
      </c>
      <c r="L994" s="55" t="s">
        <v>571</v>
      </c>
      <c r="M994" s="29" t="s">
        <v>726</v>
      </c>
      <c r="N994" s="32" t="s">
        <v>75</v>
      </c>
      <c r="O994" s="31"/>
      <c r="P994" s="31" t="s">
        <v>76</v>
      </c>
      <c r="Q994" s="28"/>
      <c r="R994" s="29"/>
      <c r="S994" s="31"/>
      <c r="T994" s="28"/>
      <c r="U994" s="28" t="s">
        <v>75</v>
      </c>
      <c r="V994" s="28" t="s">
        <v>75</v>
      </c>
      <c r="W994" s="31"/>
    </row>
    <row r="995" spans="1:23" s="12" customFormat="1">
      <c r="A995" s="46" t="s">
        <v>572</v>
      </c>
      <c r="B995" s="28" t="s">
        <v>1332</v>
      </c>
      <c r="C995" s="28" t="s">
        <v>2330</v>
      </c>
      <c r="D995" s="31" t="s">
        <v>2487</v>
      </c>
      <c r="E995" s="28" t="s">
        <v>93</v>
      </c>
      <c r="F995" s="31" t="s">
        <v>370</v>
      </c>
      <c r="G995" s="31" t="s">
        <v>370</v>
      </c>
      <c r="H995" s="31" t="s">
        <v>2386</v>
      </c>
      <c r="I995" s="28" t="str">
        <f>VLOOKUP(E995,표준용어사전!$C$2:$D$494, 2, FALSE)</f>
        <v>명V20</v>
      </c>
      <c r="J995" s="28" t="s">
        <v>718</v>
      </c>
      <c r="K995" s="29" t="s">
        <v>986</v>
      </c>
      <c r="L995" s="55" t="s">
        <v>571</v>
      </c>
      <c r="M995" s="29" t="s">
        <v>727</v>
      </c>
      <c r="N995" s="32" t="s">
        <v>75</v>
      </c>
      <c r="O995" s="31"/>
      <c r="P995" s="31" t="s">
        <v>76</v>
      </c>
      <c r="Q995" s="28"/>
      <c r="R995" s="29"/>
      <c r="S995" s="31"/>
      <c r="T995" s="31"/>
      <c r="U995" s="28" t="s">
        <v>75</v>
      </c>
      <c r="V995" s="28" t="s">
        <v>75</v>
      </c>
      <c r="W995" s="31"/>
    </row>
    <row r="996" spans="1:23" s="12" customFormat="1">
      <c r="A996" s="46" t="s">
        <v>711</v>
      </c>
      <c r="B996" s="28" t="s">
        <v>2579</v>
      </c>
      <c r="C996" s="28" t="s">
        <v>2330</v>
      </c>
      <c r="D996" s="31" t="s">
        <v>2488</v>
      </c>
      <c r="E996" s="28" t="s">
        <v>2236</v>
      </c>
      <c r="F996" s="31" t="s">
        <v>1721</v>
      </c>
      <c r="G996" s="31" t="s">
        <v>1721</v>
      </c>
      <c r="H996" s="31" t="s">
        <v>2387</v>
      </c>
      <c r="I996" s="28" t="str">
        <f>VLOOKUP(E996,표준용어사전!$C$2:$D$494, 2, FALSE)</f>
        <v>명V20</v>
      </c>
      <c r="J996" s="28" t="s">
        <v>718</v>
      </c>
      <c r="K996" s="29" t="s">
        <v>986</v>
      </c>
      <c r="L996" s="55" t="s">
        <v>571</v>
      </c>
      <c r="M996" s="29" t="s">
        <v>727</v>
      </c>
      <c r="N996" s="32" t="s">
        <v>973</v>
      </c>
      <c r="O996" s="28" t="s">
        <v>73</v>
      </c>
      <c r="P996" s="31" t="s">
        <v>76</v>
      </c>
      <c r="Q996" s="28"/>
      <c r="R996" s="29"/>
      <c r="S996" s="31"/>
      <c r="T996" s="31"/>
      <c r="U996" s="28" t="s">
        <v>75</v>
      </c>
      <c r="V996" s="28" t="s">
        <v>75</v>
      </c>
      <c r="W996" s="31"/>
    </row>
    <row r="997" spans="1:23" s="12" customFormat="1">
      <c r="A997" s="46" t="s">
        <v>711</v>
      </c>
      <c r="B997" s="28" t="s">
        <v>2579</v>
      </c>
      <c r="C997" s="28" t="s">
        <v>2330</v>
      </c>
      <c r="D997" s="31" t="s">
        <v>2488</v>
      </c>
      <c r="E997" s="28" t="s">
        <v>2237</v>
      </c>
      <c r="F997" s="31" t="s">
        <v>1722</v>
      </c>
      <c r="G997" s="31" t="s">
        <v>1722</v>
      </c>
      <c r="H997" s="31" t="s">
        <v>2387</v>
      </c>
      <c r="I997" s="28" t="str">
        <f>VLOOKUP(E997,표준용어사전!$C$2:$D$494, 2, FALSE)</f>
        <v>코드C2</v>
      </c>
      <c r="J997" s="28" t="s">
        <v>709</v>
      </c>
      <c r="K997" s="29">
        <v>2</v>
      </c>
      <c r="L997" s="55" t="s">
        <v>571</v>
      </c>
      <c r="M997" s="29" t="s">
        <v>766</v>
      </c>
      <c r="N997" s="32" t="s">
        <v>75</v>
      </c>
      <c r="O997" s="28"/>
      <c r="P997" s="31" t="s">
        <v>76</v>
      </c>
      <c r="Q997" s="28"/>
      <c r="R997" s="29"/>
      <c r="S997" s="31"/>
      <c r="T997" s="31"/>
      <c r="U997" s="28" t="s">
        <v>75</v>
      </c>
      <c r="V997" s="28" t="s">
        <v>75</v>
      </c>
      <c r="W997" s="31"/>
    </row>
    <row r="998" spans="1:23" s="12" customFormat="1">
      <c r="A998" s="46" t="s">
        <v>711</v>
      </c>
      <c r="B998" s="28" t="s">
        <v>2579</v>
      </c>
      <c r="C998" s="28" t="s">
        <v>2330</v>
      </c>
      <c r="D998" s="31" t="s">
        <v>2488</v>
      </c>
      <c r="E998" s="28" t="s">
        <v>2239</v>
      </c>
      <c r="F998" s="31" t="s">
        <v>2238</v>
      </c>
      <c r="G998" s="31" t="s">
        <v>2238</v>
      </c>
      <c r="H998" s="31" t="s">
        <v>2387</v>
      </c>
      <c r="I998" s="28" t="str">
        <f>VLOOKUP(E998,표준용어사전!$C$2:$D$494, 2, FALSE)</f>
        <v>내용TXT</v>
      </c>
      <c r="J998" s="28" t="s">
        <v>713</v>
      </c>
      <c r="K998" s="29" t="s">
        <v>571</v>
      </c>
      <c r="L998" s="55" t="s">
        <v>571</v>
      </c>
      <c r="M998" s="29" t="s">
        <v>2590</v>
      </c>
      <c r="N998" s="32" t="s">
        <v>75</v>
      </c>
      <c r="O998" s="31"/>
      <c r="P998" s="31" t="s">
        <v>76</v>
      </c>
      <c r="Q998" s="28"/>
      <c r="R998" s="29"/>
      <c r="S998" s="31"/>
      <c r="T998" s="31"/>
      <c r="U998" s="28" t="s">
        <v>75</v>
      </c>
      <c r="V998" s="28" t="s">
        <v>75</v>
      </c>
      <c r="W998" s="31"/>
    </row>
    <row r="999" spans="1:23" s="12" customFormat="1">
      <c r="A999" s="46" t="s">
        <v>711</v>
      </c>
      <c r="B999" s="28" t="s">
        <v>2579</v>
      </c>
      <c r="C999" s="28" t="s">
        <v>2330</v>
      </c>
      <c r="D999" s="31" t="s">
        <v>2488</v>
      </c>
      <c r="E999" s="28" t="s">
        <v>90</v>
      </c>
      <c r="F999" s="31" t="s">
        <v>14</v>
      </c>
      <c r="G999" s="31" t="s">
        <v>14</v>
      </c>
      <c r="H999" s="31" t="s">
        <v>2387</v>
      </c>
      <c r="I999" s="28" t="str">
        <f>VLOOKUP(E999,표준용어사전!$C$2:$D$494, 2, FALSE)</f>
        <v>연월일시분초TS</v>
      </c>
      <c r="J999" s="28" t="s">
        <v>719</v>
      </c>
      <c r="K999" s="29" t="s">
        <v>571</v>
      </c>
      <c r="L999" s="55" t="s">
        <v>571</v>
      </c>
      <c r="M999" s="29" t="s">
        <v>726</v>
      </c>
      <c r="N999" s="32" t="s">
        <v>973</v>
      </c>
      <c r="O999" s="31"/>
      <c r="P999" s="31" t="s">
        <v>76</v>
      </c>
      <c r="Q999" s="28"/>
      <c r="R999" s="29"/>
      <c r="S999" s="31"/>
      <c r="T999" s="31"/>
      <c r="U999" s="28" t="s">
        <v>75</v>
      </c>
      <c r="V999" s="28" t="s">
        <v>75</v>
      </c>
      <c r="W999" s="31"/>
    </row>
    <row r="1000" spans="1:23" s="12" customFormat="1">
      <c r="A1000" s="46" t="s">
        <v>572</v>
      </c>
      <c r="B1000" s="28" t="s">
        <v>2581</v>
      </c>
      <c r="C1000" s="28" t="s">
        <v>2330</v>
      </c>
      <c r="D1000" s="31" t="s">
        <v>2489</v>
      </c>
      <c r="E1000" s="28" t="s">
        <v>1664</v>
      </c>
      <c r="F1000" s="31" t="s">
        <v>1715</v>
      </c>
      <c r="G1000" s="31" t="s">
        <v>1715</v>
      </c>
      <c r="H1000" s="31" t="s">
        <v>2388</v>
      </c>
      <c r="I1000" s="28" t="str">
        <f>VLOOKUP(E1000,표준용어사전!$C$2:$D$494, 2, FALSE)</f>
        <v>명V20</v>
      </c>
      <c r="J1000" s="28" t="s">
        <v>718</v>
      </c>
      <c r="K1000" s="29" t="s">
        <v>986</v>
      </c>
      <c r="L1000" s="55" t="s">
        <v>571</v>
      </c>
      <c r="M1000" s="29" t="s">
        <v>727</v>
      </c>
      <c r="N1000" s="32" t="s">
        <v>973</v>
      </c>
      <c r="O1000" s="31" t="s">
        <v>73</v>
      </c>
      <c r="P1000" s="31" t="s">
        <v>2596</v>
      </c>
      <c r="Q1000" s="28"/>
      <c r="R1000" s="29"/>
      <c r="S1000" s="31"/>
      <c r="T1000" s="28"/>
      <c r="U1000" s="28" t="s">
        <v>75</v>
      </c>
      <c r="V1000" s="28" t="s">
        <v>75</v>
      </c>
      <c r="W1000" s="31"/>
    </row>
    <row r="1001" spans="1:23" s="12" customFormat="1">
      <c r="A1001" s="46" t="s">
        <v>572</v>
      </c>
      <c r="B1001" s="28" t="s">
        <v>2581</v>
      </c>
      <c r="C1001" s="28" t="s">
        <v>2330</v>
      </c>
      <c r="D1001" s="31" t="s">
        <v>2489</v>
      </c>
      <c r="E1001" s="28" t="s">
        <v>1221</v>
      </c>
      <c r="F1001" s="31" t="s">
        <v>1707</v>
      </c>
      <c r="G1001" s="31" t="s">
        <v>1707</v>
      </c>
      <c r="H1001" s="31" t="s">
        <v>2388</v>
      </c>
      <c r="I1001" s="28" t="str">
        <f>VLOOKUP(E1001,표준용어사전!$C$2:$D$494, 2, FALSE)</f>
        <v>명V20</v>
      </c>
      <c r="J1001" s="28" t="s">
        <v>718</v>
      </c>
      <c r="K1001" s="29" t="s">
        <v>986</v>
      </c>
      <c r="L1001" s="55" t="s">
        <v>571</v>
      </c>
      <c r="M1001" s="29" t="s">
        <v>727</v>
      </c>
      <c r="N1001" s="32" t="s">
        <v>973</v>
      </c>
      <c r="O1001" s="31" t="s">
        <v>74</v>
      </c>
      <c r="P1001" s="31" t="s">
        <v>76</v>
      </c>
      <c r="Q1001" s="28"/>
      <c r="R1001" s="29"/>
      <c r="S1001" s="31"/>
      <c r="T1001" s="28"/>
      <c r="U1001" s="28" t="s">
        <v>75</v>
      </c>
      <c r="V1001" s="28" t="s">
        <v>75</v>
      </c>
      <c r="W1001" s="31"/>
    </row>
    <row r="1002" spans="1:23" s="12" customFormat="1">
      <c r="A1002" s="46" t="s">
        <v>572</v>
      </c>
      <c r="B1002" s="28" t="s">
        <v>2581</v>
      </c>
      <c r="C1002" s="28" t="s">
        <v>2330</v>
      </c>
      <c r="D1002" s="31" t="s">
        <v>2489</v>
      </c>
      <c r="E1002" s="28" t="s">
        <v>1673</v>
      </c>
      <c r="F1002" s="31" t="s">
        <v>1718</v>
      </c>
      <c r="G1002" s="31" t="s">
        <v>1718</v>
      </c>
      <c r="H1002" s="31" t="s">
        <v>2388</v>
      </c>
      <c r="I1002" s="28" t="str">
        <f>VLOOKUP(E1002,표준용어사전!$C$2:$D$494, 2, FALSE)</f>
        <v>번호I</v>
      </c>
      <c r="J1002" s="28" t="s">
        <v>717</v>
      </c>
      <c r="K1002" s="29" t="s">
        <v>571</v>
      </c>
      <c r="L1002" s="55" t="s">
        <v>571</v>
      </c>
      <c r="M1002" s="29" t="s">
        <v>2591</v>
      </c>
      <c r="N1002" s="32" t="s">
        <v>973</v>
      </c>
      <c r="O1002" s="31" t="s">
        <v>624</v>
      </c>
      <c r="P1002" s="31" t="s">
        <v>76</v>
      </c>
      <c r="Q1002" s="28"/>
      <c r="R1002" s="29"/>
      <c r="S1002" s="31"/>
      <c r="T1002" s="31"/>
      <c r="U1002" s="28" t="s">
        <v>75</v>
      </c>
      <c r="V1002" s="28" t="s">
        <v>75</v>
      </c>
      <c r="W1002" s="31"/>
    </row>
    <row r="1003" spans="1:23" s="12" customFormat="1">
      <c r="A1003" s="46" t="s">
        <v>572</v>
      </c>
      <c r="B1003" s="28" t="s">
        <v>2581</v>
      </c>
      <c r="C1003" s="28" t="s">
        <v>2330</v>
      </c>
      <c r="D1003" s="31" t="s">
        <v>2489</v>
      </c>
      <c r="E1003" s="28" t="s">
        <v>1679</v>
      </c>
      <c r="F1003" s="31" t="s">
        <v>1720</v>
      </c>
      <c r="G1003" s="31" t="s">
        <v>1720</v>
      </c>
      <c r="H1003" s="31" t="s">
        <v>2388</v>
      </c>
      <c r="I1003" s="28" t="str">
        <f>VLOOKUP(E1003,표준용어사전!$C$2:$D$494, 2, FALSE)</f>
        <v>내용TXT</v>
      </c>
      <c r="J1003" s="28" t="s">
        <v>713</v>
      </c>
      <c r="K1003" s="29" t="s">
        <v>571</v>
      </c>
      <c r="L1003" s="55" t="s">
        <v>571</v>
      </c>
      <c r="M1003" s="29" t="s">
        <v>2590</v>
      </c>
      <c r="N1003" s="32" t="s">
        <v>75</v>
      </c>
      <c r="O1003" s="31"/>
      <c r="P1003" s="31" t="s">
        <v>76</v>
      </c>
      <c r="Q1003" s="28"/>
      <c r="R1003" s="29"/>
      <c r="S1003" s="31"/>
      <c r="T1003" s="28"/>
      <c r="U1003" s="28" t="s">
        <v>75</v>
      </c>
      <c r="V1003" s="28" t="s">
        <v>75</v>
      </c>
      <c r="W1003" s="31"/>
    </row>
    <row r="1004" spans="1:23" s="12" customFormat="1">
      <c r="A1004" s="46" t="s">
        <v>572</v>
      </c>
      <c r="B1004" s="28" t="s">
        <v>2581</v>
      </c>
      <c r="C1004" s="28" t="s">
        <v>2330</v>
      </c>
      <c r="D1004" s="31" t="s">
        <v>2489</v>
      </c>
      <c r="E1004" s="28" t="s">
        <v>90</v>
      </c>
      <c r="F1004" s="31" t="s">
        <v>14</v>
      </c>
      <c r="G1004" s="31" t="s">
        <v>14</v>
      </c>
      <c r="H1004" s="31" t="s">
        <v>2388</v>
      </c>
      <c r="I1004" s="28" t="str">
        <f>VLOOKUP(E1004,표준용어사전!$C$2:$D$494, 2, FALSE)</f>
        <v>연월일시분초TS</v>
      </c>
      <c r="J1004" s="28" t="s">
        <v>719</v>
      </c>
      <c r="K1004" s="29" t="s">
        <v>571</v>
      </c>
      <c r="L1004" s="55" t="s">
        <v>571</v>
      </c>
      <c r="M1004" s="29" t="s">
        <v>726</v>
      </c>
      <c r="N1004" s="32" t="s">
        <v>973</v>
      </c>
      <c r="O1004" s="31"/>
      <c r="P1004" s="31" t="s">
        <v>76</v>
      </c>
      <c r="Q1004" s="28"/>
      <c r="R1004" s="29"/>
      <c r="S1004" s="31"/>
      <c r="T1004" s="31"/>
      <c r="U1004" s="28" t="s">
        <v>75</v>
      </c>
      <c r="V1004" s="28" t="s">
        <v>75</v>
      </c>
      <c r="W1004" s="31"/>
    </row>
    <row r="1005" spans="1:23" s="12" customFormat="1">
      <c r="A1005" s="46" t="s">
        <v>572</v>
      </c>
      <c r="B1005" s="28" t="s">
        <v>2581</v>
      </c>
      <c r="C1005" s="28" t="s">
        <v>2330</v>
      </c>
      <c r="D1005" s="31" t="s">
        <v>2489</v>
      </c>
      <c r="E1005" s="28" t="s">
        <v>91</v>
      </c>
      <c r="F1005" s="31" t="s">
        <v>369</v>
      </c>
      <c r="G1005" s="31" t="s">
        <v>369</v>
      </c>
      <c r="H1005" s="31" t="s">
        <v>2388</v>
      </c>
      <c r="I1005" s="28" t="str">
        <f>VLOOKUP(E1005,표준용어사전!$C$2:$D$494, 2, FALSE)</f>
        <v>명V20</v>
      </c>
      <c r="J1005" s="28" t="s">
        <v>718</v>
      </c>
      <c r="K1005" s="29" t="s">
        <v>986</v>
      </c>
      <c r="L1005" s="55" t="s">
        <v>571</v>
      </c>
      <c r="M1005" s="29" t="s">
        <v>727</v>
      </c>
      <c r="N1005" s="32" t="s">
        <v>973</v>
      </c>
      <c r="O1005" s="31"/>
      <c r="P1005" s="31" t="s">
        <v>76</v>
      </c>
      <c r="Q1005" s="28"/>
      <c r="R1005" s="29"/>
      <c r="S1005" s="31"/>
      <c r="T1005" s="31"/>
      <c r="U1005" s="28" t="s">
        <v>75</v>
      </c>
      <c r="V1005" s="28" t="s">
        <v>75</v>
      </c>
      <c r="W1005" s="31"/>
    </row>
    <row r="1006" spans="1:23" s="12" customFormat="1">
      <c r="A1006" s="46" t="s">
        <v>572</v>
      </c>
      <c r="B1006" s="28" t="s">
        <v>2581</v>
      </c>
      <c r="C1006" s="28" t="s">
        <v>2330</v>
      </c>
      <c r="D1006" s="31" t="s">
        <v>2490</v>
      </c>
      <c r="E1006" s="28" t="s">
        <v>1641</v>
      </c>
      <c r="F1006" s="31" t="s">
        <v>1709</v>
      </c>
      <c r="G1006" s="31" t="s">
        <v>1709</v>
      </c>
      <c r="H1006" s="31" t="s">
        <v>1703</v>
      </c>
      <c r="I1006" s="28" t="str">
        <f>VLOOKUP(E1006,표준용어사전!$C$2:$D$494, 2, FALSE)</f>
        <v>명V20</v>
      </c>
      <c r="J1006" s="28" t="s">
        <v>718</v>
      </c>
      <c r="K1006" s="29" t="s">
        <v>986</v>
      </c>
      <c r="L1006" s="55" t="s">
        <v>571</v>
      </c>
      <c r="M1006" s="29" t="s">
        <v>727</v>
      </c>
      <c r="N1006" s="32" t="s">
        <v>973</v>
      </c>
      <c r="O1006" s="28"/>
      <c r="P1006" s="31" t="s">
        <v>2738</v>
      </c>
      <c r="Q1006" s="28"/>
      <c r="R1006" s="29"/>
      <c r="S1006" s="31"/>
      <c r="T1006" s="31"/>
      <c r="U1006" s="28" t="s">
        <v>75</v>
      </c>
      <c r="V1006" s="28" t="s">
        <v>75</v>
      </c>
      <c r="W1006" s="31"/>
    </row>
    <row r="1007" spans="1:23" s="12" customFormat="1">
      <c r="A1007" s="46" t="s">
        <v>572</v>
      </c>
      <c r="B1007" s="28" t="s">
        <v>2581</v>
      </c>
      <c r="C1007" s="28" t="s">
        <v>2330</v>
      </c>
      <c r="D1007" s="31" t="s">
        <v>2490</v>
      </c>
      <c r="E1007" s="28" t="s">
        <v>1657</v>
      </c>
      <c r="F1007" s="31" t="s">
        <v>1704</v>
      </c>
      <c r="G1007" s="31" t="s">
        <v>1704</v>
      </c>
      <c r="H1007" s="31" t="s">
        <v>1703</v>
      </c>
      <c r="I1007" s="28" t="str">
        <f>VLOOKUP(E1007,표준용어사전!$C$2:$D$494, 2, FALSE)</f>
        <v>명V20</v>
      </c>
      <c r="J1007" s="28" t="s">
        <v>718</v>
      </c>
      <c r="K1007" s="29" t="s">
        <v>986</v>
      </c>
      <c r="L1007" s="55" t="s">
        <v>571</v>
      </c>
      <c r="M1007" s="29" t="s">
        <v>727</v>
      </c>
      <c r="N1007" s="32" t="s">
        <v>973</v>
      </c>
      <c r="O1007" s="32" t="s">
        <v>73</v>
      </c>
      <c r="P1007" s="31" t="s">
        <v>76</v>
      </c>
      <c r="Q1007" s="28"/>
      <c r="R1007" s="29"/>
      <c r="S1007" s="31"/>
      <c r="T1007" s="31"/>
      <c r="U1007" s="28" t="s">
        <v>75</v>
      </c>
      <c r="V1007" s="28" t="s">
        <v>75</v>
      </c>
      <c r="W1007" s="31"/>
    </row>
    <row r="1008" spans="1:23" s="12" customFormat="1">
      <c r="A1008" s="46" t="s">
        <v>572</v>
      </c>
      <c r="B1008" s="28" t="s">
        <v>2581</v>
      </c>
      <c r="C1008" s="28" t="s">
        <v>2330</v>
      </c>
      <c r="D1008" s="31" t="s">
        <v>2490</v>
      </c>
      <c r="E1008" s="28" t="s">
        <v>1658</v>
      </c>
      <c r="F1008" s="31" t="s">
        <v>1705</v>
      </c>
      <c r="G1008" s="31" t="s">
        <v>1705</v>
      </c>
      <c r="H1008" s="31" t="s">
        <v>1703</v>
      </c>
      <c r="I1008" s="28" t="str">
        <f>VLOOKUP(E1008,표준용어사전!$C$2:$D$494, 2, FALSE)</f>
        <v>번호I</v>
      </c>
      <c r="J1008" s="28" t="s">
        <v>717</v>
      </c>
      <c r="K1008" s="29" t="s">
        <v>571</v>
      </c>
      <c r="L1008" s="55" t="s">
        <v>571</v>
      </c>
      <c r="M1008" s="29" t="s">
        <v>2591</v>
      </c>
      <c r="N1008" s="32" t="s">
        <v>973</v>
      </c>
      <c r="O1008" s="28"/>
      <c r="P1008" s="31" t="s">
        <v>76</v>
      </c>
      <c r="Q1008" s="28"/>
      <c r="R1008" s="29"/>
      <c r="S1008" s="31"/>
      <c r="T1008" s="31"/>
      <c r="U1008" s="28" t="s">
        <v>75</v>
      </c>
      <c r="V1008" s="28" t="s">
        <v>75</v>
      </c>
      <c r="W1008" s="31"/>
    </row>
    <row r="1009" spans="1:23" s="12" customFormat="1">
      <c r="A1009" s="46" t="s">
        <v>572</v>
      </c>
      <c r="B1009" s="28" t="s">
        <v>2581</v>
      </c>
      <c r="C1009" s="28" t="s">
        <v>2330</v>
      </c>
      <c r="D1009" s="31" t="s">
        <v>2490</v>
      </c>
      <c r="E1009" s="28" t="s">
        <v>1660</v>
      </c>
      <c r="F1009" s="31" t="s">
        <v>1706</v>
      </c>
      <c r="G1009" s="31" t="s">
        <v>1706</v>
      </c>
      <c r="H1009" s="31" t="s">
        <v>1703</v>
      </c>
      <c r="I1009" s="28" t="str">
        <f>VLOOKUP(E1009,표준용어사전!$C$2:$D$494, 2, FALSE)</f>
        <v>내용V1000</v>
      </c>
      <c r="J1009" s="28" t="s">
        <v>718</v>
      </c>
      <c r="K1009" s="29">
        <v>1000</v>
      </c>
      <c r="L1009" s="55" t="s">
        <v>571</v>
      </c>
      <c r="M1009" s="29" t="s">
        <v>2594</v>
      </c>
      <c r="N1009" s="32" t="s">
        <v>973</v>
      </c>
      <c r="O1009" s="31"/>
      <c r="P1009" s="31" t="s">
        <v>76</v>
      </c>
      <c r="Q1009" s="28"/>
      <c r="R1009" s="29"/>
      <c r="S1009" s="31"/>
      <c r="T1009" s="31"/>
      <c r="U1009" s="28" t="s">
        <v>75</v>
      </c>
      <c r="V1009" s="28" t="s">
        <v>75</v>
      </c>
      <c r="W1009" s="31"/>
    </row>
    <row r="1010" spans="1:23" s="12" customFormat="1">
      <c r="A1010" s="46" t="s">
        <v>572</v>
      </c>
      <c r="B1010" s="28" t="s">
        <v>2581</v>
      </c>
      <c r="C1010" s="28" t="s">
        <v>2330</v>
      </c>
      <c r="D1010" s="31" t="s">
        <v>2490</v>
      </c>
      <c r="E1010" s="28" t="s">
        <v>90</v>
      </c>
      <c r="F1010" s="31" t="s">
        <v>14</v>
      </c>
      <c r="G1010" s="31" t="s">
        <v>14</v>
      </c>
      <c r="H1010" s="31" t="s">
        <v>1703</v>
      </c>
      <c r="I1010" s="28" t="str">
        <f>VLOOKUP(E1010,표준용어사전!$C$2:$D$494, 2, FALSE)</f>
        <v>연월일시분초TS</v>
      </c>
      <c r="J1010" s="28" t="s">
        <v>719</v>
      </c>
      <c r="K1010" s="29" t="s">
        <v>571</v>
      </c>
      <c r="L1010" s="55" t="s">
        <v>571</v>
      </c>
      <c r="M1010" s="29" t="s">
        <v>726</v>
      </c>
      <c r="N1010" s="32" t="s">
        <v>973</v>
      </c>
      <c r="O1010" s="31"/>
      <c r="P1010" s="31" t="s">
        <v>76</v>
      </c>
      <c r="Q1010" s="28"/>
      <c r="R1010" s="29"/>
      <c r="S1010" s="31"/>
      <c r="T1010" s="31"/>
      <c r="U1010" s="28" t="s">
        <v>75</v>
      </c>
      <c r="V1010" s="28" t="s">
        <v>75</v>
      </c>
      <c r="W1010" s="31"/>
    </row>
    <row r="1011" spans="1:23" s="12" customFormat="1">
      <c r="A1011" s="46" t="s">
        <v>572</v>
      </c>
      <c r="B1011" s="28" t="s">
        <v>2581</v>
      </c>
      <c r="C1011" s="28" t="s">
        <v>2330</v>
      </c>
      <c r="D1011" s="31" t="s">
        <v>2490</v>
      </c>
      <c r="E1011" s="28" t="s">
        <v>91</v>
      </c>
      <c r="F1011" s="31" t="s">
        <v>369</v>
      </c>
      <c r="G1011" s="31" t="s">
        <v>369</v>
      </c>
      <c r="H1011" s="31" t="s">
        <v>1703</v>
      </c>
      <c r="I1011" s="28" t="str">
        <f>VLOOKUP(E1011,표준용어사전!$C$2:$D$494, 2, FALSE)</f>
        <v>명V20</v>
      </c>
      <c r="J1011" s="28" t="s">
        <v>718</v>
      </c>
      <c r="K1011" s="29" t="s">
        <v>986</v>
      </c>
      <c r="L1011" s="55" t="s">
        <v>571</v>
      </c>
      <c r="M1011" s="29" t="s">
        <v>727</v>
      </c>
      <c r="N1011" s="32" t="s">
        <v>973</v>
      </c>
      <c r="O1011" s="31"/>
      <c r="P1011" s="31" t="s">
        <v>76</v>
      </c>
      <c r="Q1011" s="28"/>
      <c r="R1011" s="29"/>
      <c r="S1011" s="31"/>
      <c r="T1011" s="31"/>
      <c r="U1011" s="28" t="s">
        <v>75</v>
      </c>
      <c r="V1011" s="28" t="s">
        <v>75</v>
      </c>
      <c r="W1011" s="31"/>
    </row>
    <row r="1012" spans="1:23" s="12" customFormat="1">
      <c r="A1012" s="46" t="s">
        <v>572</v>
      </c>
      <c r="B1012" s="28" t="s">
        <v>2581</v>
      </c>
      <c r="C1012" s="28" t="s">
        <v>2330</v>
      </c>
      <c r="D1012" s="31" t="s">
        <v>2490</v>
      </c>
      <c r="E1012" s="28" t="s">
        <v>92</v>
      </c>
      <c r="F1012" s="31" t="s">
        <v>15</v>
      </c>
      <c r="G1012" s="31" t="s">
        <v>15</v>
      </c>
      <c r="H1012" s="31" t="s">
        <v>1703</v>
      </c>
      <c r="I1012" s="28" t="str">
        <f>VLOOKUP(E1012,표준용어사전!$C$2:$D$494, 2, FALSE)</f>
        <v>연월일시분초TS</v>
      </c>
      <c r="J1012" s="28" t="s">
        <v>719</v>
      </c>
      <c r="K1012" s="29" t="s">
        <v>571</v>
      </c>
      <c r="L1012" s="55" t="s">
        <v>571</v>
      </c>
      <c r="M1012" s="29" t="s">
        <v>726</v>
      </c>
      <c r="N1012" s="32" t="s">
        <v>75</v>
      </c>
      <c r="O1012" s="31"/>
      <c r="P1012" s="31" t="s">
        <v>76</v>
      </c>
      <c r="Q1012" s="28"/>
      <c r="R1012" s="29"/>
      <c r="S1012" s="31"/>
      <c r="T1012" s="31"/>
      <c r="U1012" s="28" t="s">
        <v>75</v>
      </c>
      <c r="V1012" s="28" t="s">
        <v>75</v>
      </c>
      <c r="W1012" s="31"/>
    </row>
    <row r="1013" spans="1:23" s="12" customFormat="1">
      <c r="A1013" s="46" t="s">
        <v>572</v>
      </c>
      <c r="B1013" s="28" t="s">
        <v>2581</v>
      </c>
      <c r="C1013" s="28" t="s">
        <v>2330</v>
      </c>
      <c r="D1013" s="31" t="s">
        <v>2490</v>
      </c>
      <c r="E1013" s="28" t="s">
        <v>93</v>
      </c>
      <c r="F1013" s="31" t="s">
        <v>370</v>
      </c>
      <c r="G1013" s="31" t="s">
        <v>370</v>
      </c>
      <c r="H1013" s="31" t="s">
        <v>1703</v>
      </c>
      <c r="I1013" s="28" t="str">
        <f>VLOOKUP(E1013,표준용어사전!$C$2:$D$494, 2, FALSE)</f>
        <v>명V20</v>
      </c>
      <c r="J1013" s="28" t="s">
        <v>718</v>
      </c>
      <c r="K1013" s="29" t="s">
        <v>986</v>
      </c>
      <c r="L1013" s="55" t="s">
        <v>571</v>
      </c>
      <c r="M1013" s="29" t="s">
        <v>727</v>
      </c>
      <c r="N1013" s="32" t="s">
        <v>75</v>
      </c>
      <c r="O1013" s="31"/>
      <c r="P1013" s="31" t="s">
        <v>76</v>
      </c>
      <c r="Q1013" s="28"/>
      <c r="R1013" s="29"/>
      <c r="S1013" s="31"/>
      <c r="T1013" s="31"/>
      <c r="U1013" s="28" t="s">
        <v>75</v>
      </c>
      <c r="V1013" s="28" t="s">
        <v>75</v>
      </c>
      <c r="W1013" s="31"/>
    </row>
    <row r="1014" spans="1:23" s="12" customFormat="1">
      <c r="A1014" s="46" t="s">
        <v>572</v>
      </c>
      <c r="B1014" s="28" t="s">
        <v>2581</v>
      </c>
      <c r="C1014" s="28" t="s">
        <v>2330</v>
      </c>
      <c r="D1014" s="31" t="s">
        <v>2491</v>
      </c>
      <c r="E1014" s="28" t="s">
        <v>1641</v>
      </c>
      <c r="F1014" s="31" t="s">
        <v>1709</v>
      </c>
      <c r="G1014" s="31" t="s">
        <v>1709</v>
      </c>
      <c r="H1014" s="31" t="s">
        <v>2389</v>
      </c>
      <c r="I1014" s="28" t="str">
        <f>VLOOKUP(E1014,표준용어사전!$C$2:$D$494, 2, FALSE)</f>
        <v>명V20</v>
      </c>
      <c r="J1014" s="28" t="s">
        <v>718</v>
      </c>
      <c r="K1014" s="29" t="s">
        <v>986</v>
      </c>
      <c r="L1014" s="55" t="s">
        <v>571</v>
      </c>
      <c r="M1014" s="29" t="s">
        <v>727</v>
      </c>
      <c r="N1014" s="32" t="s">
        <v>973</v>
      </c>
      <c r="O1014" s="31" t="s">
        <v>73</v>
      </c>
      <c r="P1014" s="31" t="s">
        <v>2738</v>
      </c>
      <c r="Q1014" s="28"/>
      <c r="R1014" s="29"/>
      <c r="S1014" s="31"/>
      <c r="T1014" s="31"/>
      <c r="U1014" s="28" t="s">
        <v>75</v>
      </c>
      <c r="V1014" s="28" t="s">
        <v>75</v>
      </c>
      <c r="W1014" s="31"/>
    </row>
    <row r="1015" spans="1:23" s="12" customFormat="1">
      <c r="A1015" s="46" t="s">
        <v>572</v>
      </c>
      <c r="B1015" s="28" t="s">
        <v>2581</v>
      </c>
      <c r="C1015" s="28" t="s">
        <v>2330</v>
      </c>
      <c r="D1015" s="31" t="s">
        <v>2491</v>
      </c>
      <c r="E1015" s="28" t="s">
        <v>1221</v>
      </c>
      <c r="F1015" s="31" t="s">
        <v>1707</v>
      </c>
      <c r="G1015" s="31" t="s">
        <v>1707</v>
      </c>
      <c r="H1015" s="31" t="s">
        <v>2389</v>
      </c>
      <c r="I1015" s="28" t="str">
        <f>VLOOKUP(E1015,표준용어사전!$C$2:$D$494, 2, FALSE)</f>
        <v>명V20</v>
      </c>
      <c r="J1015" s="28" t="s">
        <v>718</v>
      </c>
      <c r="K1015" s="29" t="s">
        <v>986</v>
      </c>
      <c r="L1015" s="55" t="s">
        <v>571</v>
      </c>
      <c r="M1015" s="29" t="s">
        <v>727</v>
      </c>
      <c r="N1015" s="32" t="s">
        <v>973</v>
      </c>
      <c r="O1015" s="31" t="s">
        <v>74</v>
      </c>
      <c r="P1015" s="31" t="s">
        <v>76</v>
      </c>
      <c r="Q1015" s="28"/>
      <c r="R1015" s="29"/>
      <c r="S1015" s="31"/>
      <c r="T1015" s="28"/>
      <c r="U1015" s="28" t="s">
        <v>75</v>
      </c>
      <c r="V1015" s="28" t="s">
        <v>75</v>
      </c>
      <c r="W1015" s="31"/>
    </row>
    <row r="1016" spans="1:23" s="12" customFormat="1">
      <c r="A1016" s="46" t="s">
        <v>572</v>
      </c>
      <c r="B1016" s="28" t="s">
        <v>2581</v>
      </c>
      <c r="C1016" s="28" t="s">
        <v>2330</v>
      </c>
      <c r="D1016" s="31" t="s">
        <v>2491</v>
      </c>
      <c r="E1016" s="28" t="s">
        <v>90</v>
      </c>
      <c r="F1016" s="31" t="s">
        <v>14</v>
      </c>
      <c r="G1016" s="31" t="s">
        <v>14</v>
      </c>
      <c r="H1016" s="31" t="s">
        <v>2389</v>
      </c>
      <c r="I1016" s="28" t="str">
        <f>VLOOKUP(E1016,표준용어사전!$C$2:$D$494, 2, FALSE)</f>
        <v>연월일시분초TS</v>
      </c>
      <c r="J1016" s="28" t="s">
        <v>719</v>
      </c>
      <c r="K1016" s="29" t="s">
        <v>571</v>
      </c>
      <c r="L1016" s="55" t="s">
        <v>571</v>
      </c>
      <c r="M1016" s="29" t="s">
        <v>726</v>
      </c>
      <c r="N1016" s="32" t="s">
        <v>973</v>
      </c>
      <c r="O1016" s="28"/>
      <c r="P1016" s="31" t="s">
        <v>76</v>
      </c>
      <c r="Q1016" s="28"/>
      <c r="R1016" s="29"/>
      <c r="S1016" s="31"/>
      <c r="T1016" s="31"/>
      <c r="U1016" s="28" t="s">
        <v>75</v>
      </c>
      <c r="V1016" s="28" t="s">
        <v>75</v>
      </c>
      <c r="W1016" s="31"/>
    </row>
    <row r="1017" spans="1:23" s="12" customFormat="1">
      <c r="A1017" s="46" t="s">
        <v>572</v>
      </c>
      <c r="B1017" s="28" t="s">
        <v>2581</v>
      </c>
      <c r="C1017" s="28" t="s">
        <v>2330</v>
      </c>
      <c r="D1017" s="31" t="s">
        <v>2492</v>
      </c>
      <c r="E1017" s="28" t="s">
        <v>1641</v>
      </c>
      <c r="F1017" s="31" t="s">
        <v>1709</v>
      </c>
      <c r="G1017" s="31" t="s">
        <v>1709</v>
      </c>
      <c r="H1017" s="31" t="s">
        <v>2390</v>
      </c>
      <c r="I1017" s="28" t="str">
        <f>VLOOKUP(E1017,표준용어사전!$C$2:$D$494, 2, FALSE)</f>
        <v>명V20</v>
      </c>
      <c r="J1017" s="28" t="s">
        <v>718</v>
      </c>
      <c r="K1017" s="29" t="s">
        <v>986</v>
      </c>
      <c r="L1017" s="55" t="s">
        <v>571</v>
      </c>
      <c r="M1017" s="29" t="s">
        <v>727</v>
      </c>
      <c r="N1017" s="32" t="s">
        <v>973</v>
      </c>
      <c r="O1017" s="31" t="s">
        <v>73</v>
      </c>
      <c r="P1017" s="31" t="s">
        <v>76</v>
      </c>
      <c r="Q1017" s="28"/>
      <c r="R1017" s="29"/>
      <c r="S1017" s="31"/>
      <c r="T1017" s="31"/>
      <c r="U1017" s="28" t="s">
        <v>75</v>
      </c>
      <c r="V1017" s="28" t="s">
        <v>75</v>
      </c>
      <c r="W1017" s="31"/>
    </row>
    <row r="1018" spans="1:23" s="12" customFormat="1">
      <c r="A1018" s="46" t="s">
        <v>572</v>
      </c>
      <c r="B1018" s="28" t="s">
        <v>2581</v>
      </c>
      <c r="C1018" s="28" t="s">
        <v>2330</v>
      </c>
      <c r="D1018" s="31" t="s">
        <v>2492</v>
      </c>
      <c r="E1018" s="28" t="s">
        <v>1644</v>
      </c>
      <c r="F1018" s="31" t="s">
        <v>1710</v>
      </c>
      <c r="G1018" s="31" t="s">
        <v>1710</v>
      </c>
      <c r="H1018" s="31" t="s">
        <v>2390</v>
      </c>
      <c r="I1018" s="28" t="str">
        <f>VLOOKUP(E1018,표준용어사전!$C$2:$D$494, 2, FALSE)</f>
        <v>명V256</v>
      </c>
      <c r="J1018" s="28" t="s">
        <v>718</v>
      </c>
      <c r="K1018" s="29">
        <v>256</v>
      </c>
      <c r="L1018" s="55" t="s">
        <v>571</v>
      </c>
      <c r="M1018" s="29" t="s">
        <v>730</v>
      </c>
      <c r="N1018" s="32" t="s">
        <v>973</v>
      </c>
      <c r="O1018" s="31"/>
      <c r="P1018" s="31" t="s">
        <v>76</v>
      </c>
      <c r="Q1018" s="28"/>
      <c r="R1018" s="29"/>
      <c r="S1018" s="31"/>
      <c r="T1018" s="31"/>
      <c r="U1018" s="28" t="s">
        <v>75</v>
      </c>
      <c r="V1018" s="28" t="s">
        <v>75</v>
      </c>
      <c r="W1018" s="31"/>
    </row>
    <row r="1019" spans="1:23" s="12" customFormat="1">
      <c r="A1019" s="46" t="s">
        <v>572</v>
      </c>
      <c r="B1019" s="28" t="s">
        <v>2581</v>
      </c>
      <c r="C1019" s="28" t="s">
        <v>2330</v>
      </c>
      <c r="D1019" s="31" t="s">
        <v>2492</v>
      </c>
      <c r="E1019" s="28" t="s">
        <v>1646</v>
      </c>
      <c r="F1019" s="31" t="s">
        <v>1711</v>
      </c>
      <c r="G1019" s="31" t="s">
        <v>1711</v>
      </c>
      <c r="H1019" s="31" t="s">
        <v>2390</v>
      </c>
      <c r="I1019" s="28" t="str">
        <f>VLOOKUP(E1019,표준용어사전!$C$2:$D$494, 2, FALSE)</f>
        <v>내용V2000</v>
      </c>
      <c r="J1019" s="28" t="s">
        <v>718</v>
      </c>
      <c r="K1019" s="29">
        <v>2000</v>
      </c>
      <c r="L1019" s="55" t="s">
        <v>571</v>
      </c>
      <c r="M1019" s="29" t="s">
        <v>728</v>
      </c>
      <c r="N1019" s="32" t="s">
        <v>75</v>
      </c>
      <c r="O1019" s="31"/>
      <c r="P1019" s="31" t="s">
        <v>76</v>
      </c>
      <c r="Q1019" s="28"/>
      <c r="R1019" s="29"/>
      <c r="S1019" s="31"/>
      <c r="T1019" s="31"/>
      <c r="U1019" s="28" t="s">
        <v>75</v>
      </c>
      <c r="V1019" s="28" t="s">
        <v>75</v>
      </c>
      <c r="W1019" s="31"/>
    </row>
    <row r="1020" spans="1:23" s="12" customFormat="1">
      <c r="A1020" s="46" t="s">
        <v>572</v>
      </c>
      <c r="B1020" s="28" t="s">
        <v>2581</v>
      </c>
      <c r="C1020" s="28" t="s">
        <v>2330</v>
      </c>
      <c r="D1020" s="31" t="s">
        <v>2492</v>
      </c>
      <c r="E1020" s="28" t="s">
        <v>1648</v>
      </c>
      <c r="F1020" s="31" t="s">
        <v>1712</v>
      </c>
      <c r="G1020" s="31" t="s">
        <v>1712</v>
      </c>
      <c r="H1020" s="31" t="s">
        <v>2390</v>
      </c>
      <c r="I1020" s="28" t="str">
        <f>VLOOKUP(E1020,표준용어사전!$C$2:$D$494, 2, FALSE)</f>
        <v>연월일D</v>
      </c>
      <c r="J1020" s="28" t="s">
        <v>1349</v>
      </c>
      <c r="K1020" s="29" t="s">
        <v>571</v>
      </c>
      <c r="L1020" s="55" t="s">
        <v>571</v>
      </c>
      <c r="M1020" s="29" t="s">
        <v>731</v>
      </c>
      <c r="N1020" s="32" t="s">
        <v>973</v>
      </c>
      <c r="O1020" s="31"/>
      <c r="P1020" s="31" t="s">
        <v>76</v>
      </c>
      <c r="Q1020" s="28"/>
      <c r="R1020" s="29"/>
      <c r="S1020" s="31"/>
      <c r="T1020" s="31"/>
      <c r="U1020" s="28" t="s">
        <v>75</v>
      </c>
      <c r="V1020" s="28" t="s">
        <v>75</v>
      </c>
      <c r="W1020" s="31"/>
    </row>
    <row r="1021" spans="1:23" s="12" customFormat="1">
      <c r="A1021" s="46" t="s">
        <v>572</v>
      </c>
      <c r="B1021" s="28" t="s">
        <v>2581</v>
      </c>
      <c r="C1021" s="28" t="s">
        <v>2330</v>
      </c>
      <c r="D1021" s="31" t="s">
        <v>2492</v>
      </c>
      <c r="E1021" s="28" t="s">
        <v>1650</v>
      </c>
      <c r="F1021" s="31" t="s">
        <v>1713</v>
      </c>
      <c r="G1021" s="31" t="s">
        <v>1713</v>
      </c>
      <c r="H1021" s="31" t="s">
        <v>2390</v>
      </c>
      <c r="I1021" s="28" t="str">
        <f>VLOOKUP(E1021,표준용어사전!$C$2:$D$494, 2, FALSE)</f>
        <v>연월일D</v>
      </c>
      <c r="J1021" s="28" t="s">
        <v>1349</v>
      </c>
      <c r="K1021" s="29" t="s">
        <v>571</v>
      </c>
      <c r="L1021" s="55" t="s">
        <v>571</v>
      </c>
      <c r="M1021" s="29" t="s">
        <v>731</v>
      </c>
      <c r="N1021" s="32" t="s">
        <v>973</v>
      </c>
      <c r="O1021" s="31"/>
      <c r="P1021" s="31" t="s">
        <v>76</v>
      </c>
      <c r="Q1021" s="28"/>
      <c r="R1021" s="29"/>
      <c r="S1021" s="31"/>
      <c r="T1021" s="31"/>
      <c r="U1021" s="28" t="s">
        <v>75</v>
      </c>
      <c r="V1021" s="28" t="s">
        <v>75</v>
      </c>
      <c r="W1021" s="31"/>
    </row>
    <row r="1022" spans="1:23" s="12" customFormat="1">
      <c r="A1022" s="46" t="s">
        <v>572</v>
      </c>
      <c r="B1022" s="28" t="s">
        <v>2581</v>
      </c>
      <c r="C1022" s="28" t="s">
        <v>2330</v>
      </c>
      <c r="D1022" s="31" t="s">
        <v>2492</v>
      </c>
      <c r="E1022" s="28" t="s">
        <v>90</v>
      </c>
      <c r="F1022" s="31" t="s">
        <v>14</v>
      </c>
      <c r="G1022" s="31" t="s">
        <v>14</v>
      </c>
      <c r="H1022" s="31" t="s">
        <v>2390</v>
      </c>
      <c r="I1022" s="28" t="str">
        <f>VLOOKUP(E1022,표준용어사전!$C$2:$D$494, 2, FALSE)</f>
        <v>연월일시분초TS</v>
      </c>
      <c r="J1022" s="28" t="s">
        <v>719</v>
      </c>
      <c r="K1022" s="29" t="s">
        <v>571</v>
      </c>
      <c r="L1022" s="55" t="s">
        <v>571</v>
      </c>
      <c r="M1022" s="29" t="s">
        <v>726</v>
      </c>
      <c r="N1022" s="32" t="s">
        <v>973</v>
      </c>
      <c r="O1022" s="31"/>
      <c r="P1022" s="31" t="s">
        <v>76</v>
      </c>
      <c r="Q1022" s="28"/>
      <c r="R1022" s="29"/>
      <c r="S1022" s="31"/>
      <c r="T1022" s="31"/>
      <c r="U1022" s="28" t="s">
        <v>75</v>
      </c>
      <c r="V1022" s="28" t="s">
        <v>75</v>
      </c>
      <c r="W1022" s="31"/>
    </row>
    <row r="1023" spans="1:23" s="12" customFormat="1">
      <c r="A1023" s="46" t="s">
        <v>572</v>
      </c>
      <c r="B1023" s="28" t="s">
        <v>2581</v>
      </c>
      <c r="C1023" s="28" t="s">
        <v>2330</v>
      </c>
      <c r="D1023" s="31" t="s">
        <v>2492</v>
      </c>
      <c r="E1023" s="28" t="s">
        <v>91</v>
      </c>
      <c r="F1023" s="31" t="s">
        <v>369</v>
      </c>
      <c r="G1023" s="31" t="s">
        <v>369</v>
      </c>
      <c r="H1023" s="31" t="s">
        <v>2390</v>
      </c>
      <c r="I1023" s="28" t="str">
        <f>VLOOKUP(E1023,표준용어사전!$C$2:$D$494, 2, FALSE)</f>
        <v>명V20</v>
      </c>
      <c r="J1023" s="28" t="s">
        <v>718</v>
      </c>
      <c r="K1023" s="29" t="s">
        <v>986</v>
      </c>
      <c r="L1023" s="55" t="s">
        <v>571</v>
      </c>
      <c r="M1023" s="29" t="s">
        <v>727</v>
      </c>
      <c r="N1023" s="32" t="s">
        <v>973</v>
      </c>
      <c r="O1023" s="31"/>
      <c r="P1023" s="31" t="s">
        <v>76</v>
      </c>
      <c r="Q1023" s="28"/>
      <c r="R1023" s="29"/>
      <c r="S1023" s="31"/>
      <c r="T1023" s="31"/>
      <c r="U1023" s="28" t="s">
        <v>75</v>
      </c>
      <c r="V1023" s="28" t="s">
        <v>75</v>
      </c>
      <c r="W1023" s="31"/>
    </row>
    <row r="1024" spans="1:23" s="12" customFormat="1">
      <c r="A1024" s="46" t="s">
        <v>572</v>
      </c>
      <c r="B1024" s="28" t="s">
        <v>2581</v>
      </c>
      <c r="C1024" s="28" t="s">
        <v>2330</v>
      </c>
      <c r="D1024" s="31" t="s">
        <v>2492</v>
      </c>
      <c r="E1024" s="28" t="s">
        <v>92</v>
      </c>
      <c r="F1024" s="31" t="s">
        <v>15</v>
      </c>
      <c r="G1024" s="31" t="s">
        <v>15</v>
      </c>
      <c r="H1024" s="31" t="s">
        <v>2390</v>
      </c>
      <c r="I1024" s="28" t="str">
        <f>VLOOKUP(E1024,표준용어사전!$C$2:$D$494, 2, FALSE)</f>
        <v>연월일시분초TS</v>
      </c>
      <c r="J1024" s="28" t="s">
        <v>719</v>
      </c>
      <c r="K1024" s="29" t="s">
        <v>571</v>
      </c>
      <c r="L1024" s="55" t="s">
        <v>571</v>
      </c>
      <c r="M1024" s="29" t="s">
        <v>726</v>
      </c>
      <c r="N1024" s="32" t="s">
        <v>75</v>
      </c>
      <c r="O1024" s="31"/>
      <c r="P1024" s="31" t="s">
        <v>76</v>
      </c>
      <c r="Q1024" s="28"/>
      <c r="R1024" s="29"/>
      <c r="S1024" s="31"/>
      <c r="T1024" s="31"/>
      <c r="U1024" s="28" t="s">
        <v>75</v>
      </c>
      <c r="V1024" s="28" t="s">
        <v>75</v>
      </c>
      <c r="W1024" s="31"/>
    </row>
    <row r="1025" spans="1:23" s="12" customFormat="1">
      <c r="A1025" s="46" t="s">
        <v>572</v>
      </c>
      <c r="B1025" s="28" t="s">
        <v>2581</v>
      </c>
      <c r="C1025" s="28" t="s">
        <v>2330</v>
      </c>
      <c r="D1025" s="31" t="s">
        <v>2492</v>
      </c>
      <c r="E1025" s="28" t="s">
        <v>93</v>
      </c>
      <c r="F1025" s="31" t="s">
        <v>370</v>
      </c>
      <c r="G1025" s="31" t="s">
        <v>370</v>
      </c>
      <c r="H1025" s="31" t="s">
        <v>2390</v>
      </c>
      <c r="I1025" s="28" t="str">
        <f>VLOOKUP(E1025,표준용어사전!$C$2:$D$494, 2, FALSE)</f>
        <v>명V20</v>
      </c>
      <c r="J1025" s="28" t="s">
        <v>718</v>
      </c>
      <c r="K1025" s="29" t="s">
        <v>986</v>
      </c>
      <c r="L1025" s="55" t="s">
        <v>571</v>
      </c>
      <c r="M1025" s="29" t="s">
        <v>727</v>
      </c>
      <c r="N1025" s="32" t="s">
        <v>75</v>
      </c>
      <c r="O1025" s="31"/>
      <c r="P1025" s="31" t="s">
        <v>76</v>
      </c>
      <c r="Q1025" s="28"/>
      <c r="R1025" s="29"/>
      <c r="S1025" s="31"/>
      <c r="T1025" s="31"/>
      <c r="U1025" s="28" t="s">
        <v>75</v>
      </c>
      <c r="V1025" s="28" t="s">
        <v>75</v>
      </c>
      <c r="W1025" s="31"/>
    </row>
    <row r="1026" spans="1:23" s="12" customFormat="1">
      <c r="A1026" s="46" t="s">
        <v>572</v>
      </c>
      <c r="B1026" s="28" t="s">
        <v>2581</v>
      </c>
      <c r="C1026" s="28" t="s">
        <v>2330</v>
      </c>
      <c r="D1026" s="31" t="s">
        <v>2492</v>
      </c>
      <c r="E1026" s="28" t="s">
        <v>1654</v>
      </c>
      <c r="F1026" s="31" t="s">
        <v>1714</v>
      </c>
      <c r="G1026" s="31" t="s">
        <v>1714</v>
      </c>
      <c r="H1026" s="31" t="s">
        <v>2390</v>
      </c>
      <c r="I1026" s="28" t="str">
        <f>VLOOKUP(E1026,표준용어사전!$C$2:$D$494, 2, FALSE)</f>
        <v>여부C1</v>
      </c>
      <c r="J1026" s="28" t="s">
        <v>709</v>
      </c>
      <c r="K1026" s="29">
        <v>1</v>
      </c>
      <c r="L1026" s="55" t="s">
        <v>571</v>
      </c>
      <c r="M1026" s="29" t="s">
        <v>722</v>
      </c>
      <c r="N1026" s="32" t="s">
        <v>973</v>
      </c>
      <c r="O1026" s="31"/>
      <c r="P1026" s="31" t="s">
        <v>76</v>
      </c>
      <c r="Q1026" s="28"/>
      <c r="R1026" s="29"/>
      <c r="S1026" s="31"/>
      <c r="T1026" s="31"/>
      <c r="U1026" s="28" t="s">
        <v>75</v>
      </c>
      <c r="V1026" s="28" t="s">
        <v>75</v>
      </c>
      <c r="W1026" s="31"/>
    </row>
    <row r="1027" spans="1:23" s="12" customFormat="1">
      <c r="A1027" s="46" t="s">
        <v>572</v>
      </c>
      <c r="B1027" s="28" t="s">
        <v>2581</v>
      </c>
      <c r="C1027" s="28" t="s">
        <v>2330</v>
      </c>
      <c r="D1027" s="31" t="s">
        <v>2493</v>
      </c>
      <c r="E1027" s="28" t="s">
        <v>1657</v>
      </c>
      <c r="F1027" s="31" t="s">
        <v>1704</v>
      </c>
      <c r="G1027" s="31" t="s">
        <v>1704</v>
      </c>
      <c r="H1027" s="31" t="s">
        <v>2391</v>
      </c>
      <c r="I1027" s="28" t="str">
        <f>VLOOKUP(E1027,표준용어사전!$C$2:$D$494, 2, FALSE)</f>
        <v>명V20</v>
      </c>
      <c r="J1027" s="28" t="s">
        <v>718</v>
      </c>
      <c r="K1027" s="29" t="s">
        <v>986</v>
      </c>
      <c r="L1027" s="55" t="s">
        <v>571</v>
      </c>
      <c r="M1027" s="29" t="s">
        <v>727</v>
      </c>
      <c r="N1027" s="32" t="s">
        <v>973</v>
      </c>
      <c r="O1027" s="31"/>
      <c r="P1027" s="31" t="s">
        <v>2597</v>
      </c>
      <c r="Q1027" s="28"/>
      <c r="R1027" s="29"/>
      <c r="S1027" s="31"/>
      <c r="T1027" s="31"/>
      <c r="U1027" s="28" t="s">
        <v>75</v>
      </c>
      <c r="V1027" s="28" t="s">
        <v>75</v>
      </c>
      <c r="W1027" s="31"/>
    </row>
    <row r="1028" spans="1:23" s="12" customFormat="1">
      <c r="A1028" s="46" t="s">
        <v>572</v>
      </c>
      <c r="B1028" s="28" t="s">
        <v>2581</v>
      </c>
      <c r="C1028" s="28" t="s">
        <v>2330</v>
      </c>
      <c r="D1028" s="31" t="s">
        <v>2493</v>
      </c>
      <c r="E1028" s="28" t="s">
        <v>1664</v>
      </c>
      <c r="F1028" s="31" t="s">
        <v>1715</v>
      </c>
      <c r="G1028" s="31" t="s">
        <v>1715</v>
      </c>
      <c r="H1028" s="31" t="s">
        <v>2391</v>
      </c>
      <c r="I1028" s="28" t="str">
        <f>VLOOKUP(E1028,표준용어사전!$C$2:$D$494, 2, FALSE)</f>
        <v>명V20</v>
      </c>
      <c r="J1028" s="28" t="s">
        <v>718</v>
      </c>
      <c r="K1028" s="29" t="s">
        <v>986</v>
      </c>
      <c r="L1028" s="55" t="s">
        <v>571</v>
      </c>
      <c r="M1028" s="29" t="s">
        <v>727</v>
      </c>
      <c r="N1028" s="32" t="s">
        <v>973</v>
      </c>
      <c r="O1028" s="31" t="s">
        <v>73</v>
      </c>
      <c r="P1028" s="31" t="s">
        <v>76</v>
      </c>
      <c r="Q1028" s="28"/>
      <c r="R1028" s="29"/>
      <c r="S1028" s="31"/>
      <c r="T1028" s="31"/>
      <c r="U1028" s="28" t="s">
        <v>75</v>
      </c>
      <c r="V1028" s="28" t="s">
        <v>75</v>
      </c>
      <c r="W1028" s="31"/>
    </row>
    <row r="1029" spans="1:23" s="12" customFormat="1">
      <c r="A1029" s="46" t="s">
        <v>572</v>
      </c>
      <c r="B1029" s="28" t="s">
        <v>2581</v>
      </c>
      <c r="C1029" s="28" t="s">
        <v>2330</v>
      </c>
      <c r="D1029" s="31" t="s">
        <v>2493</v>
      </c>
      <c r="E1029" s="28" t="s">
        <v>2233</v>
      </c>
      <c r="F1029" s="31" t="s">
        <v>2232</v>
      </c>
      <c r="G1029" s="31" t="s">
        <v>2232</v>
      </c>
      <c r="H1029" s="31" t="s">
        <v>2391</v>
      </c>
      <c r="I1029" s="28" t="str">
        <f>VLOOKUP(E1029,표준용어사전!$C$2:$D$494, 2, FALSE)</f>
        <v>코드C1</v>
      </c>
      <c r="J1029" s="28" t="s">
        <v>709</v>
      </c>
      <c r="K1029" s="29">
        <v>1</v>
      </c>
      <c r="L1029" s="55" t="s">
        <v>571</v>
      </c>
      <c r="M1029" s="29" t="s">
        <v>722</v>
      </c>
      <c r="N1029" s="32" t="s">
        <v>973</v>
      </c>
      <c r="O1029" s="31"/>
      <c r="P1029" s="31" t="s">
        <v>76</v>
      </c>
      <c r="Q1029" s="28"/>
      <c r="R1029" s="29"/>
      <c r="S1029" s="31"/>
      <c r="T1029" s="31"/>
      <c r="U1029" s="28" t="s">
        <v>75</v>
      </c>
      <c r="V1029" s="28" t="s">
        <v>75</v>
      </c>
      <c r="W1029" s="31"/>
    </row>
    <row r="1030" spans="1:23" s="12" customFormat="1">
      <c r="A1030" s="46" t="s">
        <v>572</v>
      </c>
      <c r="B1030" s="28" t="s">
        <v>2581</v>
      </c>
      <c r="C1030" s="28" t="s">
        <v>2330</v>
      </c>
      <c r="D1030" s="31" t="s">
        <v>2493</v>
      </c>
      <c r="E1030" s="28" t="s">
        <v>1666</v>
      </c>
      <c r="F1030" s="31" t="s">
        <v>1716</v>
      </c>
      <c r="G1030" s="31" t="s">
        <v>1716</v>
      </c>
      <c r="H1030" s="31" t="s">
        <v>2391</v>
      </c>
      <c r="I1030" s="28" t="str">
        <f>VLOOKUP(E1030,표준용어사전!$C$2:$D$494, 2, FALSE)</f>
        <v>번호I</v>
      </c>
      <c r="J1030" s="28" t="s">
        <v>717</v>
      </c>
      <c r="K1030" s="29" t="s">
        <v>571</v>
      </c>
      <c r="L1030" s="55" t="s">
        <v>571</v>
      </c>
      <c r="M1030" s="29" t="s">
        <v>2591</v>
      </c>
      <c r="N1030" s="32" t="s">
        <v>973</v>
      </c>
      <c r="O1030" s="31"/>
      <c r="P1030" s="31" t="s">
        <v>76</v>
      </c>
      <c r="Q1030" s="28"/>
      <c r="R1030" s="29"/>
      <c r="S1030" s="31"/>
      <c r="T1030" s="28"/>
      <c r="U1030" s="28" t="s">
        <v>75</v>
      </c>
      <c r="V1030" s="28" t="s">
        <v>75</v>
      </c>
      <c r="W1030" s="31"/>
    </row>
    <row r="1031" spans="1:23" s="12" customFormat="1">
      <c r="A1031" s="46" t="s">
        <v>572</v>
      </c>
      <c r="B1031" s="28" t="s">
        <v>2581</v>
      </c>
      <c r="C1031" s="28" t="s">
        <v>2330</v>
      </c>
      <c r="D1031" s="31" t="s">
        <v>2493</v>
      </c>
      <c r="E1031" s="28" t="s">
        <v>1668</v>
      </c>
      <c r="F1031" s="31" t="s">
        <v>1717</v>
      </c>
      <c r="G1031" s="31" t="s">
        <v>1717</v>
      </c>
      <c r="H1031" s="31" t="s">
        <v>2391</v>
      </c>
      <c r="I1031" s="28" t="str">
        <f>VLOOKUP(E1031,표준용어사전!$C$2:$D$494, 2, FALSE)</f>
        <v>내용V1000</v>
      </c>
      <c r="J1031" s="28" t="s">
        <v>718</v>
      </c>
      <c r="K1031" s="29">
        <v>1000</v>
      </c>
      <c r="L1031" s="55" t="s">
        <v>571</v>
      </c>
      <c r="M1031" s="29" t="s">
        <v>2594</v>
      </c>
      <c r="N1031" s="32" t="s">
        <v>973</v>
      </c>
      <c r="O1031" s="31"/>
      <c r="P1031" s="31" t="s">
        <v>76</v>
      </c>
      <c r="Q1031" s="28"/>
      <c r="R1031" s="29"/>
      <c r="S1031" s="31"/>
      <c r="T1031" s="31"/>
      <c r="U1031" s="28" t="s">
        <v>75</v>
      </c>
      <c r="V1031" s="28" t="s">
        <v>75</v>
      </c>
      <c r="W1031" s="31"/>
    </row>
    <row r="1032" spans="1:23" s="12" customFormat="1">
      <c r="A1032" s="46" t="s">
        <v>572</v>
      </c>
      <c r="B1032" s="28" t="s">
        <v>2581</v>
      </c>
      <c r="C1032" s="28" t="s">
        <v>2330</v>
      </c>
      <c r="D1032" s="31" t="s">
        <v>2493</v>
      </c>
      <c r="E1032" s="28" t="s">
        <v>90</v>
      </c>
      <c r="F1032" s="31" t="s">
        <v>14</v>
      </c>
      <c r="G1032" s="31" t="s">
        <v>14</v>
      </c>
      <c r="H1032" s="31" t="s">
        <v>2391</v>
      </c>
      <c r="I1032" s="28" t="str">
        <f>VLOOKUP(E1032,표준용어사전!$C$2:$D$494, 2, FALSE)</f>
        <v>연월일시분초TS</v>
      </c>
      <c r="J1032" s="28" t="s">
        <v>719</v>
      </c>
      <c r="K1032" s="29" t="s">
        <v>571</v>
      </c>
      <c r="L1032" s="55" t="s">
        <v>571</v>
      </c>
      <c r="M1032" s="29" t="s">
        <v>726</v>
      </c>
      <c r="N1032" s="32" t="s">
        <v>973</v>
      </c>
      <c r="O1032" s="31"/>
      <c r="P1032" s="31" t="s">
        <v>76</v>
      </c>
      <c r="Q1032" s="28"/>
      <c r="R1032" s="29"/>
      <c r="S1032" s="31"/>
      <c r="T1032" s="31"/>
      <c r="U1032" s="28" t="s">
        <v>75</v>
      </c>
      <c r="V1032" s="28" t="s">
        <v>75</v>
      </c>
      <c r="W1032" s="28"/>
    </row>
    <row r="1033" spans="1:23" s="12" customFormat="1">
      <c r="A1033" s="46" t="s">
        <v>572</v>
      </c>
      <c r="B1033" s="28" t="s">
        <v>2581</v>
      </c>
      <c r="C1033" s="28" t="s">
        <v>2330</v>
      </c>
      <c r="D1033" s="31" t="s">
        <v>2493</v>
      </c>
      <c r="E1033" s="28" t="s">
        <v>91</v>
      </c>
      <c r="F1033" s="31" t="s">
        <v>369</v>
      </c>
      <c r="G1033" s="31" t="s">
        <v>369</v>
      </c>
      <c r="H1033" s="31" t="s">
        <v>2391</v>
      </c>
      <c r="I1033" s="28" t="str">
        <f>VLOOKUP(E1033,표준용어사전!$C$2:$D$494, 2, FALSE)</f>
        <v>명V20</v>
      </c>
      <c r="J1033" s="28" t="s">
        <v>718</v>
      </c>
      <c r="K1033" s="29" t="s">
        <v>986</v>
      </c>
      <c r="L1033" s="55" t="s">
        <v>571</v>
      </c>
      <c r="M1033" s="29" t="s">
        <v>727</v>
      </c>
      <c r="N1033" s="32" t="s">
        <v>973</v>
      </c>
      <c r="O1033" s="31"/>
      <c r="P1033" s="31" t="s">
        <v>76</v>
      </c>
      <c r="Q1033" s="28"/>
      <c r="R1033" s="29"/>
      <c r="S1033" s="31"/>
      <c r="T1033" s="31"/>
      <c r="U1033" s="28" t="s">
        <v>75</v>
      </c>
      <c r="V1033" s="28" t="s">
        <v>75</v>
      </c>
      <c r="W1033" s="28"/>
    </row>
    <row r="1034" spans="1:23" s="12" customFormat="1">
      <c r="A1034" s="46" t="s">
        <v>572</v>
      </c>
      <c r="B1034" s="28" t="s">
        <v>2581</v>
      </c>
      <c r="C1034" s="28" t="s">
        <v>2330</v>
      </c>
      <c r="D1034" s="31" t="s">
        <v>2493</v>
      </c>
      <c r="E1034" s="28" t="s">
        <v>92</v>
      </c>
      <c r="F1034" s="31" t="s">
        <v>15</v>
      </c>
      <c r="G1034" s="31" t="s">
        <v>15</v>
      </c>
      <c r="H1034" s="31" t="s">
        <v>2391</v>
      </c>
      <c r="I1034" s="28" t="str">
        <f>VLOOKUP(E1034,표준용어사전!$C$2:$D$494, 2, FALSE)</f>
        <v>연월일시분초TS</v>
      </c>
      <c r="J1034" s="28" t="s">
        <v>719</v>
      </c>
      <c r="K1034" s="29" t="s">
        <v>571</v>
      </c>
      <c r="L1034" s="55" t="s">
        <v>571</v>
      </c>
      <c r="M1034" s="29" t="s">
        <v>726</v>
      </c>
      <c r="N1034" s="32" t="s">
        <v>75</v>
      </c>
      <c r="O1034" s="31"/>
      <c r="P1034" s="31" t="s">
        <v>76</v>
      </c>
      <c r="Q1034" s="28"/>
      <c r="R1034" s="29"/>
      <c r="S1034" s="31"/>
      <c r="T1034" s="28"/>
      <c r="U1034" s="28" t="s">
        <v>75</v>
      </c>
      <c r="V1034" s="28" t="s">
        <v>75</v>
      </c>
      <c r="W1034" s="28"/>
    </row>
    <row r="1035" spans="1:23" s="12" customFormat="1">
      <c r="A1035" s="46" t="s">
        <v>572</v>
      </c>
      <c r="B1035" s="28" t="s">
        <v>2581</v>
      </c>
      <c r="C1035" s="28" t="s">
        <v>2330</v>
      </c>
      <c r="D1035" s="31" t="s">
        <v>2493</v>
      </c>
      <c r="E1035" s="28" t="s">
        <v>93</v>
      </c>
      <c r="F1035" s="31" t="s">
        <v>370</v>
      </c>
      <c r="G1035" s="31" t="s">
        <v>370</v>
      </c>
      <c r="H1035" s="31" t="s">
        <v>2391</v>
      </c>
      <c r="I1035" s="28" t="str">
        <f>VLOOKUP(E1035,표준용어사전!$C$2:$D$494, 2, FALSE)</f>
        <v>명V20</v>
      </c>
      <c r="J1035" s="28" t="s">
        <v>718</v>
      </c>
      <c r="K1035" s="29" t="s">
        <v>986</v>
      </c>
      <c r="L1035" s="55" t="s">
        <v>571</v>
      </c>
      <c r="M1035" s="29" t="s">
        <v>727</v>
      </c>
      <c r="N1035" s="32" t="s">
        <v>75</v>
      </c>
      <c r="O1035" s="31"/>
      <c r="P1035" s="31" t="s">
        <v>76</v>
      </c>
      <c r="Q1035" s="28"/>
      <c r="R1035" s="29"/>
      <c r="S1035" s="31"/>
      <c r="T1035" s="31"/>
      <c r="U1035" s="28" t="s">
        <v>75</v>
      </c>
      <c r="V1035" s="28" t="s">
        <v>75</v>
      </c>
      <c r="W1035" s="28"/>
    </row>
    <row r="1036" spans="1:23" s="12" customFormat="1">
      <c r="A1036" s="46" t="s">
        <v>572</v>
      </c>
      <c r="B1036" s="28" t="s">
        <v>2581</v>
      </c>
      <c r="C1036" s="28" t="s">
        <v>2330</v>
      </c>
      <c r="D1036" s="31" t="s">
        <v>2494</v>
      </c>
      <c r="E1036" s="28" t="s">
        <v>1664</v>
      </c>
      <c r="F1036" s="31" t="s">
        <v>1715</v>
      </c>
      <c r="G1036" s="31" t="s">
        <v>1715</v>
      </c>
      <c r="H1036" s="31" t="s">
        <v>2392</v>
      </c>
      <c r="I1036" s="28" t="str">
        <f>VLOOKUP(E1036,표준용어사전!$C$2:$D$494, 2, FALSE)</f>
        <v>명V20</v>
      </c>
      <c r="J1036" s="28" t="s">
        <v>718</v>
      </c>
      <c r="K1036" s="29" t="s">
        <v>986</v>
      </c>
      <c r="L1036" s="55" t="s">
        <v>571</v>
      </c>
      <c r="M1036" s="29" t="s">
        <v>727</v>
      </c>
      <c r="N1036" s="32" t="s">
        <v>973</v>
      </c>
      <c r="O1036" s="31" t="s">
        <v>73</v>
      </c>
      <c r="P1036" s="31" t="s">
        <v>2596</v>
      </c>
      <c r="Q1036" s="28"/>
      <c r="R1036" s="29"/>
      <c r="S1036" s="31"/>
      <c r="T1036" s="31"/>
      <c r="U1036" s="28" t="s">
        <v>75</v>
      </c>
      <c r="V1036" s="28" t="s">
        <v>75</v>
      </c>
      <c r="W1036" s="31"/>
    </row>
    <row r="1037" spans="1:23" s="12" customFormat="1">
      <c r="A1037" s="46" t="s">
        <v>572</v>
      </c>
      <c r="B1037" s="28" t="s">
        <v>2581</v>
      </c>
      <c r="C1037" s="28" t="s">
        <v>2330</v>
      </c>
      <c r="D1037" s="31" t="s">
        <v>2494</v>
      </c>
      <c r="E1037" s="28" t="s">
        <v>1673</v>
      </c>
      <c r="F1037" s="31" t="s">
        <v>1718</v>
      </c>
      <c r="G1037" s="31" t="s">
        <v>1718</v>
      </c>
      <c r="H1037" s="31" t="s">
        <v>2392</v>
      </c>
      <c r="I1037" s="28" t="str">
        <f>VLOOKUP(E1037,표준용어사전!$C$2:$D$494, 2, FALSE)</f>
        <v>번호I</v>
      </c>
      <c r="J1037" s="28" t="s">
        <v>717</v>
      </c>
      <c r="K1037" s="29" t="s">
        <v>571</v>
      </c>
      <c r="L1037" s="55" t="s">
        <v>571</v>
      </c>
      <c r="M1037" s="29" t="s">
        <v>2591</v>
      </c>
      <c r="N1037" s="32" t="s">
        <v>973</v>
      </c>
      <c r="O1037" s="31" t="s">
        <v>74</v>
      </c>
      <c r="P1037" s="31" t="s">
        <v>76</v>
      </c>
      <c r="Q1037" s="28"/>
      <c r="R1037" s="29"/>
      <c r="S1037" s="31"/>
      <c r="T1037" s="31"/>
      <c r="U1037" s="28" t="s">
        <v>75</v>
      </c>
      <c r="V1037" s="28" t="s">
        <v>75</v>
      </c>
      <c r="W1037" s="31"/>
    </row>
    <row r="1038" spans="1:23" s="12" customFormat="1">
      <c r="A1038" s="46" t="s">
        <v>572</v>
      </c>
      <c r="B1038" s="28" t="s">
        <v>2581</v>
      </c>
      <c r="C1038" s="28" t="s">
        <v>2330</v>
      </c>
      <c r="D1038" s="31" t="s">
        <v>2494</v>
      </c>
      <c r="E1038" s="28" t="s">
        <v>1675</v>
      </c>
      <c r="F1038" s="31" t="s">
        <v>1719</v>
      </c>
      <c r="G1038" s="31" t="s">
        <v>1719</v>
      </c>
      <c r="H1038" s="31" t="s">
        <v>2392</v>
      </c>
      <c r="I1038" s="28" t="str">
        <f>VLOOKUP(E1038,표준용어사전!$C$2:$D$494, 2, FALSE)</f>
        <v>내용V1000</v>
      </c>
      <c r="J1038" s="28" t="s">
        <v>718</v>
      </c>
      <c r="K1038" s="29">
        <v>1000</v>
      </c>
      <c r="L1038" s="55" t="s">
        <v>571</v>
      </c>
      <c r="M1038" s="29" t="s">
        <v>2594</v>
      </c>
      <c r="N1038" s="32" t="s">
        <v>973</v>
      </c>
      <c r="O1038" s="31"/>
      <c r="P1038" s="31" t="s">
        <v>76</v>
      </c>
      <c r="Q1038" s="28"/>
      <c r="R1038" s="29"/>
      <c r="S1038" s="31"/>
      <c r="T1038" s="31"/>
      <c r="U1038" s="28" t="s">
        <v>75</v>
      </c>
      <c r="V1038" s="28" t="s">
        <v>75</v>
      </c>
      <c r="W1038" s="31"/>
    </row>
    <row r="1039" spans="1:23" s="12" customFormat="1">
      <c r="A1039" s="46" t="s">
        <v>572</v>
      </c>
      <c r="B1039" s="28" t="s">
        <v>2581</v>
      </c>
      <c r="C1039" s="28" t="s">
        <v>2330</v>
      </c>
      <c r="D1039" s="31" t="s">
        <v>2494</v>
      </c>
      <c r="E1039" s="28" t="s">
        <v>90</v>
      </c>
      <c r="F1039" s="31" t="s">
        <v>14</v>
      </c>
      <c r="G1039" s="31" t="s">
        <v>14</v>
      </c>
      <c r="H1039" s="31" t="s">
        <v>2392</v>
      </c>
      <c r="I1039" s="28" t="str">
        <f>VLOOKUP(E1039,표준용어사전!$C$2:$D$494, 2, FALSE)</f>
        <v>연월일시분초TS</v>
      </c>
      <c r="J1039" s="28" t="s">
        <v>719</v>
      </c>
      <c r="K1039" s="29" t="s">
        <v>571</v>
      </c>
      <c r="L1039" s="55" t="s">
        <v>571</v>
      </c>
      <c r="M1039" s="29" t="s">
        <v>726</v>
      </c>
      <c r="N1039" s="32" t="s">
        <v>973</v>
      </c>
      <c r="O1039" s="31"/>
      <c r="P1039" s="31" t="s">
        <v>76</v>
      </c>
      <c r="Q1039" s="28"/>
      <c r="R1039" s="29"/>
      <c r="S1039" s="31"/>
      <c r="T1039" s="28"/>
      <c r="U1039" s="28" t="s">
        <v>75</v>
      </c>
      <c r="V1039" s="28" t="s">
        <v>75</v>
      </c>
      <c r="W1039" s="31"/>
    </row>
    <row r="1040" spans="1:23" s="12" customFormat="1">
      <c r="A1040" s="46" t="s">
        <v>572</v>
      </c>
      <c r="B1040" s="28" t="s">
        <v>2581</v>
      </c>
      <c r="C1040" s="28" t="s">
        <v>2330</v>
      </c>
      <c r="D1040" s="31" t="s">
        <v>2494</v>
      </c>
      <c r="E1040" s="28" t="s">
        <v>91</v>
      </c>
      <c r="F1040" s="31" t="s">
        <v>369</v>
      </c>
      <c r="G1040" s="31" t="s">
        <v>369</v>
      </c>
      <c r="H1040" s="31" t="s">
        <v>2392</v>
      </c>
      <c r="I1040" s="28" t="str">
        <f>VLOOKUP(E1040,표준용어사전!$C$2:$D$494, 2, FALSE)</f>
        <v>명V20</v>
      </c>
      <c r="J1040" s="28" t="s">
        <v>718</v>
      </c>
      <c r="K1040" s="29" t="s">
        <v>986</v>
      </c>
      <c r="L1040" s="55" t="s">
        <v>571</v>
      </c>
      <c r="M1040" s="29" t="s">
        <v>727</v>
      </c>
      <c r="N1040" s="32" t="s">
        <v>973</v>
      </c>
      <c r="O1040" s="31"/>
      <c r="P1040" s="31" t="s">
        <v>76</v>
      </c>
      <c r="Q1040" s="28"/>
      <c r="R1040" s="29"/>
      <c r="S1040" s="31"/>
      <c r="T1040" s="31"/>
      <c r="U1040" s="28" t="s">
        <v>75</v>
      </c>
      <c r="V1040" s="28" t="s">
        <v>75</v>
      </c>
      <c r="W1040" s="31"/>
    </row>
    <row r="1041" spans="1:23" s="12" customFormat="1">
      <c r="A1041" s="46" t="s">
        <v>572</v>
      </c>
      <c r="B1041" s="28" t="s">
        <v>2581</v>
      </c>
      <c r="C1041" s="28" t="s">
        <v>2330</v>
      </c>
      <c r="D1041" s="31" t="s">
        <v>2494</v>
      </c>
      <c r="E1041" s="28" t="s">
        <v>92</v>
      </c>
      <c r="F1041" s="31" t="s">
        <v>15</v>
      </c>
      <c r="G1041" s="31" t="s">
        <v>15</v>
      </c>
      <c r="H1041" s="31" t="s">
        <v>2392</v>
      </c>
      <c r="I1041" s="28" t="str">
        <f>VLOOKUP(E1041,표준용어사전!$C$2:$D$494, 2, FALSE)</f>
        <v>연월일시분초TS</v>
      </c>
      <c r="J1041" s="28" t="s">
        <v>719</v>
      </c>
      <c r="K1041" s="29" t="s">
        <v>571</v>
      </c>
      <c r="L1041" s="55" t="s">
        <v>571</v>
      </c>
      <c r="M1041" s="29" t="s">
        <v>726</v>
      </c>
      <c r="N1041" s="32" t="s">
        <v>75</v>
      </c>
      <c r="O1041" s="31"/>
      <c r="P1041" s="31" t="s">
        <v>76</v>
      </c>
      <c r="Q1041" s="28"/>
      <c r="R1041" s="29"/>
      <c r="S1041" s="31"/>
      <c r="T1041" s="31"/>
      <c r="U1041" s="28" t="s">
        <v>75</v>
      </c>
      <c r="V1041" s="28" t="s">
        <v>75</v>
      </c>
      <c r="W1041" s="31"/>
    </row>
    <row r="1042" spans="1:23" s="12" customFormat="1">
      <c r="A1042" s="46" t="s">
        <v>572</v>
      </c>
      <c r="B1042" s="28" t="s">
        <v>2581</v>
      </c>
      <c r="C1042" s="28" t="s">
        <v>2330</v>
      </c>
      <c r="D1042" s="31" t="s">
        <v>2494</v>
      </c>
      <c r="E1042" s="28" t="s">
        <v>93</v>
      </c>
      <c r="F1042" s="31" t="s">
        <v>370</v>
      </c>
      <c r="G1042" s="31" t="s">
        <v>370</v>
      </c>
      <c r="H1042" s="31" t="s">
        <v>2392</v>
      </c>
      <c r="I1042" s="28" t="str">
        <f>VLOOKUP(E1042,표준용어사전!$C$2:$D$494, 2, FALSE)</f>
        <v>명V20</v>
      </c>
      <c r="J1042" s="28" t="s">
        <v>718</v>
      </c>
      <c r="K1042" s="29" t="s">
        <v>986</v>
      </c>
      <c r="L1042" s="55" t="s">
        <v>571</v>
      </c>
      <c r="M1042" s="29" t="s">
        <v>727</v>
      </c>
      <c r="N1042" s="32" t="s">
        <v>75</v>
      </c>
      <c r="O1042" s="31"/>
      <c r="P1042" s="31" t="s">
        <v>76</v>
      </c>
      <c r="Q1042" s="28"/>
      <c r="R1042" s="29"/>
      <c r="S1042" s="31"/>
      <c r="T1042" s="28"/>
      <c r="U1042" s="28" t="s">
        <v>75</v>
      </c>
      <c r="V1042" s="28" t="s">
        <v>75</v>
      </c>
      <c r="W1042" s="31"/>
    </row>
    <row r="1043" spans="1:23" s="12" customFormat="1">
      <c r="A1043" s="46" t="s">
        <v>572</v>
      </c>
      <c r="B1043" s="28" t="s">
        <v>2581</v>
      </c>
      <c r="C1043" s="28" t="s">
        <v>2330</v>
      </c>
      <c r="D1043" s="31" t="s">
        <v>2495</v>
      </c>
      <c r="E1043" s="28" t="s">
        <v>1641</v>
      </c>
      <c r="F1043" s="31" t="s">
        <v>1709</v>
      </c>
      <c r="G1043" s="31" t="s">
        <v>1709</v>
      </c>
      <c r="H1043" s="31" t="s">
        <v>2393</v>
      </c>
      <c r="I1043" s="28" t="str">
        <f>VLOOKUP(E1043,표준용어사전!$C$2:$D$494, 2, FALSE)</f>
        <v>명V20</v>
      </c>
      <c r="J1043" s="28" t="s">
        <v>718</v>
      </c>
      <c r="K1043" s="29" t="s">
        <v>986</v>
      </c>
      <c r="L1043" s="55" t="s">
        <v>571</v>
      </c>
      <c r="M1043" s="29" t="s">
        <v>727</v>
      </c>
      <c r="N1043" s="32" t="s">
        <v>973</v>
      </c>
      <c r="O1043" s="31" t="s">
        <v>73</v>
      </c>
      <c r="P1043" s="31" t="s">
        <v>2738</v>
      </c>
      <c r="Q1043" s="28"/>
      <c r="R1043" s="29"/>
      <c r="S1043" s="31"/>
      <c r="T1043" s="31"/>
      <c r="U1043" s="28" t="s">
        <v>75</v>
      </c>
      <c r="V1043" s="28" t="s">
        <v>75</v>
      </c>
      <c r="W1043" s="31"/>
    </row>
    <row r="1044" spans="1:23" s="12" customFormat="1">
      <c r="A1044" s="46" t="s">
        <v>572</v>
      </c>
      <c r="B1044" s="28" t="s">
        <v>2581</v>
      </c>
      <c r="C1044" s="28" t="s">
        <v>2330</v>
      </c>
      <c r="D1044" s="31" t="s">
        <v>2495</v>
      </c>
      <c r="E1044" s="28" t="s">
        <v>2235</v>
      </c>
      <c r="F1044" s="31" t="s">
        <v>2234</v>
      </c>
      <c r="G1044" s="31" t="s">
        <v>2234</v>
      </c>
      <c r="H1044" s="31" t="s">
        <v>2393</v>
      </c>
      <c r="I1044" s="28" t="str">
        <f>VLOOKUP(E1044,표준용어사전!$C$2:$D$494, 2, FALSE)</f>
        <v>코드V50</v>
      </c>
      <c r="J1044" s="28" t="s">
        <v>718</v>
      </c>
      <c r="K1044" s="29">
        <v>50</v>
      </c>
      <c r="L1044" s="55" t="s">
        <v>571</v>
      </c>
      <c r="M1044" s="29" t="s">
        <v>720</v>
      </c>
      <c r="N1044" s="32" t="s">
        <v>973</v>
      </c>
      <c r="O1044" s="31" t="s">
        <v>74</v>
      </c>
      <c r="P1044" s="31" t="s">
        <v>76</v>
      </c>
      <c r="Q1044" s="28"/>
      <c r="R1044" s="29"/>
      <c r="S1044" s="31"/>
      <c r="T1044" s="31"/>
      <c r="U1044" s="28" t="s">
        <v>75</v>
      </c>
      <c r="V1044" s="28" t="s">
        <v>75</v>
      </c>
      <c r="W1044" s="31"/>
    </row>
    <row r="1045" spans="1:23" s="12" customFormat="1">
      <c r="A1045" s="46" t="s">
        <v>572</v>
      </c>
      <c r="B1045" s="28" t="s">
        <v>2581</v>
      </c>
      <c r="C1045" s="28" t="s">
        <v>2330</v>
      </c>
      <c r="D1045" s="31" t="s">
        <v>2495</v>
      </c>
      <c r="E1045" s="28" t="s">
        <v>90</v>
      </c>
      <c r="F1045" s="31" t="s">
        <v>14</v>
      </c>
      <c r="G1045" s="31" t="s">
        <v>14</v>
      </c>
      <c r="H1045" s="31" t="s">
        <v>2393</v>
      </c>
      <c r="I1045" s="28" t="str">
        <f>VLOOKUP(E1045,표준용어사전!$C$2:$D$494, 2, FALSE)</f>
        <v>연월일시분초TS</v>
      </c>
      <c r="J1045" s="28" t="s">
        <v>719</v>
      </c>
      <c r="K1045" s="29" t="s">
        <v>571</v>
      </c>
      <c r="L1045" s="55" t="s">
        <v>571</v>
      </c>
      <c r="M1045" s="29" t="s">
        <v>726</v>
      </c>
      <c r="N1045" s="32" t="s">
        <v>973</v>
      </c>
      <c r="O1045" s="31"/>
      <c r="P1045" s="31" t="s">
        <v>76</v>
      </c>
      <c r="Q1045" s="28"/>
      <c r="R1045" s="29"/>
      <c r="S1045" s="31"/>
      <c r="T1045" s="31"/>
      <c r="U1045" s="28" t="s">
        <v>75</v>
      </c>
      <c r="V1045" s="28" t="s">
        <v>75</v>
      </c>
      <c r="W1045" s="31"/>
    </row>
    <row r="1046" spans="1:23" s="12" customFormat="1">
      <c r="A1046" s="46" t="s">
        <v>572</v>
      </c>
      <c r="B1046" s="28" t="s">
        <v>2581</v>
      </c>
      <c r="C1046" s="28" t="s">
        <v>2330</v>
      </c>
      <c r="D1046" s="31" t="s">
        <v>2495</v>
      </c>
      <c r="E1046" s="28" t="s">
        <v>91</v>
      </c>
      <c r="F1046" s="31" t="s">
        <v>369</v>
      </c>
      <c r="G1046" s="31" t="s">
        <v>369</v>
      </c>
      <c r="H1046" s="31" t="s">
        <v>2393</v>
      </c>
      <c r="I1046" s="28" t="str">
        <f>VLOOKUP(E1046,표준용어사전!$C$2:$D$494, 2, FALSE)</f>
        <v>명V20</v>
      </c>
      <c r="J1046" s="28" t="s">
        <v>718</v>
      </c>
      <c r="K1046" s="29" t="s">
        <v>986</v>
      </c>
      <c r="L1046" s="55" t="s">
        <v>571</v>
      </c>
      <c r="M1046" s="29" t="s">
        <v>727</v>
      </c>
      <c r="N1046" s="32" t="s">
        <v>973</v>
      </c>
      <c r="O1046" s="31"/>
      <c r="P1046" s="31" t="s">
        <v>76</v>
      </c>
      <c r="Q1046" s="28"/>
      <c r="R1046" s="29"/>
      <c r="S1046" s="31"/>
      <c r="T1046" s="31"/>
      <c r="U1046" s="28" t="s">
        <v>75</v>
      </c>
      <c r="V1046" s="28" t="s">
        <v>75</v>
      </c>
      <c r="W1046" s="31"/>
    </row>
    <row r="1047" spans="1:23" s="12" customFormat="1">
      <c r="A1047" s="46" t="s">
        <v>572</v>
      </c>
      <c r="B1047" s="28" t="s">
        <v>1331</v>
      </c>
      <c r="C1047" s="28" t="s">
        <v>2330</v>
      </c>
      <c r="D1047" s="31" t="s">
        <v>2329</v>
      </c>
      <c r="E1047" s="28" t="s">
        <v>1960</v>
      </c>
      <c r="F1047" s="31" t="s">
        <v>549</v>
      </c>
      <c r="G1047" s="31" t="s">
        <v>549</v>
      </c>
      <c r="H1047" s="31" t="s">
        <v>338</v>
      </c>
      <c r="I1047" s="28" t="str">
        <f>VLOOKUP(E1047,표준용어사전!$C$2:$D$494, 2, FALSE)</f>
        <v>연월C6</v>
      </c>
      <c r="J1047" s="28" t="s">
        <v>709</v>
      </c>
      <c r="K1047" s="29">
        <v>6</v>
      </c>
      <c r="L1047" s="55" t="s">
        <v>571</v>
      </c>
      <c r="M1047" s="29" t="s">
        <v>733</v>
      </c>
      <c r="N1047" s="32" t="s">
        <v>973</v>
      </c>
      <c r="O1047" s="31" t="s">
        <v>73</v>
      </c>
      <c r="P1047" s="31" t="s">
        <v>76</v>
      </c>
      <c r="Q1047" s="28"/>
      <c r="R1047" s="29"/>
      <c r="S1047" s="31"/>
      <c r="T1047" s="31"/>
      <c r="U1047" s="28" t="s">
        <v>75</v>
      </c>
      <c r="V1047" s="28" t="s">
        <v>75</v>
      </c>
      <c r="W1047" s="31"/>
    </row>
    <row r="1048" spans="1:23" s="12" customFormat="1">
      <c r="A1048" s="46" t="s">
        <v>572</v>
      </c>
      <c r="B1048" s="28" t="s">
        <v>1331</v>
      </c>
      <c r="C1048" s="28" t="s">
        <v>2330</v>
      </c>
      <c r="D1048" s="31" t="s">
        <v>2329</v>
      </c>
      <c r="E1048" s="28" t="s">
        <v>339</v>
      </c>
      <c r="F1048" s="31" t="s">
        <v>550</v>
      </c>
      <c r="G1048" s="31" t="s">
        <v>550</v>
      </c>
      <c r="H1048" s="31" t="s">
        <v>338</v>
      </c>
      <c r="I1048" s="28" t="str">
        <f>VLOOKUP(E1048,표준용어사전!$C$2:$D$494, 2, FALSE)</f>
        <v>수N10</v>
      </c>
      <c r="J1048" s="28" t="s">
        <v>748</v>
      </c>
      <c r="K1048" s="29" t="s">
        <v>1061</v>
      </c>
      <c r="L1048" s="55" t="s">
        <v>571</v>
      </c>
      <c r="M1048" s="29" t="s">
        <v>2592</v>
      </c>
      <c r="N1048" s="32" t="s">
        <v>75</v>
      </c>
      <c r="O1048" s="31"/>
      <c r="P1048" s="31" t="s">
        <v>76</v>
      </c>
      <c r="Q1048" s="28"/>
      <c r="R1048" s="29"/>
      <c r="S1048" s="31"/>
      <c r="T1048" s="31"/>
      <c r="U1048" s="28" t="s">
        <v>75</v>
      </c>
      <c r="V1048" s="28" t="s">
        <v>75</v>
      </c>
      <c r="W1048" s="31"/>
    </row>
    <row r="1049" spans="1:23" s="12" customFormat="1">
      <c r="A1049" s="46" t="s">
        <v>572</v>
      </c>
      <c r="B1049" s="28" t="s">
        <v>1331</v>
      </c>
      <c r="C1049" s="28" t="s">
        <v>2330</v>
      </c>
      <c r="D1049" s="31" t="s">
        <v>2329</v>
      </c>
      <c r="E1049" s="28" t="s">
        <v>340</v>
      </c>
      <c r="F1049" s="31" t="s">
        <v>551</v>
      </c>
      <c r="G1049" s="31" t="s">
        <v>551</v>
      </c>
      <c r="H1049" s="31" t="s">
        <v>338</v>
      </c>
      <c r="I1049" s="28" t="str">
        <f>VLOOKUP(E1049,표준용어사전!$C$2:$D$494, 2, FALSE)</f>
        <v>수N10</v>
      </c>
      <c r="J1049" s="28" t="s">
        <v>748</v>
      </c>
      <c r="K1049" s="29" t="s">
        <v>1061</v>
      </c>
      <c r="L1049" s="55" t="s">
        <v>571</v>
      </c>
      <c r="M1049" s="29" t="s">
        <v>2592</v>
      </c>
      <c r="N1049" s="32" t="s">
        <v>75</v>
      </c>
      <c r="O1049" s="31"/>
      <c r="P1049" s="31" t="s">
        <v>76</v>
      </c>
      <c r="Q1049" s="28"/>
      <c r="R1049" s="29"/>
      <c r="S1049" s="31"/>
      <c r="T1049" s="31"/>
      <c r="U1049" s="28" t="s">
        <v>75</v>
      </c>
      <c r="V1049" s="28" t="s">
        <v>75</v>
      </c>
      <c r="W1049" s="31"/>
    </row>
    <row r="1050" spans="1:23" s="12" customFormat="1">
      <c r="A1050" s="46" t="s">
        <v>572</v>
      </c>
      <c r="B1050" s="28" t="s">
        <v>1331</v>
      </c>
      <c r="C1050" s="28" t="s">
        <v>2330</v>
      </c>
      <c r="D1050" s="31" t="s">
        <v>2329</v>
      </c>
      <c r="E1050" s="28" t="s">
        <v>1961</v>
      </c>
      <c r="F1050" s="31" t="s">
        <v>552</v>
      </c>
      <c r="G1050" s="31" t="s">
        <v>552</v>
      </c>
      <c r="H1050" s="31" t="s">
        <v>338</v>
      </c>
      <c r="I1050" s="28" t="str">
        <f>VLOOKUP(E1050,표준용어사전!$C$2:$D$494, 2, FALSE)</f>
        <v>수N10</v>
      </c>
      <c r="J1050" s="28" t="s">
        <v>748</v>
      </c>
      <c r="K1050" s="29" t="s">
        <v>1061</v>
      </c>
      <c r="L1050" s="55" t="s">
        <v>571</v>
      </c>
      <c r="M1050" s="29" t="s">
        <v>2592</v>
      </c>
      <c r="N1050" s="32" t="s">
        <v>75</v>
      </c>
      <c r="O1050" s="31"/>
      <c r="P1050" s="31" t="s">
        <v>76</v>
      </c>
      <c r="Q1050" s="28"/>
      <c r="R1050" s="29"/>
      <c r="S1050" s="31"/>
      <c r="T1050" s="31"/>
      <c r="U1050" s="28" t="s">
        <v>75</v>
      </c>
      <c r="V1050" s="28" t="s">
        <v>75</v>
      </c>
      <c r="W1050" s="31"/>
    </row>
    <row r="1051" spans="1:23" s="12" customFormat="1">
      <c r="A1051" s="46" t="s">
        <v>572</v>
      </c>
      <c r="B1051" s="28" t="s">
        <v>1331</v>
      </c>
      <c r="C1051" s="28" t="s">
        <v>2330</v>
      </c>
      <c r="D1051" s="31" t="s">
        <v>2329</v>
      </c>
      <c r="E1051" s="28" t="s">
        <v>342</v>
      </c>
      <c r="F1051" s="31" t="s">
        <v>553</v>
      </c>
      <c r="G1051" s="31" t="s">
        <v>553</v>
      </c>
      <c r="H1051" s="31" t="s">
        <v>338</v>
      </c>
      <c r="I1051" s="28" t="str">
        <f>VLOOKUP(E1051,표준용어사전!$C$2:$D$494, 2, FALSE)</f>
        <v>시분초N10</v>
      </c>
      <c r="J1051" s="28" t="s">
        <v>748</v>
      </c>
      <c r="K1051" s="29">
        <v>10</v>
      </c>
      <c r="L1051" s="55" t="s">
        <v>571</v>
      </c>
      <c r="M1051" s="29" t="s">
        <v>2592</v>
      </c>
      <c r="N1051" s="32" t="s">
        <v>75</v>
      </c>
      <c r="O1051" s="31"/>
      <c r="P1051" s="31" t="s">
        <v>76</v>
      </c>
      <c r="Q1051" s="28"/>
      <c r="R1051" s="29"/>
      <c r="S1051" s="31"/>
      <c r="T1051" s="31"/>
      <c r="U1051" s="28" t="s">
        <v>75</v>
      </c>
      <c r="V1051" s="28" t="s">
        <v>75</v>
      </c>
      <c r="W1051" s="31"/>
    </row>
    <row r="1052" spans="1:23" s="12" customFormat="1">
      <c r="A1052" s="46" t="s">
        <v>572</v>
      </c>
      <c r="B1052" s="28" t="s">
        <v>1331</v>
      </c>
      <c r="C1052" s="28" t="s">
        <v>2330</v>
      </c>
      <c r="D1052" s="31" t="s">
        <v>2329</v>
      </c>
      <c r="E1052" s="28" t="s">
        <v>343</v>
      </c>
      <c r="F1052" s="31" t="s">
        <v>554</v>
      </c>
      <c r="G1052" s="31" t="s">
        <v>554</v>
      </c>
      <c r="H1052" s="31" t="s">
        <v>338</v>
      </c>
      <c r="I1052" s="28" t="str">
        <f>VLOOKUP(E1052,표준용어사전!$C$2:$D$494, 2, FALSE)</f>
        <v>시분초N10</v>
      </c>
      <c r="J1052" s="28" t="s">
        <v>748</v>
      </c>
      <c r="K1052" s="29">
        <v>10</v>
      </c>
      <c r="L1052" s="55" t="s">
        <v>571</v>
      </c>
      <c r="M1052" s="29" t="s">
        <v>2592</v>
      </c>
      <c r="N1052" s="32" t="s">
        <v>75</v>
      </c>
      <c r="O1052" s="31"/>
      <c r="P1052" s="31" t="s">
        <v>76</v>
      </c>
      <c r="Q1052" s="28"/>
      <c r="R1052" s="29"/>
      <c r="S1052" s="31"/>
      <c r="T1052" s="31"/>
      <c r="U1052" s="28" t="s">
        <v>75</v>
      </c>
      <c r="V1052" s="28" t="s">
        <v>75</v>
      </c>
      <c r="W1052" s="31"/>
    </row>
    <row r="1053" spans="1:23" s="12" customFormat="1">
      <c r="A1053" s="46" t="s">
        <v>572</v>
      </c>
      <c r="B1053" s="28" t="s">
        <v>1331</v>
      </c>
      <c r="C1053" s="28" t="s">
        <v>2330</v>
      </c>
      <c r="D1053" s="31" t="s">
        <v>2329</v>
      </c>
      <c r="E1053" s="28" t="s">
        <v>1963</v>
      </c>
      <c r="F1053" s="31" t="s">
        <v>555</v>
      </c>
      <c r="G1053" s="31" t="s">
        <v>555</v>
      </c>
      <c r="H1053" s="31" t="s">
        <v>338</v>
      </c>
      <c r="I1053" s="28" t="str">
        <f>VLOOKUP(E1053,표준용어사전!$C$2:$D$494, 2, FALSE)</f>
        <v>시분초N10</v>
      </c>
      <c r="J1053" s="28" t="s">
        <v>748</v>
      </c>
      <c r="K1053" s="29">
        <v>10</v>
      </c>
      <c r="L1053" s="55" t="s">
        <v>571</v>
      </c>
      <c r="M1053" s="29" t="s">
        <v>2592</v>
      </c>
      <c r="N1053" s="32" t="s">
        <v>75</v>
      </c>
      <c r="O1053" s="31"/>
      <c r="P1053" s="31" t="s">
        <v>76</v>
      </c>
      <c r="Q1053" s="28"/>
      <c r="R1053" s="29"/>
      <c r="S1053" s="31"/>
      <c r="T1053" s="31"/>
      <c r="U1053" s="28" t="s">
        <v>75</v>
      </c>
      <c r="V1053" s="28" t="s">
        <v>75</v>
      </c>
      <c r="W1053" s="31"/>
    </row>
    <row r="1054" spans="1:23" s="12" customFormat="1">
      <c r="A1054" s="46" t="s">
        <v>572</v>
      </c>
      <c r="B1054" s="28" t="s">
        <v>1338</v>
      </c>
      <c r="C1054" s="28" t="s">
        <v>2588</v>
      </c>
      <c r="D1054" s="31" t="s">
        <v>691</v>
      </c>
      <c r="E1054" s="28" t="s">
        <v>2199</v>
      </c>
      <c r="F1054" s="28" t="s">
        <v>2582</v>
      </c>
      <c r="G1054" s="28" t="s">
        <v>2582</v>
      </c>
      <c r="H1054" s="28" t="s">
        <v>96</v>
      </c>
      <c r="I1054" s="28" t="str">
        <f>VLOOKUP(E1054,표준용어사전!$C$2:$D$494, 2, FALSE)</f>
        <v>연월일C8</v>
      </c>
      <c r="J1054" s="28" t="s">
        <v>709</v>
      </c>
      <c r="K1054" s="29">
        <v>8</v>
      </c>
      <c r="L1054" s="55" t="s">
        <v>571</v>
      </c>
      <c r="M1054" s="29" t="s">
        <v>731</v>
      </c>
      <c r="N1054" s="32" t="s">
        <v>2717</v>
      </c>
      <c r="O1054" s="31"/>
      <c r="P1054" s="31"/>
      <c r="Q1054" s="28"/>
      <c r="R1054" s="29"/>
      <c r="S1054" s="31"/>
      <c r="T1054" s="31"/>
      <c r="U1054" s="28" t="s">
        <v>75</v>
      </c>
      <c r="V1054" s="28" t="s">
        <v>75</v>
      </c>
      <c r="W1054" s="31"/>
    </row>
    <row r="1055" spans="1:23" s="12" customFormat="1">
      <c r="A1055" s="46" t="s">
        <v>572</v>
      </c>
      <c r="B1055" s="28" t="s">
        <v>1338</v>
      </c>
      <c r="C1055" s="28" t="s">
        <v>2588</v>
      </c>
      <c r="D1055" s="31" t="s">
        <v>691</v>
      </c>
      <c r="E1055" s="28" t="s">
        <v>95</v>
      </c>
      <c r="F1055" s="28" t="s">
        <v>374</v>
      </c>
      <c r="G1055" s="28" t="s">
        <v>374</v>
      </c>
      <c r="H1055" s="28" t="s">
        <v>96</v>
      </c>
      <c r="I1055" s="28" t="str">
        <f>VLOOKUP(E1055,표준용어사전!$C$2:$D$494, 2, FALSE)</f>
        <v>번호I</v>
      </c>
      <c r="J1055" s="28" t="s">
        <v>717</v>
      </c>
      <c r="K1055" s="29" t="s">
        <v>571</v>
      </c>
      <c r="L1055" s="55" t="s">
        <v>571</v>
      </c>
      <c r="M1055" s="29" t="s">
        <v>2591</v>
      </c>
      <c r="N1055" s="32" t="s">
        <v>2717</v>
      </c>
      <c r="O1055" s="31"/>
      <c r="P1055" s="31"/>
      <c r="Q1055" s="28"/>
      <c r="R1055" s="29"/>
      <c r="S1055" s="31"/>
      <c r="T1055" s="31"/>
      <c r="U1055" s="28" t="s">
        <v>75</v>
      </c>
      <c r="V1055" s="28" t="s">
        <v>75</v>
      </c>
      <c r="W1055" s="31"/>
    </row>
    <row r="1056" spans="1:23" s="12" customFormat="1">
      <c r="A1056" s="46" t="s">
        <v>572</v>
      </c>
      <c r="B1056" s="28" t="s">
        <v>1338</v>
      </c>
      <c r="C1056" s="28" t="s">
        <v>2588</v>
      </c>
      <c r="D1056" s="31" t="s">
        <v>691</v>
      </c>
      <c r="E1056" s="28" t="s">
        <v>89</v>
      </c>
      <c r="F1056" s="28" t="s">
        <v>501</v>
      </c>
      <c r="G1056" s="28" t="s">
        <v>501</v>
      </c>
      <c r="H1056" s="28" t="s">
        <v>96</v>
      </c>
      <c r="I1056" s="28" t="str">
        <f>VLOOKUP(E1056,표준용어사전!$C$2:$D$494, 2, FALSE)</f>
        <v>명V20</v>
      </c>
      <c r="J1056" s="28" t="s">
        <v>718</v>
      </c>
      <c r="K1056" s="29" t="s">
        <v>986</v>
      </c>
      <c r="L1056" s="55" t="s">
        <v>571</v>
      </c>
      <c r="M1056" s="29" t="s">
        <v>727</v>
      </c>
      <c r="N1056" s="32" t="s">
        <v>2717</v>
      </c>
      <c r="O1056" s="31"/>
      <c r="P1056" s="31"/>
      <c r="Q1056" s="28"/>
      <c r="R1056" s="29"/>
      <c r="S1056" s="31"/>
      <c r="T1056" s="31"/>
      <c r="U1056" s="28" t="s">
        <v>75</v>
      </c>
      <c r="V1056" s="28" t="s">
        <v>75</v>
      </c>
      <c r="W1056" s="31"/>
    </row>
    <row r="1057" spans="1:23" s="12" customFormat="1">
      <c r="A1057" s="46" t="s">
        <v>572</v>
      </c>
      <c r="B1057" s="28" t="s">
        <v>1338</v>
      </c>
      <c r="C1057" s="28" t="s">
        <v>2588</v>
      </c>
      <c r="D1057" s="31" t="s">
        <v>691</v>
      </c>
      <c r="E1057" s="28" t="s">
        <v>97</v>
      </c>
      <c r="F1057" s="28" t="s">
        <v>375</v>
      </c>
      <c r="G1057" s="28" t="s">
        <v>375</v>
      </c>
      <c r="H1057" s="28" t="s">
        <v>96</v>
      </c>
      <c r="I1057" s="28" t="str">
        <f>VLOOKUP(E1057,표준용어사전!$C$2:$D$494, 2, FALSE)</f>
        <v>코드V50</v>
      </c>
      <c r="J1057" s="28" t="s">
        <v>718</v>
      </c>
      <c r="K1057" s="29">
        <v>50</v>
      </c>
      <c r="L1057" s="55" t="s">
        <v>571</v>
      </c>
      <c r="M1057" s="29" t="s">
        <v>720</v>
      </c>
      <c r="N1057" s="32" t="s">
        <v>2717</v>
      </c>
      <c r="O1057" s="31"/>
      <c r="P1057" s="31"/>
      <c r="Q1057" s="28"/>
      <c r="R1057" s="29"/>
      <c r="S1057" s="31"/>
      <c r="T1057" s="31"/>
      <c r="U1057" s="28" t="s">
        <v>75</v>
      </c>
      <c r="V1057" s="28" t="s">
        <v>75</v>
      </c>
      <c r="W1057" s="31"/>
    </row>
    <row r="1058" spans="1:23" s="12" customFormat="1">
      <c r="A1058" s="46" t="s">
        <v>572</v>
      </c>
      <c r="B1058" s="28" t="s">
        <v>1338</v>
      </c>
      <c r="C1058" s="28" t="s">
        <v>2588</v>
      </c>
      <c r="D1058" s="31" t="s">
        <v>691</v>
      </c>
      <c r="E1058" s="28" t="s">
        <v>2181</v>
      </c>
      <c r="F1058" s="28" t="s">
        <v>376</v>
      </c>
      <c r="G1058" s="28" t="s">
        <v>376</v>
      </c>
      <c r="H1058" s="28" t="s">
        <v>96</v>
      </c>
      <c r="I1058" s="28" t="str">
        <f>VLOOKUP(E1058,표준용어사전!$C$2:$D$494, 2, FALSE)</f>
        <v>여부C1</v>
      </c>
      <c r="J1058" s="28" t="s">
        <v>709</v>
      </c>
      <c r="K1058" s="29">
        <v>1</v>
      </c>
      <c r="L1058" s="55" t="s">
        <v>571</v>
      </c>
      <c r="M1058" s="29" t="s">
        <v>722</v>
      </c>
      <c r="N1058" s="32" t="s">
        <v>2717</v>
      </c>
      <c r="O1058" s="31"/>
      <c r="P1058" s="31"/>
      <c r="Q1058" s="28"/>
      <c r="R1058" s="29"/>
      <c r="S1058" s="31"/>
      <c r="T1058" s="31"/>
      <c r="U1058" s="28" t="s">
        <v>75</v>
      </c>
      <c r="V1058" s="28" t="s">
        <v>75</v>
      </c>
      <c r="W1058" s="31"/>
    </row>
    <row r="1059" spans="1:23" s="12" customFormat="1">
      <c r="A1059" s="46" t="s">
        <v>572</v>
      </c>
      <c r="B1059" s="28" t="s">
        <v>1338</v>
      </c>
      <c r="C1059" s="28" t="s">
        <v>2588</v>
      </c>
      <c r="D1059" s="31" t="s">
        <v>691</v>
      </c>
      <c r="E1059" s="28" t="s">
        <v>99</v>
      </c>
      <c r="F1059" s="28" t="s">
        <v>377</v>
      </c>
      <c r="G1059" s="28" t="s">
        <v>377</v>
      </c>
      <c r="H1059" s="28" t="s">
        <v>96</v>
      </c>
      <c r="I1059" s="28" t="str">
        <f>VLOOKUP(E1059,표준용어사전!$C$2:$D$494, 2, FALSE)</f>
        <v>명V256</v>
      </c>
      <c r="J1059" s="28" t="s">
        <v>718</v>
      </c>
      <c r="K1059" s="29">
        <v>256</v>
      </c>
      <c r="L1059" s="55" t="s">
        <v>571</v>
      </c>
      <c r="M1059" s="29" t="s">
        <v>730</v>
      </c>
      <c r="N1059" s="32" t="s">
        <v>2717</v>
      </c>
      <c r="O1059" s="31"/>
      <c r="P1059" s="31"/>
      <c r="Q1059" s="28"/>
      <c r="R1059" s="29"/>
      <c r="S1059" s="31"/>
      <c r="T1059" s="31"/>
      <c r="U1059" s="28" t="s">
        <v>75</v>
      </c>
      <c r="V1059" s="28" t="s">
        <v>75</v>
      </c>
      <c r="W1059" s="31"/>
    </row>
    <row r="1060" spans="1:23" s="12" customFormat="1">
      <c r="A1060" s="46" t="s">
        <v>572</v>
      </c>
      <c r="B1060" s="28" t="s">
        <v>1338</v>
      </c>
      <c r="C1060" s="28" t="s">
        <v>2588</v>
      </c>
      <c r="D1060" s="31" t="s">
        <v>691</v>
      </c>
      <c r="E1060" s="28" t="s">
        <v>90</v>
      </c>
      <c r="F1060" s="28" t="s">
        <v>14</v>
      </c>
      <c r="G1060" s="28" t="s">
        <v>14</v>
      </c>
      <c r="H1060" s="28" t="s">
        <v>96</v>
      </c>
      <c r="I1060" s="28" t="str">
        <f>VLOOKUP(E1060,표준용어사전!$C$2:$D$494, 2, FALSE)</f>
        <v>연월일시분초TS</v>
      </c>
      <c r="J1060" s="28" t="s">
        <v>719</v>
      </c>
      <c r="K1060" s="29" t="s">
        <v>571</v>
      </c>
      <c r="L1060" s="55" t="s">
        <v>571</v>
      </c>
      <c r="M1060" s="29" t="s">
        <v>726</v>
      </c>
      <c r="N1060" s="32" t="s">
        <v>2717</v>
      </c>
      <c r="O1060" s="31"/>
      <c r="P1060" s="31"/>
      <c r="Q1060" s="28"/>
      <c r="R1060" s="29"/>
      <c r="S1060" s="31"/>
      <c r="T1060" s="31"/>
      <c r="U1060" s="28" t="s">
        <v>75</v>
      </c>
      <c r="V1060" s="28" t="s">
        <v>75</v>
      </c>
      <c r="W1060" s="31"/>
    </row>
    <row r="1061" spans="1:23" s="12" customFormat="1">
      <c r="A1061" s="46" t="s">
        <v>572</v>
      </c>
      <c r="B1061" s="28" t="s">
        <v>1338</v>
      </c>
      <c r="C1061" s="28" t="s">
        <v>2588</v>
      </c>
      <c r="D1061" s="31" t="s">
        <v>691</v>
      </c>
      <c r="E1061" s="28" t="s">
        <v>91</v>
      </c>
      <c r="F1061" s="28" t="s">
        <v>369</v>
      </c>
      <c r="G1061" s="28" t="s">
        <v>369</v>
      </c>
      <c r="H1061" s="28" t="s">
        <v>96</v>
      </c>
      <c r="I1061" s="28" t="str">
        <f>VLOOKUP(E1061,표준용어사전!$C$2:$D$494, 2, FALSE)</f>
        <v>명V20</v>
      </c>
      <c r="J1061" s="28" t="s">
        <v>718</v>
      </c>
      <c r="K1061" s="29" t="s">
        <v>986</v>
      </c>
      <c r="L1061" s="55" t="s">
        <v>571</v>
      </c>
      <c r="M1061" s="29" t="s">
        <v>727</v>
      </c>
      <c r="N1061" s="32" t="s">
        <v>2717</v>
      </c>
      <c r="O1061" s="31"/>
      <c r="P1061" s="31"/>
      <c r="Q1061" s="28"/>
      <c r="R1061" s="29"/>
      <c r="S1061" s="31"/>
      <c r="T1061" s="28"/>
      <c r="U1061" s="28" t="s">
        <v>75</v>
      </c>
      <c r="V1061" s="28" t="s">
        <v>75</v>
      </c>
      <c r="W1061" s="31"/>
    </row>
    <row r="1062" spans="1:23" s="12" customFormat="1">
      <c r="A1062" s="46" t="s">
        <v>572</v>
      </c>
      <c r="B1062" s="28" t="s">
        <v>1338</v>
      </c>
      <c r="C1062" s="28" t="s">
        <v>2588</v>
      </c>
      <c r="D1062" s="31" t="s">
        <v>691</v>
      </c>
      <c r="E1062" s="28" t="s">
        <v>92</v>
      </c>
      <c r="F1062" s="28" t="s">
        <v>15</v>
      </c>
      <c r="G1062" s="28" t="s">
        <v>15</v>
      </c>
      <c r="H1062" s="28" t="s">
        <v>96</v>
      </c>
      <c r="I1062" s="28" t="str">
        <f>VLOOKUP(E1062,표준용어사전!$C$2:$D$494, 2, FALSE)</f>
        <v>연월일시분초TS</v>
      </c>
      <c r="J1062" s="28" t="s">
        <v>719</v>
      </c>
      <c r="K1062" s="29" t="s">
        <v>571</v>
      </c>
      <c r="L1062" s="55" t="s">
        <v>571</v>
      </c>
      <c r="M1062" s="29" t="s">
        <v>726</v>
      </c>
      <c r="N1062" s="32" t="s">
        <v>2717</v>
      </c>
      <c r="O1062" s="31"/>
      <c r="P1062" s="31"/>
      <c r="Q1062" s="28"/>
      <c r="R1062" s="29"/>
      <c r="S1062" s="31"/>
      <c r="T1062" s="28"/>
      <c r="U1062" s="28" t="s">
        <v>75</v>
      </c>
      <c r="V1062" s="28" t="s">
        <v>75</v>
      </c>
      <c r="W1062" s="31"/>
    </row>
    <row r="1063" spans="1:23" s="12" customFormat="1">
      <c r="A1063" s="46" t="s">
        <v>572</v>
      </c>
      <c r="B1063" s="28" t="s">
        <v>1338</v>
      </c>
      <c r="C1063" s="28" t="s">
        <v>2588</v>
      </c>
      <c r="D1063" s="31" t="s">
        <v>691</v>
      </c>
      <c r="E1063" s="28" t="s">
        <v>93</v>
      </c>
      <c r="F1063" s="28" t="s">
        <v>370</v>
      </c>
      <c r="G1063" s="28" t="s">
        <v>370</v>
      </c>
      <c r="H1063" s="28" t="s">
        <v>96</v>
      </c>
      <c r="I1063" s="28" t="str">
        <f>VLOOKUP(E1063,표준용어사전!$C$2:$D$494, 2, FALSE)</f>
        <v>명V20</v>
      </c>
      <c r="J1063" s="28" t="s">
        <v>718</v>
      </c>
      <c r="K1063" s="29" t="s">
        <v>986</v>
      </c>
      <c r="L1063" s="55" t="s">
        <v>571</v>
      </c>
      <c r="M1063" s="29" t="s">
        <v>727</v>
      </c>
      <c r="N1063" s="32" t="s">
        <v>2717</v>
      </c>
      <c r="O1063" s="31"/>
      <c r="P1063" s="31"/>
      <c r="Q1063" s="28"/>
      <c r="R1063" s="29"/>
      <c r="S1063" s="31"/>
      <c r="T1063" s="31"/>
      <c r="U1063" s="28" t="s">
        <v>75</v>
      </c>
      <c r="V1063" s="28" t="s">
        <v>75</v>
      </c>
      <c r="W1063" s="31"/>
    </row>
    <row r="1064" spans="1:23" s="12" customFormat="1">
      <c r="A1064" s="46" t="s">
        <v>572</v>
      </c>
      <c r="B1064" s="28" t="s">
        <v>1338</v>
      </c>
      <c r="C1064" s="28" t="s">
        <v>2588</v>
      </c>
      <c r="D1064" s="31" t="s">
        <v>2430</v>
      </c>
      <c r="E1064" s="28" t="s">
        <v>2199</v>
      </c>
      <c r="F1064" s="28" t="s">
        <v>2582</v>
      </c>
      <c r="G1064" s="28" t="s">
        <v>2582</v>
      </c>
      <c r="H1064" s="28" t="s">
        <v>124</v>
      </c>
      <c r="I1064" s="28" t="str">
        <f>VLOOKUP(E1064,표준용어사전!$C$2:$D$494, 2, FALSE)</f>
        <v>연월일C8</v>
      </c>
      <c r="J1064" s="28" t="s">
        <v>709</v>
      </c>
      <c r="K1064" s="29">
        <v>8</v>
      </c>
      <c r="L1064" s="55" t="s">
        <v>571</v>
      </c>
      <c r="M1064" s="29" t="s">
        <v>731</v>
      </c>
      <c r="N1064" s="32" t="s">
        <v>2717</v>
      </c>
      <c r="O1064" s="31"/>
      <c r="P1064" s="31"/>
      <c r="Q1064" s="28"/>
      <c r="R1064" s="29"/>
      <c r="S1064" s="31"/>
      <c r="T1064" s="31"/>
      <c r="U1064" s="28" t="s">
        <v>75</v>
      </c>
      <c r="V1064" s="28" t="s">
        <v>75</v>
      </c>
      <c r="W1064" s="31"/>
    </row>
    <row r="1065" spans="1:23" s="12" customFormat="1">
      <c r="A1065" s="46" t="s">
        <v>572</v>
      </c>
      <c r="B1065" s="28" t="s">
        <v>1338</v>
      </c>
      <c r="C1065" s="28" t="s">
        <v>2588</v>
      </c>
      <c r="D1065" s="31" t="s">
        <v>2430</v>
      </c>
      <c r="E1065" s="28" t="s">
        <v>2178</v>
      </c>
      <c r="F1065" s="28" t="s">
        <v>392</v>
      </c>
      <c r="G1065" s="28" t="s">
        <v>392</v>
      </c>
      <c r="H1065" s="28" t="s">
        <v>124</v>
      </c>
      <c r="I1065" s="28" t="str">
        <f>VLOOKUP(E1065,표준용어사전!$C$2:$D$494, 2, FALSE)</f>
        <v>번호I</v>
      </c>
      <c r="J1065" s="28" t="s">
        <v>717</v>
      </c>
      <c r="K1065" s="29" t="s">
        <v>571</v>
      </c>
      <c r="L1065" s="55" t="s">
        <v>571</v>
      </c>
      <c r="M1065" s="29" t="s">
        <v>2591</v>
      </c>
      <c r="N1065" s="32" t="s">
        <v>2717</v>
      </c>
      <c r="O1065" s="36" t="s">
        <v>76</v>
      </c>
      <c r="P1065" s="31"/>
      <c r="Q1065" s="28"/>
      <c r="R1065" s="29"/>
      <c r="S1065" s="31"/>
      <c r="T1065" s="31"/>
      <c r="U1065" s="28" t="s">
        <v>75</v>
      </c>
      <c r="V1065" s="28" t="s">
        <v>75</v>
      </c>
      <c r="W1065" s="31"/>
    </row>
    <row r="1066" spans="1:23" s="12" customFormat="1">
      <c r="A1066" s="46" t="s">
        <v>572</v>
      </c>
      <c r="B1066" s="28" t="s">
        <v>1338</v>
      </c>
      <c r="C1066" s="28" t="s">
        <v>2588</v>
      </c>
      <c r="D1066" s="31" t="s">
        <v>2430</v>
      </c>
      <c r="E1066" s="28" t="s">
        <v>89</v>
      </c>
      <c r="F1066" s="28" t="s">
        <v>501</v>
      </c>
      <c r="G1066" s="28" t="s">
        <v>501</v>
      </c>
      <c r="H1066" s="28" t="s">
        <v>124</v>
      </c>
      <c r="I1066" s="28" t="str">
        <f>VLOOKUP(E1066,표준용어사전!$C$2:$D$494, 2, FALSE)</f>
        <v>명V20</v>
      </c>
      <c r="J1066" s="28" t="s">
        <v>718</v>
      </c>
      <c r="K1066" s="29" t="s">
        <v>986</v>
      </c>
      <c r="L1066" s="55" t="s">
        <v>571</v>
      </c>
      <c r="M1066" s="29" t="s">
        <v>727</v>
      </c>
      <c r="N1066" s="32" t="s">
        <v>2717</v>
      </c>
      <c r="O1066" s="31"/>
      <c r="P1066" s="31"/>
      <c r="Q1066" s="28"/>
      <c r="R1066" s="29"/>
      <c r="S1066" s="31"/>
      <c r="T1066" s="31"/>
      <c r="U1066" s="28" t="s">
        <v>75</v>
      </c>
      <c r="V1066" s="28" t="s">
        <v>75</v>
      </c>
      <c r="W1066" s="31"/>
    </row>
    <row r="1067" spans="1:23">
      <c r="A1067" s="46" t="s">
        <v>572</v>
      </c>
      <c r="B1067" s="28" t="s">
        <v>1338</v>
      </c>
      <c r="C1067" s="28" t="s">
        <v>2588</v>
      </c>
      <c r="D1067" s="31" t="s">
        <v>2430</v>
      </c>
      <c r="E1067" s="28" t="s">
        <v>125</v>
      </c>
      <c r="F1067" s="28" t="s">
        <v>393</v>
      </c>
      <c r="G1067" s="28" t="s">
        <v>393</v>
      </c>
      <c r="H1067" s="28" t="s">
        <v>124</v>
      </c>
      <c r="I1067" s="28" t="str">
        <f>VLOOKUP(E1067,표준용어사전!$C$2:$D$494, 2, FALSE)</f>
        <v>코드V50</v>
      </c>
      <c r="J1067" s="28" t="s">
        <v>718</v>
      </c>
      <c r="K1067" s="29">
        <v>50</v>
      </c>
      <c r="L1067" s="55" t="s">
        <v>571</v>
      </c>
      <c r="M1067" s="29" t="s">
        <v>720</v>
      </c>
      <c r="N1067" s="32" t="s">
        <v>2717</v>
      </c>
      <c r="O1067" s="31"/>
      <c r="P1067" s="31"/>
      <c r="Q1067" s="28"/>
      <c r="R1067" s="29"/>
      <c r="S1067" s="31"/>
      <c r="T1067" s="31"/>
      <c r="U1067" s="28" t="s">
        <v>75</v>
      </c>
      <c r="V1067" s="28" t="s">
        <v>75</v>
      </c>
      <c r="W1067" s="31"/>
    </row>
    <row r="1068" spans="1:23">
      <c r="A1068" s="46" t="s">
        <v>572</v>
      </c>
      <c r="B1068" s="28" t="s">
        <v>1338</v>
      </c>
      <c r="C1068" s="28" t="s">
        <v>2588</v>
      </c>
      <c r="D1068" s="31" t="s">
        <v>2430</v>
      </c>
      <c r="E1068" s="28" t="s">
        <v>2179</v>
      </c>
      <c r="F1068" s="28" t="s">
        <v>62</v>
      </c>
      <c r="G1068" s="28" t="s">
        <v>62</v>
      </c>
      <c r="H1068" s="28" t="s">
        <v>124</v>
      </c>
      <c r="I1068" s="28" t="str">
        <f>VLOOKUP(E1068,표준용어사전!$C$2:$D$494, 2, FALSE)</f>
        <v>학명V256</v>
      </c>
      <c r="J1068" s="28" t="s">
        <v>718</v>
      </c>
      <c r="K1068" s="29">
        <v>256</v>
      </c>
      <c r="L1068" s="55" t="s">
        <v>571</v>
      </c>
      <c r="M1068" s="29" t="s">
        <v>730</v>
      </c>
      <c r="N1068" s="32" t="s">
        <v>2717</v>
      </c>
      <c r="O1068" s="31"/>
      <c r="P1068" s="31"/>
      <c r="Q1068" s="28"/>
      <c r="R1068" s="29"/>
      <c r="S1068" s="31"/>
      <c r="T1068" s="31"/>
      <c r="U1068" s="28" t="s">
        <v>75</v>
      </c>
      <c r="V1068" s="28" t="s">
        <v>75</v>
      </c>
      <c r="W1068" s="31"/>
    </row>
    <row r="1069" spans="1:23">
      <c r="A1069" s="46" t="s">
        <v>572</v>
      </c>
      <c r="B1069" s="28" t="s">
        <v>1338</v>
      </c>
      <c r="C1069" s="28" t="s">
        <v>2588</v>
      </c>
      <c r="D1069" s="31" t="s">
        <v>2430</v>
      </c>
      <c r="E1069" s="28" t="s">
        <v>90</v>
      </c>
      <c r="F1069" s="28" t="s">
        <v>14</v>
      </c>
      <c r="G1069" s="28" t="s">
        <v>14</v>
      </c>
      <c r="H1069" s="28" t="s">
        <v>124</v>
      </c>
      <c r="I1069" s="28" t="str">
        <f>VLOOKUP(E1069,표준용어사전!$C$2:$D$494, 2, FALSE)</f>
        <v>연월일시분초TS</v>
      </c>
      <c r="J1069" s="28" t="s">
        <v>719</v>
      </c>
      <c r="K1069" s="29" t="s">
        <v>571</v>
      </c>
      <c r="L1069" s="55" t="s">
        <v>571</v>
      </c>
      <c r="M1069" s="29" t="s">
        <v>726</v>
      </c>
      <c r="N1069" s="32" t="s">
        <v>2717</v>
      </c>
      <c r="O1069" s="31"/>
      <c r="P1069" s="31"/>
      <c r="Q1069" s="28"/>
      <c r="R1069" s="29"/>
      <c r="S1069" s="31"/>
      <c r="T1069" s="31"/>
      <c r="U1069" s="28" t="s">
        <v>75</v>
      </c>
      <c r="V1069" s="28" t="s">
        <v>75</v>
      </c>
      <c r="W1069" s="31"/>
    </row>
    <row r="1070" spans="1:23">
      <c r="A1070" s="46" t="s">
        <v>572</v>
      </c>
      <c r="B1070" s="28" t="s">
        <v>1338</v>
      </c>
      <c r="C1070" s="28" t="s">
        <v>2588</v>
      </c>
      <c r="D1070" s="31" t="s">
        <v>2430</v>
      </c>
      <c r="E1070" s="28" t="s">
        <v>91</v>
      </c>
      <c r="F1070" s="28" t="s">
        <v>369</v>
      </c>
      <c r="G1070" s="28" t="s">
        <v>369</v>
      </c>
      <c r="H1070" s="28" t="s">
        <v>124</v>
      </c>
      <c r="I1070" s="28" t="str">
        <f>VLOOKUP(E1070,표준용어사전!$C$2:$D$494, 2, FALSE)</f>
        <v>명V20</v>
      </c>
      <c r="J1070" s="28" t="s">
        <v>718</v>
      </c>
      <c r="K1070" s="29" t="s">
        <v>986</v>
      </c>
      <c r="L1070" s="55" t="s">
        <v>571</v>
      </c>
      <c r="M1070" s="29" t="s">
        <v>727</v>
      </c>
      <c r="N1070" s="32" t="s">
        <v>2717</v>
      </c>
      <c r="O1070" s="31"/>
      <c r="P1070" s="31"/>
      <c r="Q1070" s="28"/>
      <c r="R1070" s="29"/>
      <c r="S1070" s="31"/>
      <c r="T1070" s="31"/>
      <c r="U1070" s="28" t="s">
        <v>75</v>
      </c>
      <c r="V1070" s="28" t="s">
        <v>75</v>
      </c>
      <c r="W1070" s="31"/>
    </row>
    <row r="1071" spans="1:23">
      <c r="A1071" s="46" t="s">
        <v>572</v>
      </c>
      <c r="B1071" s="28" t="s">
        <v>1338</v>
      </c>
      <c r="C1071" s="28" t="s">
        <v>2588</v>
      </c>
      <c r="D1071" s="31" t="s">
        <v>2430</v>
      </c>
      <c r="E1071" s="28" t="s">
        <v>92</v>
      </c>
      <c r="F1071" s="28" t="s">
        <v>15</v>
      </c>
      <c r="G1071" s="28" t="s">
        <v>15</v>
      </c>
      <c r="H1071" s="28" t="s">
        <v>124</v>
      </c>
      <c r="I1071" s="28" t="str">
        <f>VLOOKUP(E1071,표준용어사전!$C$2:$D$494, 2, FALSE)</f>
        <v>연월일시분초TS</v>
      </c>
      <c r="J1071" s="28" t="s">
        <v>719</v>
      </c>
      <c r="K1071" s="29" t="s">
        <v>571</v>
      </c>
      <c r="L1071" s="55" t="s">
        <v>571</v>
      </c>
      <c r="M1071" s="29" t="s">
        <v>726</v>
      </c>
      <c r="N1071" s="32" t="s">
        <v>2717</v>
      </c>
      <c r="O1071" s="31"/>
      <c r="P1071" s="31"/>
      <c r="Q1071" s="28"/>
      <c r="R1071" s="29"/>
      <c r="S1071" s="31"/>
      <c r="T1071" s="28"/>
      <c r="U1071" s="28" t="s">
        <v>75</v>
      </c>
      <c r="V1071" s="28" t="s">
        <v>75</v>
      </c>
      <c r="W1071" s="31"/>
    </row>
    <row r="1072" spans="1:23">
      <c r="A1072" s="46" t="s">
        <v>572</v>
      </c>
      <c r="B1072" s="28" t="s">
        <v>1338</v>
      </c>
      <c r="C1072" s="28" t="s">
        <v>2588</v>
      </c>
      <c r="D1072" s="31" t="s">
        <v>2430</v>
      </c>
      <c r="E1072" s="28" t="s">
        <v>93</v>
      </c>
      <c r="F1072" s="28" t="s">
        <v>370</v>
      </c>
      <c r="G1072" s="28" t="s">
        <v>370</v>
      </c>
      <c r="H1072" s="28" t="s">
        <v>124</v>
      </c>
      <c r="I1072" s="28" t="str">
        <f>VLOOKUP(E1072,표준용어사전!$C$2:$D$494, 2, FALSE)</f>
        <v>명V20</v>
      </c>
      <c r="J1072" s="28" t="s">
        <v>718</v>
      </c>
      <c r="K1072" s="29" t="s">
        <v>986</v>
      </c>
      <c r="L1072" s="55" t="s">
        <v>571</v>
      </c>
      <c r="M1072" s="29" t="s">
        <v>727</v>
      </c>
      <c r="N1072" s="32" t="s">
        <v>2717</v>
      </c>
      <c r="O1072" s="31"/>
      <c r="P1072" s="31"/>
      <c r="Q1072" s="28"/>
      <c r="R1072" s="29"/>
      <c r="S1072" s="31"/>
      <c r="T1072" s="31"/>
      <c r="U1072" s="28" t="s">
        <v>75</v>
      </c>
      <c r="V1072" s="28" t="s">
        <v>75</v>
      </c>
      <c r="W1072" s="31"/>
    </row>
    <row r="1073" spans="1:23">
      <c r="A1073" s="46" t="s">
        <v>572</v>
      </c>
      <c r="B1073" s="28" t="s">
        <v>1338</v>
      </c>
      <c r="C1073" s="28" t="s">
        <v>2588</v>
      </c>
      <c r="D1073" s="31" t="s">
        <v>2431</v>
      </c>
      <c r="E1073" s="28" t="s">
        <v>2199</v>
      </c>
      <c r="F1073" s="28" t="s">
        <v>2198</v>
      </c>
      <c r="G1073" s="28" t="s">
        <v>2198</v>
      </c>
      <c r="H1073" s="28" t="s">
        <v>126</v>
      </c>
      <c r="I1073" s="28" t="str">
        <f>VLOOKUP(E1073,표준용어사전!$C$2:$D$494, 2, FALSE)</f>
        <v>연월일C8</v>
      </c>
      <c r="J1073" s="28" t="s">
        <v>709</v>
      </c>
      <c r="K1073" s="29">
        <v>8</v>
      </c>
      <c r="L1073" s="55" t="s">
        <v>571</v>
      </c>
      <c r="M1073" s="29" t="s">
        <v>731</v>
      </c>
      <c r="N1073" s="32" t="s">
        <v>2717</v>
      </c>
      <c r="O1073" s="31"/>
      <c r="P1073" s="31"/>
      <c r="Q1073" s="28"/>
      <c r="R1073" s="29"/>
      <c r="S1073" s="31"/>
      <c r="T1073" s="31"/>
      <c r="U1073" s="28" t="s">
        <v>75</v>
      </c>
      <c r="V1073" s="28" t="s">
        <v>75</v>
      </c>
      <c r="W1073" s="31"/>
    </row>
    <row r="1074" spans="1:23">
      <c r="A1074" s="46" t="s">
        <v>572</v>
      </c>
      <c r="B1074" s="28" t="s">
        <v>1338</v>
      </c>
      <c r="C1074" s="28" t="s">
        <v>2588</v>
      </c>
      <c r="D1074" s="31" t="s">
        <v>2431</v>
      </c>
      <c r="E1074" s="28" t="s">
        <v>2176</v>
      </c>
      <c r="F1074" s="28" t="s">
        <v>815</v>
      </c>
      <c r="G1074" s="28" t="s">
        <v>815</v>
      </c>
      <c r="H1074" s="28" t="s">
        <v>126</v>
      </c>
      <c r="I1074" s="28" t="str">
        <f>VLOOKUP(E1074,표준용어사전!$C$2:$D$494, 2, FALSE)</f>
        <v>번호I</v>
      </c>
      <c r="J1074" s="28" t="s">
        <v>717</v>
      </c>
      <c r="K1074" s="29" t="s">
        <v>571</v>
      </c>
      <c r="L1074" s="55" t="s">
        <v>571</v>
      </c>
      <c r="M1074" s="29" t="s">
        <v>2591</v>
      </c>
      <c r="N1074" s="32" t="s">
        <v>2717</v>
      </c>
      <c r="O1074" s="31"/>
      <c r="P1074" s="31"/>
      <c r="Q1074" s="28"/>
      <c r="R1074" s="29"/>
      <c r="S1074" s="31"/>
      <c r="T1074" s="31"/>
      <c r="U1074" s="28" t="s">
        <v>75</v>
      </c>
      <c r="V1074" s="28" t="s">
        <v>75</v>
      </c>
      <c r="W1074" s="31"/>
    </row>
    <row r="1075" spans="1:23">
      <c r="A1075" s="46" t="s">
        <v>572</v>
      </c>
      <c r="B1075" s="28" t="s">
        <v>1338</v>
      </c>
      <c r="C1075" s="28" t="s">
        <v>2588</v>
      </c>
      <c r="D1075" s="31" t="s">
        <v>2431</v>
      </c>
      <c r="E1075" s="28" t="s">
        <v>89</v>
      </c>
      <c r="F1075" s="28" t="s">
        <v>501</v>
      </c>
      <c r="G1075" s="28" t="s">
        <v>501</v>
      </c>
      <c r="H1075" s="28" t="s">
        <v>126</v>
      </c>
      <c r="I1075" s="28" t="str">
        <f>VLOOKUP(E1075,표준용어사전!$C$2:$D$494, 2, FALSE)</f>
        <v>명V20</v>
      </c>
      <c r="J1075" s="28" t="s">
        <v>718</v>
      </c>
      <c r="K1075" s="29" t="s">
        <v>986</v>
      </c>
      <c r="L1075" s="55" t="s">
        <v>571</v>
      </c>
      <c r="M1075" s="29" t="s">
        <v>727</v>
      </c>
      <c r="N1075" s="32" t="s">
        <v>2717</v>
      </c>
      <c r="O1075" s="31"/>
      <c r="P1075" s="31"/>
      <c r="Q1075" s="28"/>
      <c r="R1075" s="29"/>
      <c r="S1075" s="31"/>
      <c r="T1075" s="31"/>
      <c r="U1075" s="28" t="s">
        <v>75</v>
      </c>
      <c r="V1075" s="28" t="s">
        <v>75</v>
      </c>
      <c r="W1075" s="31"/>
    </row>
    <row r="1076" spans="1:23">
      <c r="A1076" s="46" t="s">
        <v>572</v>
      </c>
      <c r="B1076" s="28" t="s">
        <v>1338</v>
      </c>
      <c r="C1076" s="28" t="s">
        <v>2588</v>
      </c>
      <c r="D1076" s="31" t="s">
        <v>2431</v>
      </c>
      <c r="E1076" s="28" t="s">
        <v>125</v>
      </c>
      <c r="F1076" s="28" t="s">
        <v>393</v>
      </c>
      <c r="G1076" s="28" t="s">
        <v>393</v>
      </c>
      <c r="H1076" s="28" t="s">
        <v>126</v>
      </c>
      <c r="I1076" s="28" t="str">
        <f>VLOOKUP(E1076,표준용어사전!$C$2:$D$494, 2, FALSE)</f>
        <v>코드V50</v>
      </c>
      <c r="J1076" s="28" t="s">
        <v>718</v>
      </c>
      <c r="K1076" s="29">
        <v>50</v>
      </c>
      <c r="L1076" s="55" t="s">
        <v>571</v>
      </c>
      <c r="M1076" s="29" t="s">
        <v>720</v>
      </c>
      <c r="N1076" s="32" t="s">
        <v>2717</v>
      </c>
      <c r="O1076" s="31"/>
      <c r="P1076" s="31"/>
      <c r="Q1076" s="28"/>
      <c r="R1076" s="29"/>
      <c r="S1076" s="31"/>
      <c r="T1076" s="31"/>
      <c r="U1076" s="28" t="s">
        <v>75</v>
      </c>
      <c r="V1076" s="28" t="s">
        <v>75</v>
      </c>
      <c r="W1076" s="31"/>
    </row>
    <row r="1077" spans="1:23">
      <c r="A1077" s="46" t="s">
        <v>572</v>
      </c>
      <c r="B1077" s="28" t="s">
        <v>1338</v>
      </c>
      <c r="C1077" s="28" t="s">
        <v>2588</v>
      </c>
      <c r="D1077" s="31" t="s">
        <v>2431</v>
      </c>
      <c r="E1077" s="28" t="s">
        <v>2177</v>
      </c>
      <c r="F1077" s="28" t="s">
        <v>394</v>
      </c>
      <c r="G1077" s="28" t="s">
        <v>394</v>
      </c>
      <c r="H1077" s="28" t="s">
        <v>126</v>
      </c>
      <c r="I1077" s="28" t="str">
        <f>VLOOKUP(E1077,표준용어사전!$C$2:$D$494, 2, FALSE)</f>
        <v>명V512</v>
      </c>
      <c r="J1077" s="28" t="s">
        <v>718</v>
      </c>
      <c r="K1077" s="29">
        <v>512</v>
      </c>
      <c r="L1077" s="55" t="s">
        <v>571</v>
      </c>
      <c r="M1077" s="29" t="s">
        <v>721</v>
      </c>
      <c r="N1077" s="32" t="s">
        <v>2717</v>
      </c>
      <c r="O1077" s="31"/>
      <c r="P1077" s="31"/>
      <c r="Q1077" s="28"/>
      <c r="R1077" s="29"/>
      <c r="S1077" s="31"/>
      <c r="T1077" s="31"/>
      <c r="U1077" s="28" t="s">
        <v>75</v>
      </c>
      <c r="V1077" s="28" t="s">
        <v>75</v>
      </c>
      <c r="W1077" s="31"/>
    </row>
    <row r="1078" spans="1:23">
      <c r="A1078" s="46" t="s">
        <v>572</v>
      </c>
      <c r="B1078" s="28" t="s">
        <v>1338</v>
      </c>
      <c r="C1078" s="28" t="s">
        <v>2588</v>
      </c>
      <c r="D1078" s="31" t="s">
        <v>2431</v>
      </c>
      <c r="E1078" s="28" t="s">
        <v>90</v>
      </c>
      <c r="F1078" s="28" t="s">
        <v>14</v>
      </c>
      <c r="G1078" s="28" t="s">
        <v>14</v>
      </c>
      <c r="H1078" s="28" t="s">
        <v>126</v>
      </c>
      <c r="I1078" s="28" t="str">
        <f>VLOOKUP(E1078,표준용어사전!$C$2:$D$494, 2, FALSE)</f>
        <v>연월일시분초TS</v>
      </c>
      <c r="J1078" s="28" t="s">
        <v>719</v>
      </c>
      <c r="K1078" s="29" t="s">
        <v>571</v>
      </c>
      <c r="L1078" s="55" t="s">
        <v>571</v>
      </c>
      <c r="M1078" s="29" t="s">
        <v>726</v>
      </c>
      <c r="N1078" s="32" t="s">
        <v>2717</v>
      </c>
      <c r="O1078" s="31"/>
      <c r="P1078" s="31"/>
      <c r="Q1078" s="28"/>
      <c r="R1078" s="29"/>
      <c r="S1078" s="31"/>
      <c r="T1078" s="31"/>
      <c r="U1078" s="28" t="s">
        <v>75</v>
      </c>
      <c r="V1078" s="28" t="s">
        <v>75</v>
      </c>
      <c r="W1078" s="31"/>
    </row>
    <row r="1079" spans="1:23">
      <c r="A1079" s="46" t="s">
        <v>572</v>
      </c>
      <c r="B1079" s="28" t="s">
        <v>1338</v>
      </c>
      <c r="C1079" s="28" t="s">
        <v>2588</v>
      </c>
      <c r="D1079" s="31" t="s">
        <v>2431</v>
      </c>
      <c r="E1079" s="28" t="s">
        <v>91</v>
      </c>
      <c r="F1079" s="28" t="s">
        <v>369</v>
      </c>
      <c r="G1079" s="28" t="s">
        <v>369</v>
      </c>
      <c r="H1079" s="28" t="s">
        <v>126</v>
      </c>
      <c r="I1079" s="28" t="str">
        <f>VLOOKUP(E1079,표준용어사전!$C$2:$D$494, 2, FALSE)</f>
        <v>명V20</v>
      </c>
      <c r="J1079" s="28" t="s">
        <v>718</v>
      </c>
      <c r="K1079" s="29" t="s">
        <v>986</v>
      </c>
      <c r="L1079" s="55" t="s">
        <v>571</v>
      </c>
      <c r="M1079" s="29" t="s">
        <v>727</v>
      </c>
      <c r="N1079" s="32" t="s">
        <v>2717</v>
      </c>
      <c r="O1079" s="31"/>
      <c r="P1079" s="31"/>
      <c r="Q1079" s="28"/>
      <c r="R1079" s="29"/>
      <c r="S1079" s="31"/>
      <c r="T1079" s="31"/>
      <c r="U1079" s="28" t="s">
        <v>75</v>
      </c>
      <c r="V1079" s="28" t="s">
        <v>75</v>
      </c>
      <c r="W1079" s="31"/>
    </row>
    <row r="1080" spans="1:23">
      <c r="A1080" s="46" t="s">
        <v>572</v>
      </c>
      <c r="B1080" s="28" t="s">
        <v>1338</v>
      </c>
      <c r="C1080" s="28" t="s">
        <v>2588</v>
      </c>
      <c r="D1080" s="31" t="s">
        <v>2431</v>
      </c>
      <c r="E1080" s="28" t="s">
        <v>92</v>
      </c>
      <c r="F1080" s="28" t="s">
        <v>15</v>
      </c>
      <c r="G1080" s="28" t="s">
        <v>15</v>
      </c>
      <c r="H1080" s="28" t="s">
        <v>126</v>
      </c>
      <c r="I1080" s="28" t="str">
        <f>VLOOKUP(E1080,표준용어사전!$C$2:$D$494, 2, FALSE)</f>
        <v>연월일시분초TS</v>
      </c>
      <c r="J1080" s="28" t="s">
        <v>719</v>
      </c>
      <c r="K1080" s="29" t="s">
        <v>571</v>
      </c>
      <c r="L1080" s="55" t="s">
        <v>571</v>
      </c>
      <c r="M1080" s="29" t="s">
        <v>726</v>
      </c>
      <c r="N1080" s="32" t="s">
        <v>2717</v>
      </c>
      <c r="O1080" s="31"/>
      <c r="P1080" s="31"/>
      <c r="Q1080" s="28"/>
      <c r="R1080" s="29"/>
      <c r="S1080" s="31"/>
      <c r="T1080" s="31"/>
      <c r="U1080" s="28" t="s">
        <v>75</v>
      </c>
      <c r="V1080" s="28" t="s">
        <v>75</v>
      </c>
      <c r="W1080" s="31"/>
    </row>
    <row r="1081" spans="1:23">
      <c r="A1081" s="46" t="s">
        <v>572</v>
      </c>
      <c r="B1081" s="28" t="s">
        <v>1338</v>
      </c>
      <c r="C1081" s="28" t="s">
        <v>2588</v>
      </c>
      <c r="D1081" s="31" t="s">
        <v>2431</v>
      </c>
      <c r="E1081" s="28" t="s">
        <v>93</v>
      </c>
      <c r="F1081" s="28" t="s">
        <v>370</v>
      </c>
      <c r="G1081" s="28" t="s">
        <v>370</v>
      </c>
      <c r="H1081" s="28" t="s">
        <v>126</v>
      </c>
      <c r="I1081" s="28" t="str">
        <f>VLOOKUP(E1081,표준용어사전!$C$2:$D$494, 2, FALSE)</f>
        <v>명V20</v>
      </c>
      <c r="J1081" s="28" t="s">
        <v>718</v>
      </c>
      <c r="K1081" s="29" t="s">
        <v>986</v>
      </c>
      <c r="L1081" s="55" t="s">
        <v>571</v>
      </c>
      <c r="M1081" s="29" t="s">
        <v>727</v>
      </c>
      <c r="N1081" s="32" t="s">
        <v>2717</v>
      </c>
      <c r="O1081" s="31"/>
      <c r="P1081" s="31"/>
      <c r="Q1081" s="28"/>
      <c r="R1081" s="29"/>
      <c r="S1081" s="31"/>
      <c r="T1081" s="31"/>
      <c r="U1081" s="28" t="s">
        <v>75</v>
      </c>
      <c r="V1081" s="28" t="s">
        <v>75</v>
      </c>
      <c r="W1081" s="31"/>
    </row>
    <row r="1082" spans="1:23">
      <c r="A1082" s="46" t="s">
        <v>572</v>
      </c>
      <c r="B1082" s="28" t="s">
        <v>1338</v>
      </c>
      <c r="C1082" s="28" t="s">
        <v>2588</v>
      </c>
      <c r="D1082" s="31" t="s">
        <v>2439</v>
      </c>
      <c r="E1082" s="28" t="s">
        <v>2199</v>
      </c>
      <c r="F1082" s="28" t="s">
        <v>2198</v>
      </c>
      <c r="G1082" s="28" t="s">
        <v>2198</v>
      </c>
      <c r="H1082" s="28" t="s">
        <v>707</v>
      </c>
      <c r="I1082" s="28" t="str">
        <f>VLOOKUP(E1082,표준용어사전!$C$2:$D$494, 2, FALSE)</f>
        <v>연월일C8</v>
      </c>
      <c r="J1082" s="28" t="s">
        <v>709</v>
      </c>
      <c r="K1082" s="29">
        <v>8</v>
      </c>
      <c r="L1082" s="55" t="s">
        <v>571</v>
      </c>
      <c r="M1082" s="29" t="s">
        <v>731</v>
      </c>
      <c r="N1082" s="32" t="s">
        <v>2717</v>
      </c>
      <c r="O1082" s="31"/>
      <c r="P1082" s="31"/>
      <c r="Q1082" s="28"/>
      <c r="R1082" s="29"/>
      <c r="S1082" s="31"/>
      <c r="T1082" s="31"/>
      <c r="U1082" s="28" t="s">
        <v>75</v>
      </c>
      <c r="V1082" s="28" t="s">
        <v>75</v>
      </c>
      <c r="W1082" s="31"/>
    </row>
    <row r="1083" spans="1:23">
      <c r="A1083" s="46" t="s">
        <v>572</v>
      </c>
      <c r="B1083" s="28" t="s">
        <v>1338</v>
      </c>
      <c r="C1083" s="28" t="s">
        <v>2588</v>
      </c>
      <c r="D1083" s="31" t="s">
        <v>2439</v>
      </c>
      <c r="E1083" s="28" t="s">
        <v>295</v>
      </c>
      <c r="F1083" s="28" t="s">
        <v>518</v>
      </c>
      <c r="G1083" s="28" t="s">
        <v>518</v>
      </c>
      <c r="H1083" s="28" t="s">
        <v>707</v>
      </c>
      <c r="I1083" s="28" t="str">
        <f>VLOOKUP(E1083,표준용어사전!$C$2:$D$494, 2, FALSE)</f>
        <v>명V50</v>
      </c>
      <c r="J1083" s="28" t="s">
        <v>718</v>
      </c>
      <c r="K1083" s="29">
        <v>50</v>
      </c>
      <c r="L1083" s="55" t="s">
        <v>571</v>
      </c>
      <c r="M1083" s="29" t="s">
        <v>720</v>
      </c>
      <c r="N1083" s="32" t="s">
        <v>2717</v>
      </c>
      <c r="O1083" s="31"/>
      <c r="P1083" s="31"/>
      <c r="Q1083" s="28"/>
      <c r="R1083" s="29"/>
      <c r="S1083" s="31"/>
      <c r="T1083" s="31"/>
      <c r="U1083" s="28" t="s">
        <v>75</v>
      </c>
      <c r="V1083" s="28" t="s">
        <v>75</v>
      </c>
      <c r="W1083" s="31"/>
    </row>
    <row r="1084" spans="1:23">
      <c r="A1084" s="46" t="s">
        <v>572</v>
      </c>
      <c r="B1084" s="28" t="s">
        <v>1338</v>
      </c>
      <c r="C1084" s="28" t="s">
        <v>2588</v>
      </c>
      <c r="D1084" s="31" t="s">
        <v>2439</v>
      </c>
      <c r="E1084" s="28" t="s">
        <v>2512</v>
      </c>
      <c r="F1084" s="28" t="s">
        <v>896</v>
      </c>
      <c r="G1084" s="28" t="s">
        <v>896</v>
      </c>
      <c r="H1084" s="28" t="s">
        <v>707</v>
      </c>
      <c r="I1084" s="28" t="str">
        <f>VLOOKUP(E1084,표준용어사전!$C$2:$D$494, 2, FALSE)</f>
        <v>코드C4</v>
      </c>
      <c r="J1084" s="28" t="s">
        <v>709</v>
      </c>
      <c r="K1084" s="29">
        <v>4</v>
      </c>
      <c r="L1084" s="55" t="s">
        <v>571</v>
      </c>
      <c r="M1084" s="29" t="s">
        <v>929</v>
      </c>
      <c r="N1084" s="32" t="s">
        <v>2717</v>
      </c>
      <c r="O1084" s="31"/>
      <c r="P1084" s="31"/>
      <c r="Q1084" s="28"/>
      <c r="R1084" s="29"/>
      <c r="S1084" s="31"/>
      <c r="T1084" s="31"/>
      <c r="U1084" s="28" t="s">
        <v>75</v>
      </c>
      <c r="V1084" s="28" t="s">
        <v>75</v>
      </c>
      <c r="W1084" s="31"/>
    </row>
    <row r="1085" spans="1:23">
      <c r="A1085" s="46" t="s">
        <v>572</v>
      </c>
      <c r="B1085" s="28" t="s">
        <v>1338</v>
      </c>
      <c r="C1085" s="28" t="s">
        <v>2588</v>
      </c>
      <c r="D1085" s="31" t="s">
        <v>2439</v>
      </c>
      <c r="E1085" s="28" t="s">
        <v>2511</v>
      </c>
      <c r="F1085" s="28" t="s">
        <v>580</v>
      </c>
      <c r="G1085" s="28" t="s">
        <v>580</v>
      </c>
      <c r="H1085" s="28" t="s">
        <v>707</v>
      </c>
      <c r="I1085" s="28" t="str">
        <f>VLOOKUP(E1085,표준용어사전!$C$2:$D$494, 2, FALSE)</f>
        <v>명V20</v>
      </c>
      <c r="J1085" s="28" t="s">
        <v>718</v>
      </c>
      <c r="K1085" s="29" t="s">
        <v>986</v>
      </c>
      <c r="L1085" s="55" t="s">
        <v>571</v>
      </c>
      <c r="M1085" s="29" t="s">
        <v>727</v>
      </c>
      <c r="N1085" s="32" t="s">
        <v>2717</v>
      </c>
      <c r="O1085" s="31"/>
      <c r="P1085" s="31"/>
      <c r="Q1085" s="28"/>
      <c r="R1085" s="29"/>
      <c r="S1085" s="31"/>
      <c r="T1085" s="31"/>
      <c r="U1085" s="28" t="s">
        <v>75</v>
      </c>
      <c r="V1085" s="28" t="s">
        <v>75</v>
      </c>
      <c r="W1085" s="31"/>
    </row>
    <row r="1086" spans="1:23">
      <c r="A1086" s="46" t="s">
        <v>572</v>
      </c>
      <c r="B1086" s="28" t="s">
        <v>1338</v>
      </c>
      <c r="C1086" s="28" t="s">
        <v>2588</v>
      </c>
      <c r="D1086" s="31" t="s">
        <v>2439</v>
      </c>
      <c r="E1086" s="28" t="s">
        <v>90</v>
      </c>
      <c r="F1086" s="28" t="s">
        <v>14</v>
      </c>
      <c r="G1086" s="28" t="s">
        <v>14</v>
      </c>
      <c r="H1086" s="28" t="s">
        <v>707</v>
      </c>
      <c r="I1086" s="28" t="str">
        <f>VLOOKUP(E1086,표준용어사전!$C$2:$D$494, 2, FALSE)</f>
        <v>연월일시분초TS</v>
      </c>
      <c r="J1086" s="28" t="s">
        <v>719</v>
      </c>
      <c r="K1086" s="29" t="s">
        <v>571</v>
      </c>
      <c r="L1086" s="55" t="s">
        <v>571</v>
      </c>
      <c r="M1086" s="29" t="s">
        <v>726</v>
      </c>
      <c r="N1086" s="32" t="s">
        <v>2717</v>
      </c>
      <c r="O1086" s="31"/>
      <c r="P1086" s="31"/>
      <c r="Q1086" s="28"/>
      <c r="R1086" s="29"/>
      <c r="S1086" s="31"/>
      <c r="T1086" s="31"/>
      <c r="U1086" s="28" t="s">
        <v>75</v>
      </c>
      <c r="V1086" s="28" t="s">
        <v>75</v>
      </c>
      <c r="W1086" s="31"/>
    </row>
    <row r="1087" spans="1:23">
      <c r="A1087" s="46" t="s">
        <v>572</v>
      </c>
      <c r="B1087" s="28" t="s">
        <v>1338</v>
      </c>
      <c r="C1087" s="28" t="s">
        <v>2588</v>
      </c>
      <c r="D1087" s="31" t="s">
        <v>2439</v>
      </c>
      <c r="E1087" s="28" t="s">
        <v>91</v>
      </c>
      <c r="F1087" s="28" t="s">
        <v>369</v>
      </c>
      <c r="G1087" s="28" t="s">
        <v>369</v>
      </c>
      <c r="H1087" s="28" t="s">
        <v>707</v>
      </c>
      <c r="I1087" s="28" t="str">
        <f>VLOOKUP(E1087,표준용어사전!$C$2:$D$494, 2, FALSE)</f>
        <v>명V20</v>
      </c>
      <c r="J1087" s="28" t="s">
        <v>718</v>
      </c>
      <c r="K1087" s="29" t="s">
        <v>986</v>
      </c>
      <c r="L1087" s="55" t="s">
        <v>571</v>
      </c>
      <c r="M1087" s="29" t="s">
        <v>727</v>
      </c>
      <c r="N1087" s="32" t="s">
        <v>2717</v>
      </c>
      <c r="O1087" s="31"/>
      <c r="P1087" s="31"/>
      <c r="Q1087" s="28"/>
      <c r="R1087" s="29"/>
      <c r="S1087" s="31"/>
      <c r="T1087" s="31"/>
      <c r="U1087" s="28" t="s">
        <v>75</v>
      </c>
      <c r="V1087" s="28" t="s">
        <v>75</v>
      </c>
      <c r="W1087" s="31"/>
    </row>
    <row r="1088" spans="1:23">
      <c r="A1088" s="46" t="s">
        <v>572</v>
      </c>
      <c r="B1088" s="28" t="s">
        <v>1338</v>
      </c>
      <c r="C1088" s="28" t="s">
        <v>2588</v>
      </c>
      <c r="D1088" s="31" t="s">
        <v>2439</v>
      </c>
      <c r="E1088" s="28" t="s">
        <v>92</v>
      </c>
      <c r="F1088" s="28" t="s">
        <v>15</v>
      </c>
      <c r="G1088" s="28" t="s">
        <v>15</v>
      </c>
      <c r="H1088" s="28" t="s">
        <v>707</v>
      </c>
      <c r="I1088" s="28" t="str">
        <f>VLOOKUP(E1088,표준용어사전!$C$2:$D$494, 2, FALSE)</f>
        <v>연월일시분초TS</v>
      </c>
      <c r="J1088" s="28" t="s">
        <v>719</v>
      </c>
      <c r="K1088" s="29" t="s">
        <v>571</v>
      </c>
      <c r="L1088" s="55" t="s">
        <v>571</v>
      </c>
      <c r="M1088" s="29" t="s">
        <v>726</v>
      </c>
      <c r="N1088" s="32" t="s">
        <v>2717</v>
      </c>
      <c r="O1088" s="31"/>
      <c r="P1088" s="31"/>
      <c r="Q1088" s="28"/>
      <c r="R1088" s="29"/>
      <c r="S1088" s="31"/>
      <c r="T1088" s="31"/>
      <c r="U1088" s="28" t="s">
        <v>75</v>
      </c>
      <c r="V1088" s="28" t="s">
        <v>75</v>
      </c>
      <c r="W1088" s="31"/>
    </row>
    <row r="1089" spans="1:23">
      <c r="A1089" s="46" t="s">
        <v>572</v>
      </c>
      <c r="B1089" s="28" t="s">
        <v>1338</v>
      </c>
      <c r="C1089" s="28" t="s">
        <v>2588</v>
      </c>
      <c r="D1089" s="31" t="s">
        <v>2439</v>
      </c>
      <c r="E1089" s="28" t="s">
        <v>93</v>
      </c>
      <c r="F1089" s="28" t="s">
        <v>370</v>
      </c>
      <c r="G1089" s="28" t="s">
        <v>370</v>
      </c>
      <c r="H1089" s="28" t="s">
        <v>707</v>
      </c>
      <c r="I1089" s="28" t="str">
        <f>VLOOKUP(E1089,표준용어사전!$C$2:$D$494, 2, FALSE)</f>
        <v>명V20</v>
      </c>
      <c r="J1089" s="28" t="s">
        <v>718</v>
      </c>
      <c r="K1089" s="29" t="s">
        <v>986</v>
      </c>
      <c r="L1089" s="55" t="s">
        <v>571</v>
      </c>
      <c r="M1089" s="29" t="s">
        <v>727</v>
      </c>
      <c r="N1089" s="32" t="s">
        <v>2717</v>
      </c>
      <c r="O1089" s="31"/>
      <c r="P1089" s="31"/>
      <c r="Q1089" s="28"/>
      <c r="R1089" s="29"/>
      <c r="S1089" s="31"/>
      <c r="T1089" s="31"/>
      <c r="U1089" s="28" t="s">
        <v>75</v>
      </c>
      <c r="V1089" s="28" t="s">
        <v>75</v>
      </c>
      <c r="W1089" s="31"/>
    </row>
    <row r="1090" spans="1:23">
      <c r="A1090" s="46" t="s">
        <v>572</v>
      </c>
      <c r="B1090" s="28" t="s">
        <v>1338</v>
      </c>
      <c r="C1090" s="28" t="s">
        <v>2588</v>
      </c>
      <c r="D1090" s="31" t="s">
        <v>2439</v>
      </c>
      <c r="E1090" s="28" t="s">
        <v>1345</v>
      </c>
      <c r="F1090" s="28" t="s">
        <v>1346</v>
      </c>
      <c r="G1090" s="28" t="s">
        <v>1346</v>
      </c>
      <c r="H1090" s="28" t="s">
        <v>707</v>
      </c>
      <c r="I1090" s="28" t="str">
        <f>VLOOKUP(E1090,표준용어사전!$C$2:$D$494, 2, FALSE)</f>
        <v>수N10,3</v>
      </c>
      <c r="J1090" s="28" t="s">
        <v>748</v>
      </c>
      <c r="K1090" s="29" t="s">
        <v>1061</v>
      </c>
      <c r="L1090" s="55" t="s">
        <v>980</v>
      </c>
      <c r="M1090" s="29" t="s">
        <v>2593</v>
      </c>
      <c r="N1090" s="32" t="s">
        <v>2717</v>
      </c>
      <c r="O1090" s="31"/>
      <c r="P1090" s="31"/>
      <c r="Q1090" s="28"/>
      <c r="R1090" s="29"/>
      <c r="S1090" s="31"/>
      <c r="T1090" s="31"/>
      <c r="U1090" s="28" t="s">
        <v>75</v>
      </c>
      <c r="V1090" s="28" t="s">
        <v>75</v>
      </c>
      <c r="W1090" s="31"/>
    </row>
    <row r="1091" spans="1:23">
      <c r="A1091" s="46" t="s">
        <v>572</v>
      </c>
      <c r="B1091" s="28" t="s">
        <v>1338</v>
      </c>
      <c r="C1091" s="28" t="s">
        <v>2588</v>
      </c>
      <c r="D1091" s="31" t="s">
        <v>630</v>
      </c>
      <c r="E1091" s="28" t="s">
        <v>2199</v>
      </c>
      <c r="F1091" s="28" t="s">
        <v>2198</v>
      </c>
      <c r="G1091" s="28" t="s">
        <v>2198</v>
      </c>
      <c r="H1091" s="28" t="s">
        <v>152</v>
      </c>
      <c r="I1091" s="28" t="str">
        <f>VLOOKUP(E1091,표준용어사전!$C$2:$D$494, 2, FALSE)</f>
        <v>연월일C8</v>
      </c>
      <c r="J1091" s="28" t="s">
        <v>709</v>
      </c>
      <c r="K1091" s="29">
        <v>8</v>
      </c>
      <c r="L1091" s="55" t="s">
        <v>571</v>
      </c>
      <c r="M1091" s="29" t="s">
        <v>731</v>
      </c>
      <c r="N1091" s="32" t="s">
        <v>2717</v>
      </c>
      <c r="O1091" s="31"/>
      <c r="P1091" s="31"/>
      <c r="Q1091" s="28"/>
      <c r="R1091" s="29"/>
      <c r="S1091" s="31"/>
      <c r="T1091" s="31"/>
      <c r="U1091" s="28" t="s">
        <v>75</v>
      </c>
      <c r="V1091" s="28" t="s">
        <v>75</v>
      </c>
      <c r="W1091" s="31"/>
    </row>
    <row r="1092" spans="1:23">
      <c r="A1092" s="46" t="s">
        <v>572</v>
      </c>
      <c r="B1092" s="28" t="s">
        <v>1338</v>
      </c>
      <c r="C1092" s="28" t="s">
        <v>2588</v>
      </c>
      <c r="D1092" s="31" t="s">
        <v>630</v>
      </c>
      <c r="E1092" s="28" t="s">
        <v>151</v>
      </c>
      <c r="F1092" s="28" t="s">
        <v>413</v>
      </c>
      <c r="G1092" s="28" t="s">
        <v>413</v>
      </c>
      <c r="H1092" s="28" t="s">
        <v>152</v>
      </c>
      <c r="I1092" s="28" t="str">
        <f>VLOOKUP(E1092,표준용어사전!$C$2:$D$494, 2, FALSE)</f>
        <v>번호N10</v>
      </c>
      <c r="J1092" s="28" t="s">
        <v>748</v>
      </c>
      <c r="K1092" s="29">
        <v>10</v>
      </c>
      <c r="L1092" s="55" t="s">
        <v>571</v>
      </c>
      <c r="M1092" s="29" t="s">
        <v>2592</v>
      </c>
      <c r="N1092" s="32" t="s">
        <v>2717</v>
      </c>
      <c r="O1092" s="31"/>
      <c r="P1092" s="31"/>
      <c r="Q1092" s="28"/>
      <c r="R1092" s="29"/>
      <c r="S1092" s="31"/>
      <c r="T1092" s="31"/>
      <c r="U1092" s="28" t="s">
        <v>75</v>
      </c>
      <c r="V1092" s="28" t="s">
        <v>75</v>
      </c>
      <c r="W1092" s="31"/>
    </row>
    <row r="1093" spans="1:23">
      <c r="A1093" s="46" t="s">
        <v>572</v>
      </c>
      <c r="B1093" s="28" t="s">
        <v>1338</v>
      </c>
      <c r="C1093" s="28" t="s">
        <v>2588</v>
      </c>
      <c r="D1093" s="31" t="s">
        <v>630</v>
      </c>
      <c r="E1093" s="28" t="s">
        <v>89</v>
      </c>
      <c r="F1093" s="28" t="s">
        <v>501</v>
      </c>
      <c r="G1093" s="28" t="s">
        <v>501</v>
      </c>
      <c r="H1093" s="28" t="s">
        <v>152</v>
      </c>
      <c r="I1093" s="28" t="str">
        <f>VLOOKUP(E1093,표준용어사전!$C$2:$D$494, 2, FALSE)</f>
        <v>명V20</v>
      </c>
      <c r="J1093" s="28" t="s">
        <v>718</v>
      </c>
      <c r="K1093" s="29" t="s">
        <v>986</v>
      </c>
      <c r="L1093" s="55" t="s">
        <v>571</v>
      </c>
      <c r="M1093" s="29" t="s">
        <v>727</v>
      </c>
      <c r="N1093" s="32" t="s">
        <v>2717</v>
      </c>
      <c r="O1093" s="31"/>
      <c r="P1093" s="31"/>
      <c r="Q1093" s="28"/>
      <c r="R1093" s="29"/>
      <c r="S1093" s="31"/>
      <c r="T1093" s="28"/>
      <c r="U1093" s="28" t="s">
        <v>75</v>
      </c>
      <c r="V1093" s="28" t="s">
        <v>75</v>
      </c>
      <c r="W1093" s="31"/>
    </row>
    <row r="1094" spans="1:23">
      <c r="A1094" s="46" t="s">
        <v>572</v>
      </c>
      <c r="B1094" s="28" t="s">
        <v>1338</v>
      </c>
      <c r="C1094" s="28" t="s">
        <v>2588</v>
      </c>
      <c r="D1094" s="31" t="s">
        <v>630</v>
      </c>
      <c r="E1094" s="28" t="s">
        <v>137</v>
      </c>
      <c r="F1094" s="28" t="s">
        <v>1613</v>
      </c>
      <c r="G1094" s="28" t="s">
        <v>1613</v>
      </c>
      <c r="H1094" s="28" t="s">
        <v>152</v>
      </c>
      <c r="I1094" s="28" t="str">
        <f>VLOOKUP(E1094,표준용어사전!$C$2:$D$494, 2, FALSE)</f>
        <v>명V50</v>
      </c>
      <c r="J1094" s="28" t="s">
        <v>718</v>
      </c>
      <c r="K1094" s="29">
        <v>50</v>
      </c>
      <c r="L1094" s="55" t="s">
        <v>571</v>
      </c>
      <c r="M1094" s="29" t="s">
        <v>720</v>
      </c>
      <c r="N1094" s="32" t="s">
        <v>2717</v>
      </c>
      <c r="O1094" s="31"/>
      <c r="P1094" s="31"/>
      <c r="Q1094" s="28"/>
      <c r="R1094" s="29"/>
      <c r="S1094" s="31"/>
      <c r="T1094" s="31"/>
      <c r="U1094" s="28" t="s">
        <v>75</v>
      </c>
      <c r="V1094" s="28" t="s">
        <v>75</v>
      </c>
      <c r="W1094" s="31"/>
    </row>
    <row r="1095" spans="1:23">
      <c r="A1095" s="46" t="s">
        <v>572</v>
      </c>
      <c r="B1095" s="28" t="s">
        <v>1338</v>
      </c>
      <c r="C1095" s="28" t="s">
        <v>2588</v>
      </c>
      <c r="D1095" s="31" t="s">
        <v>630</v>
      </c>
      <c r="E1095" s="28" t="s">
        <v>153</v>
      </c>
      <c r="F1095" s="28" t="s">
        <v>79</v>
      </c>
      <c r="G1095" s="28" t="s">
        <v>79</v>
      </c>
      <c r="H1095" s="28" t="s">
        <v>152</v>
      </c>
      <c r="I1095" s="28" t="str">
        <f>VLOOKUP(E1095,표준용어사전!$C$2:$D$494, 2, FALSE)</f>
        <v>코드C2</v>
      </c>
      <c r="J1095" s="28" t="s">
        <v>709</v>
      </c>
      <c r="K1095" s="29">
        <v>2</v>
      </c>
      <c r="L1095" s="55" t="s">
        <v>571</v>
      </c>
      <c r="M1095" s="29" t="s">
        <v>766</v>
      </c>
      <c r="N1095" s="32" t="s">
        <v>2717</v>
      </c>
      <c r="O1095" s="31"/>
      <c r="P1095" s="31"/>
      <c r="Q1095" s="28"/>
      <c r="R1095" s="29"/>
      <c r="S1095" s="31"/>
      <c r="T1095" s="31"/>
      <c r="U1095" s="28" t="s">
        <v>75</v>
      </c>
      <c r="V1095" s="28" t="s">
        <v>75</v>
      </c>
      <c r="W1095" s="31"/>
    </row>
    <row r="1096" spans="1:23">
      <c r="A1096" s="46" t="s">
        <v>572</v>
      </c>
      <c r="B1096" s="28" t="s">
        <v>1338</v>
      </c>
      <c r="C1096" s="28" t="s">
        <v>2588</v>
      </c>
      <c r="D1096" s="31" t="s">
        <v>630</v>
      </c>
      <c r="E1096" s="28" t="s">
        <v>154</v>
      </c>
      <c r="F1096" s="28" t="s">
        <v>414</v>
      </c>
      <c r="G1096" s="28" t="s">
        <v>414</v>
      </c>
      <c r="H1096" s="28" t="s">
        <v>152</v>
      </c>
      <c r="I1096" s="28" t="str">
        <f>VLOOKUP(E1096,표준용어사전!$C$2:$D$494, 2, FALSE)</f>
        <v>여부C1</v>
      </c>
      <c r="J1096" s="28" t="s">
        <v>709</v>
      </c>
      <c r="K1096" s="29">
        <v>1</v>
      </c>
      <c r="L1096" s="55" t="s">
        <v>571</v>
      </c>
      <c r="M1096" s="29" t="s">
        <v>722</v>
      </c>
      <c r="N1096" s="32" t="s">
        <v>2717</v>
      </c>
      <c r="O1096" s="31"/>
      <c r="P1096" s="31"/>
      <c r="Q1096" s="28"/>
      <c r="R1096" s="29"/>
      <c r="S1096" s="31"/>
      <c r="T1096" s="31"/>
      <c r="U1096" s="28" t="s">
        <v>75</v>
      </c>
      <c r="V1096" s="28" t="s">
        <v>75</v>
      </c>
      <c r="W1096" s="31"/>
    </row>
    <row r="1097" spans="1:23">
      <c r="A1097" s="46" t="s">
        <v>572</v>
      </c>
      <c r="B1097" s="28" t="s">
        <v>1338</v>
      </c>
      <c r="C1097" s="28" t="s">
        <v>2588</v>
      </c>
      <c r="D1097" s="31" t="s">
        <v>630</v>
      </c>
      <c r="E1097" s="28" t="s">
        <v>2067</v>
      </c>
      <c r="F1097" s="28" t="s">
        <v>415</v>
      </c>
      <c r="G1097" s="28" t="s">
        <v>415</v>
      </c>
      <c r="H1097" s="28" t="s">
        <v>152</v>
      </c>
      <c r="I1097" s="28" t="str">
        <f>VLOOKUP(E1097,표준용어사전!$C$2:$D$494, 2, FALSE)</f>
        <v>명V256</v>
      </c>
      <c r="J1097" s="28" t="s">
        <v>718</v>
      </c>
      <c r="K1097" s="29">
        <v>256</v>
      </c>
      <c r="L1097" s="55" t="s">
        <v>571</v>
      </c>
      <c r="M1097" s="29" t="s">
        <v>730</v>
      </c>
      <c r="N1097" s="32" t="s">
        <v>2717</v>
      </c>
      <c r="O1097" s="31"/>
      <c r="P1097" s="31"/>
      <c r="Q1097" s="28"/>
      <c r="R1097" s="29"/>
      <c r="S1097" s="31"/>
      <c r="T1097" s="31"/>
      <c r="U1097" s="28" t="s">
        <v>75</v>
      </c>
      <c r="V1097" s="28" t="s">
        <v>75</v>
      </c>
      <c r="W1097" s="31"/>
    </row>
    <row r="1098" spans="1:23">
      <c r="A1098" s="46" t="s">
        <v>572</v>
      </c>
      <c r="B1098" s="28" t="s">
        <v>1338</v>
      </c>
      <c r="C1098" s="28" t="s">
        <v>2588</v>
      </c>
      <c r="D1098" s="31" t="s">
        <v>630</v>
      </c>
      <c r="E1098" s="28" t="s">
        <v>156</v>
      </c>
      <c r="F1098" s="28" t="s">
        <v>416</v>
      </c>
      <c r="G1098" s="28" t="s">
        <v>416</v>
      </c>
      <c r="H1098" s="28" t="s">
        <v>152</v>
      </c>
      <c r="I1098" s="28" t="str">
        <f>VLOOKUP(E1098,표준용어사전!$C$2:$D$494, 2, FALSE)</f>
        <v>명V512</v>
      </c>
      <c r="J1098" s="28" t="s">
        <v>718</v>
      </c>
      <c r="K1098" s="29">
        <v>512</v>
      </c>
      <c r="L1098" s="55" t="s">
        <v>571</v>
      </c>
      <c r="M1098" s="29" t="s">
        <v>721</v>
      </c>
      <c r="N1098" s="32" t="s">
        <v>2717</v>
      </c>
      <c r="O1098" s="31"/>
      <c r="P1098" s="31"/>
      <c r="Q1098" s="28"/>
      <c r="R1098" s="29"/>
      <c r="S1098" s="31"/>
      <c r="T1098" s="31"/>
      <c r="U1098" s="28" t="s">
        <v>75</v>
      </c>
      <c r="V1098" s="28" t="s">
        <v>75</v>
      </c>
      <c r="W1098" s="31"/>
    </row>
    <row r="1099" spans="1:23">
      <c r="A1099" s="46" t="s">
        <v>572</v>
      </c>
      <c r="B1099" s="28" t="s">
        <v>1338</v>
      </c>
      <c r="C1099" s="28" t="s">
        <v>2588</v>
      </c>
      <c r="D1099" s="31" t="s">
        <v>630</v>
      </c>
      <c r="E1099" s="28" t="s">
        <v>157</v>
      </c>
      <c r="F1099" s="28" t="s">
        <v>417</v>
      </c>
      <c r="G1099" s="28" t="s">
        <v>417</v>
      </c>
      <c r="H1099" s="28" t="s">
        <v>152</v>
      </c>
      <c r="I1099" s="28" t="str">
        <f>VLOOKUP(E1099,표준용어사전!$C$2:$D$494, 2, FALSE)</f>
        <v>내용TXT</v>
      </c>
      <c r="J1099" s="28" t="s">
        <v>713</v>
      </c>
      <c r="K1099" s="29" t="s">
        <v>571</v>
      </c>
      <c r="L1099" s="55" t="s">
        <v>571</v>
      </c>
      <c r="M1099" s="29" t="s">
        <v>2590</v>
      </c>
      <c r="N1099" s="32" t="s">
        <v>2717</v>
      </c>
      <c r="O1099" s="31"/>
      <c r="P1099" s="31"/>
      <c r="Q1099" s="28"/>
      <c r="R1099" s="29"/>
      <c r="S1099" s="31"/>
      <c r="T1099" s="28"/>
      <c r="U1099" s="28" t="s">
        <v>75</v>
      </c>
      <c r="V1099" s="28" t="s">
        <v>75</v>
      </c>
      <c r="W1099" s="31"/>
    </row>
    <row r="1100" spans="1:23">
      <c r="A1100" s="46" t="s">
        <v>572</v>
      </c>
      <c r="B1100" s="28" t="s">
        <v>1338</v>
      </c>
      <c r="C1100" s="28" t="s">
        <v>2588</v>
      </c>
      <c r="D1100" s="31" t="s">
        <v>630</v>
      </c>
      <c r="E1100" s="28" t="s">
        <v>158</v>
      </c>
      <c r="F1100" s="28" t="s">
        <v>418</v>
      </c>
      <c r="G1100" s="28" t="s">
        <v>418</v>
      </c>
      <c r="H1100" s="28" t="s">
        <v>152</v>
      </c>
      <c r="I1100" s="28" t="str">
        <f>VLOOKUP(E1100,표준용어사전!$C$2:$D$494, 2, FALSE)</f>
        <v>내용TXT</v>
      </c>
      <c r="J1100" s="28" t="s">
        <v>713</v>
      </c>
      <c r="K1100" s="29" t="s">
        <v>571</v>
      </c>
      <c r="L1100" s="55" t="s">
        <v>571</v>
      </c>
      <c r="M1100" s="29" t="s">
        <v>2590</v>
      </c>
      <c r="N1100" s="32" t="s">
        <v>2717</v>
      </c>
      <c r="O1100" s="31"/>
      <c r="P1100" s="31"/>
      <c r="Q1100" s="28"/>
      <c r="R1100" s="29"/>
      <c r="S1100" s="31"/>
      <c r="T1100" s="31"/>
      <c r="U1100" s="28" t="s">
        <v>75</v>
      </c>
      <c r="V1100" s="28" t="s">
        <v>75</v>
      </c>
      <c r="W1100" s="31"/>
    </row>
    <row r="1101" spans="1:23">
      <c r="A1101" s="46" t="s">
        <v>572</v>
      </c>
      <c r="B1101" s="28" t="s">
        <v>1338</v>
      </c>
      <c r="C1101" s="28" t="s">
        <v>2588</v>
      </c>
      <c r="D1101" s="31" t="s">
        <v>630</v>
      </c>
      <c r="E1101" s="28" t="s">
        <v>2068</v>
      </c>
      <c r="F1101" s="28" t="s">
        <v>406</v>
      </c>
      <c r="G1101" s="28" t="s">
        <v>406</v>
      </c>
      <c r="H1101" s="28" t="s">
        <v>152</v>
      </c>
      <c r="I1101" s="28" t="str">
        <f>VLOOKUP(E1101,표준용어사전!$C$2:$D$494, 2, FALSE)</f>
        <v>명V256</v>
      </c>
      <c r="J1101" s="28" t="s">
        <v>718</v>
      </c>
      <c r="K1101" s="29">
        <v>256</v>
      </c>
      <c r="L1101" s="55" t="s">
        <v>571</v>
      </c>
      <c r="M1101" s="29" t="s">
        <v>730</v>
      </c>
      <c r="N1101" s="32" t="s">
        <v>2717</v>
      </c>
      <c r="O1101" s="31"/>
      <c r="P1101" s="31"/>
      <c r="Q1101" s="28"/>
      <c r="R1101" s="29"/>
      <c r="S1101" s="31"/>
      <c r="T1101" s="28"/>
      <c r="U1101" s="28" t="s">
        <v>75</v>
      </c>
      <c r="V1101" s="28" t="s">
        <v>75</v>
      </c>
      <c r="W1101" s="31"/>
    </row>
    <row r="1102" spans="1:23">
      <c r="A1102" s="46" t="s">
        <v>572</v>
      </c>
      <c r="B1102" s="28" t="s">
        <v>1338</v>
      </c>
      <c r="C1102" s="28" t="s">
        <v>2588</v>
      </c>
      <c r="D1102" s="31" t="s">
        <v>630</v>
      </c>
      <c r="E1102" s="28" t="s">
        <v>2066</v>
      </c>
      <c r="F1102" s="28" t="s">
        <v>2420</v>
      </c>
      <c r="G1102" s="28" t="s">
        <v>2420</v>
      </c>
      <c r="H1102" s="28" t="s">
        <v>152</v>
      </c>
      <c r="I1102" s="28" t="str">
        <f>VLOOKUP(E1102,표준용어사전!$C$2:$D$494, 2, FALSE)</f>
        <v>주소V2000</v>
      </c>
      <c r="J1102" s="28" t="s">
        <v>718</v>
      </c>
      <c r="K1102" s="29">
        <v>2000</v>
      </c>
      <c r="L1102" s="55" t="s">
        <v>571</v>
      </c>
      <c r="M1102" s="29" t="s">
        <v>728</v>
      </c>
      <c r="N1102" s="32" t="s">
        <v>2717</v>
      </c>
      <c r="O1102" s="31"/>
      <c r="P1102" s="31"/>
      <c r="Q1102" s="28"/>
      <c r="R1102" s="29"/>
      <c r="S1102" s="31"/>
      <c r="T1102" s="31"/>
      <c r="U1102" s="28" t="s">
        <v>75</v>
      </c>
      <c r="V1102" s="28" t="s">
        <v>75</v>
      </c>
      <c r="W1102" s="31"/>
    </row>
    <row r="1103" spans="1:23">
      <c r="A1103" s="46" t="s">
        <v>572</v>
      </c>
      <c r="B1103" s="28" t="s">
        <v>1338</v>
      </c>
      <c r="C1103" s="28" t="s">
        <v>2588</v>
      </c>
      <c r="D1103" s="31" t="s">
        <v>630</v>
      </c>
      <c r="E1103" s="28" t="s">
        <v>2070</v>
      </c>
      <c r="F1103" s="28" t="s">
        <v>2421</v>
      </c>
      <c r="G1103" s="28" t="s">
        <v>2421</v>
      </c>
      <c r="H1103" s="28" t="s">
        <v>152</v>
      </c>
      <c r="I1103" s="28" t="str">
        <f>VLOOKUP(E1103,표준용어사전!$C$2:$D$494, 2, FALSE)</f>
        <v>주소V2000</v>
      </c>
      <c r="J1103" s="28" t="s">
        <v>718</v>
      </c>
      <c r="K1103" s="29">
        <v>2000</v>
      </c>
      <c r="L1103" s="55" t="s">
        <v>571</v>
      </c>
      <c r="M1103" s="29" t="s">
        <v>728</v>
      </c>
      <c r="N1103" s="32" t="s">
        <v>2717</v>
      </c>
      <c r="O1103" s="31"/>
      <c r="P1103" s="31"/>
      <c r="Q1103" s="28"/>
      <c r="R1103" s="29"/>
      <c r="S1103" s="31"/>
      <c r="T1103" s="31"/>
      <c r="U1103" s="28" t="s">
        <v>75</v>
      </c>
      <c r="V1103" s="28" t="s">
        <v>75</v>
      </c>
      <c r="W1103" s="31"/>
    </row>
    <row r="1104" spans="1:23">
      <c r="A1104" s="46" t="s">
        <v>572</v>
      </c>
      <c r="B1104" s="28" t="s">
        <v>1338</v>
      </c>
      <c r="C1104" s="28" t="s">
        <v>2588</v>
      </c>
      <c r="D1104" s="31" t="s">
        <v>630</v>
      </c>
      <c r="E1104" s="28" t="s">
        <v>2071</v>
      </c>
      <c r="F1104" s="28" t="s">
        <v>419</v>
      </c>
      <c r="G1104" s="28" t="s">
        <v>419</v>
      </c>
      <c r="H1104" s="28" t="s">
        <v>152</v>
      </c>
      <c r="I1104" s="28" t="str">
        <f>VLOOKUP(E1104,표준용어사전!$C$2:$D$494, 2, FALSE)</f>
        <v>여부C1</v>
      </c>
      <c r="J1104" s="28" t="s">
        <v>709</v>
      </c>
      <c r="K1104" s="29">
        <v>1</v>
      </c>
      <c r="L1104" s="55" t="s">
        <v>571</v>
      </c>
      <c r="M1104" s="29" t="s">
        <v>722</v>
      </c>
      <c r="N1104" s="32" t="s">
        <v>2717</v>
      </c>
      <c r="O1104" s="31"/>
      <c r="P1104" s="31"/>
      <c r="Q1104" s="28"/>
      <c r="R1104" s="29"/>
      <c r="S1104" s="31"/>
      <c r="T1104" s="31"/>
      <c r="U1104" s="28" t="s">
        <v>75</v>
      </c>
      <c r="V1104" s="28" t="s">
        <v>75</v>
      </c>
      <c r="W1104" s="31"/>
    </row>
    <row r="1105" spans="1:23">
      <c r="A1105" s="46" t="s">
        <v>572</v>
      </c>
      <c r="B1105" s="28" t="s">
        <v>1338</v>
      </c>
      <c r="C1105" s="28" t="s">
        <v>2588</v>
      </c>
      <c r="D1105" s="31" t="s">
        <v>630</v>
      </c>
      <c r="E1105" s="28" t="s">
        <v>849</v>
      </c>
      <c r="F1105" s="28" t="s">
        <v>761</v>
      </c>
      <c r="G1105" s="28" t="s">
        <v>761</v>
      </c>
      <c r="H1105" s="28" t="s">
        <v>152</v>
      </c>
      <c r="I1105" s="28" t="str">
        <f>VLOOKUP(E1105,표준용어사전!$C$2:$D$494, 2, FALSE)</f>
        <v>여부C1</v>
      </c>
      <c r="J1105" s="28" t="s">
        <v>709</v>
      </c>
      <c r="K1105" s="29">
        <v>1</v>
      </c>
      <c r="L1105" s="55" t="s">
        <v>571</v>
      </c>
      <c r="M1105" s="29" t="s">
        <v>722</v>
      </c>
      <c r="N1105" s="32" t="s">
        <v>2717</v>
      </c>
      <c r="O1105" s="31"/>
      <c r="P1105" s="31"/>
      <c r="Q1105" s="28"/>
      <c r="R1105" s="29"/>
      <c r="S1105" s="31"/>
      <c r="T1105" s="31"/>
      <c r="U1105" s="28" t="s">
        <v>75</v>
      </c>
      <c r="V1105" s="28" t="s">
        <v>75</v>
      </c>
      <c r="W1105" s="31"/>
    </row>
    <row r="1106" spans="1:23">
      <c r="A1106" s="46" t="s">
        <v>572</v>
      </c>
      <c r="B1106" s="28" t="s">
        <v>1338</v>
      </c>
      <c r="C1106" s="28" t="s">
        <v>2588</v>
      </c>
      <c r="D1106" s="31" t="s">
        <v>630</v>
      </c>
      <c r="E1106" s="28" t="s">
        <v>90</v>
      </c>
      <c r="F1106" s="28" t="s">
        <v>14</v>
      </c>
      <c r="G1106" s="28" t="s">
        <v>14</v>
      </c>
      <c r="H1106" s="28" t="s">
        <v>152</v>
      </c>
      <c r="I1106" s="28" t="str">
        <f>VLOOKUP(E1106,표준용어사전!$C$2:$D$494, 2, FALSE)</f>
        <v>연월일시분초TS</v>
      </c>
      <c r="J1106" s="28" t="s">
        <v>719</v>
      </c>
      <c r="K1106" s="29" t="s">
        <v>571</v>
      </c>
      <c r="L1106" s="55" t="s">
        <v>571</v>
      </c>
      <c r="M1106" s="29" t="s">
        <v>726</v>
      </c>
      <c r="N1106" s="32" t="s">
        <v>2717</v>
      </c>
      <c r="O1106" s="31"/>
      <c r="P1106" s="31"/>
      <c r="Q1106" s="28"/>
      <c r="R1106" s="29"/>
      <c r="S1106" s="31"/>
      <c r="T1106" s="31"/>
      <c r="U1106" s="28" t="s">
        <v>75</v>
      </c>
      <c r="V1106" s="28" t="s">
        <v>75</v>
      </c>
      <c r="W1106" s="31"/>
    </row>
    <row r="1107" spans="1:23">
      <c r="A1107" s="46" t="s">
        <v>572</v>
      </c>
      <c r="B1107" s="28" t="s">
        <v>1338</v>
      </c>
      <c r="C1107" s="28" t="s">
        <v>2588</v>
      </c>
      <c r="D1107" s="31" t="s">
        <v>630</v>
      </c>
      <c r="E1107" s="28" t="s">
        <v>91</v>
      </c>
      <c r="F1107" s="28" t="s">
        <v>369</v>
      </c>
      <c r="G1107" s="28" t="s">
        <v>369</v>
      </c>
      <c r="H1107" s="28" t="s">
        <v>152</v>
      </c>
      <c r="I1107" s="28" t="str">
        <f>VLOOKUP(E1107,표준용어사전!$C$2:$D$494, 2, FALSE)</f>
        <v>명V20</v>
      </c>
      <c r="J1107" s="28" t="s">
        <v>718</v>
      </c>
      <c r="K1107" s="29" t="s">
        <v>986</v>
      </c>
      <c r="L1107" s="55" t="s">
        <v>571</v>
      </c>
      <c r="M1107" s="29" t="s">
        <v>727</v>
      </c>
      <c r="N1107" s="32" t="s">
        <v>2717</v>
      </c>
      <c r="O1107" s="31"/>
      <c r="P1107" s="31"/>
      <c r="Q1107" s="28"/>
      <c r="R1107" s="29"/>
      <c r="S1107" s="31"/>
      <c r="T1107" s="31"/>
      <c r="U1107" s="28" t="s">
        <v>75</v>
      </c>
      <c r="V1107" s="28" t="s">
        <v>75</v>
      </c>
      <c r="W1107" s="31"/>
    </row>
    <row r="1108" spans="1:23">
      <c r="A1108" s="46" t="s">
        <v>572</v>
      </c>
      <c r="B1108" s="28" t="s">
        <v>1338</v>
      </c>
      <c r="C1108" s="28" t="s">
        <v>2588</v>
      </c>
      <c r="D1108" s="31" t="s">
        <v>630</v>
      </c>
      <c r="E1108" s="28" t="s">
        <v>92</v>
      </c>
      <c r="F1108" s="28" t="s">
        <v>15</v>
      </c>
      <c r="G1108" s="28" t="s">
        <v>15</v>
      </c>
      <c r="H1108" s="28" t="s">
        <v>152</v>
      </c>
      <c r="I1108" s="28" t="str">
        <f>VLOOKUP(E1108,표준용어사전!$C$2:$D$494, 2, FALSE)</f>
        <v>연월일시분초TS</v>
      </c>
      <c r="J1108" s="28" t="s">
        <v>719</v>
      </c>
      <c r="K1108" s="29" t="s">
        <v>571</v>
      </c>
      <c r="L1108" s="55" t="s">
        <v>571</v>
      </c>
      <c r="M1108" s="29" t="s">
        <v>726</v>
      </c>
      <c r="N1108" s="32" t="s">
        <v>2717</v>
      </c>
      <c r="O1108" s="31"/>
      <c r="P1108" s="31"/>
      <c r="Q1108" s="28"/>
      <c r="R1108" s="29"/>
      <c r="S1108" s="31"/>
      <c r="T1108" s="28"/>
      <c r="U1108" s="28" t="s">
        <v>75</v>
      </c>
      <c r="V1108" s="28" t="s">
        <v>75</v>
      </c>
      <c r="W1108" s="31"/>
    </row>
    <row r="1109" spans="1:23">
      <c r="A1109" s="46" t="s">
        <v>572</v>
      </c>
      <c r="B1109" s="28" t="s">
        <v>1338</v>
      </c>
      <c r="C1109" s="28" t="s">
        <v>2588</v>
      </c>
      <c r="D1109" s="31" t="s">
        <v>630</v>
      </c>
      <c r="E1109" s="28" t="s">
        <v>93</v>
      </c>
      <c r="F1109" s="28" t="s">
        <v>370</v>
      </c>
      <c r="G1109" s="28" t="s">
        <v>370</v>
      </c>
      <c r="H1109" s="28" t="s">
        <v>152</v>
      </c>
      <c r="I1109" s="28" t="str">
        <f>VLOOKUP(E1109,표준용어사전!$C$2:$D$494, 2, FALSE)</f>
        <v>명V20</v>
      </c>
      <c r="J1109" s="28" t="s">
        <v>718</v>
      </c>
      <c r="K1109" s="29" t="s">
        <v>986</v>
      </c>
      <c r="L1109" s="55" t="s">
        <v>571</v>
      </c>
      <c r="M1109" s="29" t="s">
        <v>727</v>
      </c>
      <c r="N1109" s="32" t="s">
        <v>2717</v>
      </c>
      <c r="O1109" s="31"/>
      <c r="P1109" s="31"/>
      <c r="Q1109" s="28"/>
      <c r="R1109" s="29"/>
      <c r="S1109" s="31"/>
      <c r="T1109" s="31"/>
      <c r="U1109" s="28" t="s">
        <v>75</v>
      </c>
      <c r="V1109" s="28" t="s">
        <v>75</v>
      </c>
      <c r="W1109" s="31"/>
    </row>
    <row r="1110" spans="1:23">
      <c r="A1110" s="46" t="s">
        <v>572</v>
      </c>
      <c r="B1110" s="28" t="s">
        <v>1338</v>
      </c>
      <c r="C1110" s="28" t="s">
        <v>2588</v>
      </c>
      <c r="D1110" s="31" t="s">
        <v>678</v>
      </c>
      <c r="E1110" s="28" t="s">
        <v>2199</v>
      </c>
      <c r="F1110" s="28" t="s">
        <v>2198</v>
      </c>
      <c r="G1110" s="28" t="s">
        <v>2198</v>
      </c>
      <c r="H1110" s="28" t="s">
        <v>160</v>
      </c>
      <c r="I1110" s="28" t="str">
        <f>VLOOKUP(E1110,표준용어사전!$C$2:$D$494, 2, FALSE)</f>
        <v>연월일C8</v>
      </c>
      <c r="J1110" s="28" t="s">
        <v>709</v>
      </c>
      <c r="K1110" s="29">
        <v>8</v>
      </c>
      <c r="L1110" s="55" t="s">
        <v>571</v>
      </c>
      <c r="M1110" s="29" t="s">
        <v>731</v>
      </c>
      <c r="N1110" s="32" t="s">
        <v>2717</v>
      </c>
      <c r="O1110" s="31"/>
      <c r="P1110" s="31"/>
      <c r="Q1110" s="28"/>
      <c r="R1110" s="29"/>
      <c r="S1110" s="31"/>
      <c r="T1110" s="28"/>
      <c r="U1110" s="28" t="s">
        <v>75</v>
      </c>
      <c r="V1110" s="28" t="s">
        <v>75</v>
      </c>
      <c r="W1110" s="31"/>
    </row>
    <row r="1111" spans="1:23">
      <c r="A1111" s="46" t="s">
        <v>572</v>
      </c>
      <c r="B1111" s="28" t="s">
        <v>1338</v>
      </c>
      <c r="C1111" s="28" t="s">
        <v>2588</v>
      </c>
      <c r="D1111" s="31" t="s">
        <v>678</v>
      </c>
      <c r="E1111" s="28" t="s">
        <v>89</v>
      </c>
      <c r="F1111" s="28" t="s">
        <v>501</v>
      </c>
      <c r="G1111" s="28" t="s">
        <v>501</v>
      </c>
      <c r="H1111" s="28" t="s">
        <v>160</v>
      </c>
      <c r="I1111" s="28" t="str">
        <f>VLOOKUP(E1111,표준용어사전!$C$2:$D$494, 2, FALSE)</f>
        <v>명V20</v>
      </c>
      <c r="J1111" s="28" t="s">
        <v>718</v>
      </c>
      <c r="K1111" s="29" t="s">
        <v>986</v>
      </c>
      <c r="L1111" s="55" t="s">
        <v>571</v>
      </c>
      <c r="M1111" s="29" t="s">
        <v>727</v>
      </c>
      <c r="N1111" s="32" t="s">
        <v>2717</v>
      </c>
      <c r="O1111" s="31"/>
      <c r="P1111" s="31"/>
      <c r="Q1111" s="28"/>
      <c r="R1111" s="29"/>
      <c r="S1111" s="31"/>
      <c r="T1111" s="31"/>
      <c r="U1111" s="28" t="s">
        <v>75</v>
      </c>
      <c r="V1111" s="28" t="s">
        <v>75</v>
      </c>
      <c r="W1111" s="31"/>
    </row>
    <row r="1112" spans="1:23">
      <c r="A1112" s="46" t="s">
        <v>572</v>
      </c>
      <c r="B1112" s="28" t="s">
        <v>1338</v>
      </c>
      <c r="C1112" s="28" t="s">
        <v>2588</v>
      </c>
      <c r="D1112" s="31" t="s">
        <v>678</v>
      </c>
      <c r="E1112" s="28" t="s">
        <v>2064</v>
      </c>
      <c r="F1112" s="28" t="s">
        <v>2583</v>
      </c>
      <c r="G1112" s="28" t="s">
        <v>2583</v>
      </c>
      <c r="H1112" s="28" t="s">
        <v>160</v>
      </c>
      <c r="I1112" s="28" t="str">
        <f>VLOOKUP(E1112,표준용어사전!$C$2:$D$494, 2, FALSE)</f>
        <v>번호N10</v>
      </c>
      <c r="J1112" s="28" t="s">
        <v>748</v>
      </c>
      <c r="K1112" s="29">
        <v>10</v>
      </c>
      <c r="L1112" s="55" t="s">
        <v>571</v>
      </c>
      <c r="M1112" s="29" t="s">
        <v>2592</v>
      </c>
      <c r="N1112" s="32" t="s">
        <v>2717</v>
      </c>
      <c r="O1112" s="31"/>
      <c r="P1112" s="31"/>
      <c r="Q1112" s="28"/>
      <c r="R1112" s="29"/>
      <c r="S1112" s="31"/>
      <c r="T1112" s="31"/>
      <c r="U1112" s="28" t="s">
        <v>75</v>
      </c>
      <c r="V1112" s="28" t="s">
        <v>75</v>
      </c>
      <c r="W1112" s="28"/>
    </row>
    <row r="1113" spans="1:23">
      <c r="A1113" s="46" t="s">
        <v>572</v>
      </c>
      <c r="B1113" s="28" t="s">
        <v>1338</v>
      </c>
      <c r="C1113" s="28" t="s">
        <v>2588</v>
      </c>
      <c r="D1113" s="31" t="s">
        <v>678</v>
      </c>
      <c r="E1113" s="28" t="s">
        <v>161</v>
      </c>
      <c r="F1113" s="28" t="s">
        <v>420</v>
      </c>
      <c r="G1113" s="28" t="s">
        <v>420</v>
      </c>
      <c r="H1113" s="28" t="s">
        <v>160</v>
      </c>
      <c r="I1113" s="28" t="str">
        <f>VLOOKUP(E1113,표준용어사전!$C$2:$D$494, 2, FALSE)</f>
        <v>내용TXT</v>
      </c>
      <c r="J1113" s="28" t="s">
        <v>713</v>
      </c>
      <c r="K1113" s="29" t="s">
        <v>571</v>
      </c>
      <c r="L1113" s="55" t="s">
        <v>571</v>
      </c>
      <c r="M1113" s="29" t="s">
        <v>2590</v>
      </c>
      <c r="N1113" s="32" t="s">
        <v>2717</v>
      </c>
      <c r="O1113" s="31"/>
      <c r="P1113" s="31"/>
      <c r="Q1113" s="28"/>
      <c r="R1113" s="29"/>
      <c r="S1113" s="31"/>
      <c r="T1113" s="31"/>
      <c r="U1113" s="28" t="s">
        <v>75</v>
      </c>
      <c r="V1113" s="28" t="s">
        <v>75</v>
      </c>
      <c r="W1113" s="28"/>
    </row>
    <row r="1114" spans="1:23">
      <c r="A1114" s="46" t="s">
        <v>572</v>
      </c>
      <c r="B1114" s="28" t="s">
        <v>1338</v>
      </c>
      <c r="C1114" s="28" t="s">
        <v>2588</v>
      </c>
      <c r="D1114" s="31" t="s">
        <v>678</v>
      </c>
      <c r="E1114" s="28" t="s">
        <v>162</v>
      </c>
      <c r="F1114" s="28" t="s">
        <v>421</v>
      </c>
      <c r="G1114" s="28" t="s">
        <v>421</v>
      </c>
      <c r="H1114" s="28" t="s">
        <v>160</v>
      </c>
      <c r="I1114" s="28" t="str">
        <f>VLOOKUP(E1114,표준용어사전!$C$2:$D$494, 2, FALSE)</f>
        <v>여부C1</v>
      </c>
      <c r="J1114" s="28" t="s">
        <v>709</v>
      </c>
      <c r="K1114" s="29">
        <v>1</v>
      </c>
      <c r="L1114" s="55" t="s">
        <v>571</v>
      </c>
      <c r="M1114" s="29" t="s">
        <v>722</v>
      </c>
      <c r="N1114" s="32" t="s">
        <v>2717</v>
      </c>
      <c r="O1114" s="31"/>
      <c r="P1114" s="31"/>
      <c r="Q1114" s="28"/>
      <c r="R1114" s="29"/>
      <c r="S1114" s="31"/>
      <c r="T1114" s="31"/>
      <c r="U1114" s="28" t="s">
        <v>75</v>
      </c>
      <c r="V1114" s="28" t="s">
        <v>75</v>
      </c>
      <c r="W1114" s="28"/>
    </row>
    <row r="1115" spans="1:23">
      <c r="A1115" s="46" t="s">
        <v>572</v>
      </c>
      <c r="B1115" s="28" t="s">
        <v>1338</v>
      </c>
      <c r="C1115" s="28" t="s">
        <v>2588</v>
      </c>
      <c r="D1115" s="31" t="s">
        <v>678</v>
      </c>
      <c r="E1115" s="28" t="s">
        <v>2066</v>
      </c>
      <c r="F1115" s="28" t="s">
        <v>2420</v>
      </c>
      <c r="G1115" s="28" t="s">
        <v>2420</v>
      </c>
      <c r="H1115" s="28" t="s">
        <v>160</v>
      </c>
      <c r="I1115" s="28" t="str">
        <f>VLOOKUP(E1115,표준용어사전!$C$2:$D$494, 2, FALSE)</f>
        <v>주소V2000</v>
      </c>
      <c r="J1115" s="28" t="s">
        <v>718</v>
      </c>
      <c r="K1115" s="29">
        <v>2000</v>
      </c>
      <c r="L1115" s="55" t="s">
        <v>571</v>
      </c>
      <c r="M1115" s="29" t="s">
        <v>728</v>
      </c>
      <c r="N1115" s="32" t="s">
        <v>2717</v>
      </c>
      <c r="O1115" s="31"/>
      <c r="P1115" s="31"/>
      <c r="Q1115" s="28"/>
      <c r="R1115" s="29"/>
      <c r="S1115" s="31"/>
      <c r="T1115" s="31"/>
      <c r="U1115" s="28" t="s">
        <v>75</v>
      </c>
      <c r="V1115" s="28" t="s">
        <v>75</v>
      </c>
      <c r="W1115" s="31"/>
    </row>
    <row r="1116" spans="1:23">
      <c r="A1116" s="46" t="s">
        <v>572</v>
      </c>
      <c r="B1116" s="28" t="s">
        <v>1338</v>
      </c>
      <c r="C1116" s="28" t="s">
        <v>2588</v>
      </c>
      <c r="D1116" s="31" t="s">
        <v>678</v>
      </c>
      <c r="E1116" s="28" t="s">
        <v>90</v>
      </c>
      <c r="F1116" s="28" t="s">
        <v>14</v>
      </c>
      <c r="G1116" s="28" t="s">
        <v>14</v>
      </c>
      <c r="H1116" s="28" t="s">
        <v>160</v>
      </c>
      <c r="I1116" s="28" t="str">
        <f>VLOOKUP(E1116,표준용어사전!$C$2:$D$494, 2, FALSE)</f>
        <v>연월일시분초TS</v>
      </c>
      <c r="J1116" s="28" t="s">
        <v>719</v>
      </c>
      <c r="K1116" s="29" t="s">
        <v>571</v>
      </c>
      <c r="L1116" s="55" t="s">
        <v>571</v>
      </c>
      <c r="M1116" s="29" t="s">
        <v>726</v>
      </c>
      <c r="N1116" s="32" t="s">
        <v>2717</v>
      </c>
      <c r="O1116" s="31"/>
      <c r="P1116" s="31"/>
      <c r="Q1116" s="28"/>
      <c r="R1116" s="29"/>
      <c r="S1116" s="31"/>
      <c r="T1116" s="31"/>
      <c r="U1116" s="28" t="s">
        <v>75</v>
      </c>
      <c r="V1116" s="28" t="s">
        <v>75</v>
      </c>
      <c r="W1116" s="31"/>
    </row>
    <row r="1117" spans="1:23">
      <c r="A1117" s="46" t="s">
        <v>572</v>
      </c>
      <c r="B1117" s="28" t="s">
        <v>1338</v>
      </c>
      <c r="C1117" s="28" t="s">
        <v>2588</v>
      </c>
      <c r="D1117" s="31" t="s">
        <v>678</v>
      </c>
      <c r="E1117" s="28" t="s">
        <v>91</v>
      </c>
      <c r="F1117" s="28" t="s">
        <v>369</v>
      </c>
      <c r="G1117" s="28" t="s">
        <v>369</v>
      </c>
      <c r="H1117" s="28" t="s">
        <v>160</v>
      </c>
      <c r="I1117" s="28" t="str">
        <f>VLOOKUP(E1117,표준용어사전!$C$2:$D$494, 2, FALSE)</f>
        <v>명V20</v>
      </c>
      <c r="J1117" s="28" t="s">
        <v>718</v>
      </c>
      <c r="K1117" s="29" t="s">
        <v>986</v>
      </c>
      <c r="L1117" s="55" t="s">
        <v>571</v>
      </c>
      <c r="M1117" s="29" t="s">
        <v>727</v>
      </c>
      <c r="N1117" s="32" t="s">
        <v>2717</v>
      </c>
      <c r="O1117" s="31"/>
      <c r="P1117" s="31"/>
      <c r="Q1117" s="28"/>
      <c r="R1117" s="29"/>
      <c r="S1117" s="31"/>
      <c r="T1117" s="31"/>
      <c r="U1117" s="28" t="s">
        <v>75</v>
      </c>
      <c r="V1117" s="28" t="s">
        <v>75</v>
      </c>
      <c r="W1117" s="31"/>
    </row>
    <row r="1118" spans="1:23">
      <c r="A1118" s="46" t="s">
        <v>572</v>
      </c>
      <c r="B1118" s="28" t="s">
        <v>1338</v>
      </c>
      <c r="C1118" s="28" t="s">
        <v>2588</v>
      </c>
      <c r="D1118" s="31" t="s">
        <v>678</v>
      </c>
      <c r="E1118" s="28" t="s">
        <v>92</v>
      </c>
      <c r="F1118" s="28" t="s">
        <v>15</v>
      </c>
      <c r="G1118" s="28" t="s">
        <v>15</v>
      </c>
      <c r="H1118" s="28" t="s">
        <v>160</v>
      </c>
      <c r="I1118" s="28" t="str">
        <f>VLOOKUP(E1118,표준용어사전!$C$2:$D$494, 2, FALSE)</f>
        <v>연월일시분초TS</v>
      </c>
      <c r="J1118" s="28" t="s">
        <v>719</v>
      </c>
      <c r="K1118" s="29" t="s">
        <v>571</v>
      </c>
      <c r="L1118" s="55" t="s">
        <v>571</v>
      </c>
      <c r="M1118" s="29" t="s">
        <v>726</v>
      </c>
      <c r="N1118" s="32" t="s">
        <v>2717</v>
      </c>
      <c r="O1118" s="31"/>
      <c r="P1118" s="31"/>
      <c r="Q1118" s="28"/>
      <c r="R1118" s="29"/>
      <c r="S1118" s="31"/>
      <c r="T1118" s="31"/>
      <c r="U1118" s="28" t="s">
        <v>75</v>
      </c>
      <c r="V1118" s="28" t="s">
        <v>75</v>
      </c>
      <c r="W1118" s="31"/>
    </row>
    <row r="1119" spans="1:23">
      <c r="A1119" s="46" t="s">
        <v>572</v>
      </c>
      <c r="B1119" s="28" t="s">
        <v>1338</v>
      </c>
      <c r="C1119" s="28" t="s">
        <v>2588</v>
      </c>
      <c r="D1119" s="31" t="s">
        <v>678</v>
      </c>
      <c r="E1119" s="28" t="s">
        <v>93</v>
      </c>
      <c r="F1119" s="28" t="s">
        <v>370</v>
      </c>
      <c r="G1119" s="28" t="s">
        <v>370</v>
      </c>
      <c r="H1119" s="28" t="s">
        <v>160</v>
      </c>
      <c r="I1119" s="28" t="str">
        <f>VLOOKUP(E1119,표준용어사전!$C$2:$D$494, 2, FALSE)</f>
        <v>명V20</v>
      </c>
      <c r="J1119" s="28" t="s">
        <v>718</v>
      </c>
      <c r="K1119" s="29" t="s">
        <v>986</v>
      </c>
      <c r="L1119" s="55" t="s">
        <v>571</v>
      </c>
      <c r="M1119" s="29" t="s">
        <v>727</v>
      </c>
      <c r="N1119" s="32" t="s">
        <v>2717</v>
      </c>
      <c r="O1119" s="31"/>
      <c r="P1119" s="31"/>
      <c r="Q1119" s="28"/>
      <c r="R1119" s="29"/>
      <c r="S1119" s="31"/>
      <c r="T1119" s="31"/>
      <c r="U1119" s="28" t="s">
        <v>75</v>
      </c>
      <c r="V1119" s="28" t="s">
        <v>75</v>
      </c>
      <c r="W1119" s="31"/>
    </row>
    <row r="1120" spans="1:23">
      <c r="A1120" s="46" t="s">
        <v>572</v>
      </c>
      <c r="B1120" s="28" t="s">
        <v>1338</v>
      </c>
      <c r="C1120" s="28" t="s">
        <v>2588</v>
      </c>
      <c r="D1120" s="31" t="s">
        <v>631</v>
      </c>
      <c r="E1120" s="28" t="s">
        <v>2199</v>
      </c>
      <c r="F1120" s="28" t="s">
        <v>2198</v>
      </c>
      <c r="G1120" s="28" t="s">
        <v>2198</v>
      </c>
      <c r="H1120" s="28" t="s">
        <v>194</v>
      </c>
      <c r="I1120" s="28" t="str">
        <f>VLOOKUP(E1120,표준용어사전!$C$2:$D$494, 2, FALSE)</f>
        <v>연월일C8</v>
      </c>
      <c r="J1120" s="28" t="s">
        <v>709</v>
      </c>
      <c r="K1120" s="29">
        <v>8</v>
      </c>
      <c r="L1120" s="55" t="s">
        <v>571</v>
      </c>
      <c r="M1120" s="29" t="s">
        <v>731</v>
      </c>
      <c r="N1120" s="32" t="s">
        <v>2717</v>
      </c>
      <c r="O1120" s="31"/>
      <c r="P1120" s="31"/>
      <c r="Q1120" s="28"/>
      <c r="R1120" s="29"/>
      <c r="S1120" s="31"/>
      <c r="T1120" s="31"/>
      <c r="U1120" s="28" t="s">
        <v>75</v>
      </c>
      <c r="V1120" s="28" t="s">
        <v>75</v>
      </c>
      <c r="W1120" s="31"/>
    </row>
    <row r="1121" spans="1:23">
      <c r="A1121" s="46" t="s">
        <v>572</v>
      </c>
      <c r="B1121" s="28" t="s">
        <v>1338</v>
      </c>
      <c r="C1121" s="28" t="s">
        <v>2588</v>
      </c>
      <c r="D1121" s="31" t="s">
        <v>631</v>
      </c>
      <c r="E1121" s="28" t="s">
        <v>103</v>
      </c>
      <c r="F1121" s="28" t="s">
        <v>380</v>
      </c>
      <c r="G1121" s="28" t="s">
        <v>380</v>
      </c>
      <c r="H1121" s="28" t="s">
        <v>194</v>
      </c>
      <c r="I1121" s="28" t="str">
        <f>VLOOKUP(E1121,표준용어사전!$C$2:$D$494, 2, FALSE)</f>
        <v>명V50</v>
      </c>
      <c r="J1121" s="28" t="s">
        <v>718</v>
      </c>
      <c r="K1121" s="29">
        <v>50</v>
      </c>
      <c r="L1121" s="55" t="s">
        <v>571</v>
      </c>
      <c r="M1121" s="29" t="s">
        <v>720</v>
      </c>
      <c r="N1121" s="32" t="s">
        <v>2717</v>
      </c>
      <c r="O1121" s="31"/>
      <c r="P1121" s="31"/>
      <c r="Q1121" s="28"/>
      <c r="R1121" s="29"/>
      <c r="S1121" s="31"/>
      <c r="T1121" s="31"/>
      <c r="U1121" s="28" t="s">
        <v>75</v>
      </c>
      <c r="V1121" s="28" t="s">
        <v>75</v>
      </c>
      <c r="W1121" s="31"/>
    </row>
    <row r="1122" spans="1:23">
      <c r="A1122" s="46" t="s">
        <v>572</v>
      </c>
      <c r="B1122" s="28" t="s">
        <v>1338</v>
      </c>
      <c r="C1122" s="28" t="s">
        <v>2588</v>
      </c>
      <c r="D1122" s="31" t="s">
        <v>631</v>
      </c>
      <c r="E1122" s="28" t="s">
        <v>89</v>
      </c>
      <c r="F1122" s="28" t="s">
        <v>501</v>
      </c>
      <c r="G1122" s="28" t="s">
        <v>501</v>
      </c>
      <c r="H1122" s="28" t="s">
        <v>194</v>
      </c>
      <c r="I1122" s="28" t="str">
        <f>VLOOKUP(E1122,표준용어사전!$C$2:$D$494, 2, FALSE)</f>
        <v>명V20</v>
      </c>
      <c r="J1122" s="28" t="s">
        <v>718</v>
      </c>
      <c r="K1122" s="29" t="s">
        <v>986</v>
      </c>
      <c r="L1122" s="55" t="s">
        <v>571</v>
      </c>
      <c r="M1122" s="29" t="s">
        <v>727</v>
      </c>
      <c r="N1122" s="32" t="s">
        <v>2717</v>
      </c>
      <c r="O1122" s="31"/>
      <c r="P1122" s="31"/>
      <c r="Q1122" s="28"/>
      <c r="R1122" s="29"/>
      <c r="S1122" s="31"/>
      <c r="T1122" s="31"/>
      <c r="U1122" s="28" t="s">
        <v>75</v>
      </c>
      <c r="V1122" s="28" t="s">
        <v>75</v>
      </c>
      <c r="W1122" s="31"/>
    </row>
    <row r="1123" spans="1:23">
      <c r="A1123" s="46" t="s">
        <v>572</v>
      </c>
      <c r="B1123" s="28" t="s">
        <v>1338</v>
      </c>
      <c r="C1123" s="28" t="s">
        <v>2588</v>
      </c>
      <c r="D1123" s="31" t="s">
        <v>631</v>
      </c>
      <c r="E1123" s="28" t="s">
        <v>2055</v>
      </c>
      <c r="F1123" s="28" t="s">
        <v>444</v>
      </c>
      <c r="G1123" s="28" t="s">
        <v>444</v>
      </c>
      <c r="H1123" s="28" t="s">
        <v>194</v>
      </c>
      <c r="I1123" s="28" t="str">
        <f>VLOOKUP(E1123,표준용어사전!$C$2:$D$494, 2, FALSE)</f>
        <v>위도N12,10</v>
      </c>
      <c r="J1123" s="28" t="s">
        <v>748</v>
      </c>
      <c r="K1123" s="29">
        <v>12</v>
      </c>
      <c r="L1123" s="55">
        <v>10</v>
      </c>
      <c r="M1123" s="29" t="s">
        <v>1350</v>
      </c>
      <c r="N1123" s="32" t="s">
        <v>2717</v>
      </c>
      <c r="O1123" s="31"/>
      <c r="P1123" s="31"/>
      <c r="Q1123" s="28"/>
      <c r="R1123" s="29"/>
      <c r="S1123" s="31"/>
      <c r="T1123" s="31"/>
      <c r="U1123" s="28" t="s">
        <v>75</v>
      </c>
      <c r="V1123" s="28" t="s">
        <v>75</v>
      </c>
      <c r="W1123" s="31"/>
    </row>
    <row r="1124" spans="1:23">
      <c r="A1124" s="46" t="s">
        <v>572</v>
      </c>
      <c r="B1124" s="28" t="s">
        <v>1338</v>
      </c>
      <c r="C1124" s="28" t="s">
        <v>2588</v>
      </c>
      <c r="D1124" s="31" t="s">
        <v>631</v>
      </c>
      <c r="E1124" s="28" t="s">
        <v>2056</v>
      </c>
      <c r="F1124" s="28" t="s">
        <v>445</v>
      </c>
      <c r="G1124" s="28" t="s">
        <v>445</v>
      </c>
      <c r="H1124" s="28" t="s">
        <v>194</v>
      </c>
      <c r="I1124" s="28" t="str">
        <f>VLOOKUP(E1124,표준용어사전!$C$2:$D$494, 2, FALSE)</f>
        <v>경도N13,10</v>
      </c>
      <c r="J1124" s="28" t="s">
        <v>748</v>
      </c>
      <c r="K1124" s="29">
        <v>13</v>
      </c>
      <c r="L1124" s="55" t="s">
        <v>1061</v>
      </c>
      <c r="M1124" s="29" t="s">
        <v>1351</v>
      </c>
      <c r="N1124" s="32" t="s">
        <v>2717</v>
      </c>
      <c r="O1124" s="31"/>
      <c r="P1124" s="31"/>
      <c r="Q1124" s="28"/>
      <c r="R1124" s="29"/>
      <c r="S1124" s="31"/>
      <c r="T1124" s="31"/>
      <c r="U1124" s="28" t="s">
        <v>75</v>
      </c>
      <c r="V1124" s="28" t="s">
        <v>75</v>
      </c>
      <c r="W1124" s="31"/>
    </row>
    <row r="1125" spans="1:23">
      <c r="A1125" s="46" t="s">
        <v>572</v>
      </c>
      <c r="B1125" s="28" t="s">
        <v>1338</v>
      </c>
      <c r="C1125" s="28" t="s">
        <v>2588</v>
      </c>
      <c r="D1125" s="31" t="s">
        <v>631</v>
      </c>
      <c r="E1125" s="28" t="s">
        <v>2057</v>
      </c>
      <c r="F1125" s="28" t="s">
        <v>446</v>
      </c>
      <c r="G1125" s="28" t="s">
        <v>446</v>
      </c>
      <c r="H1125" s="28" t="s">
        <v>194</v>
      </c>
      <c r="I1125" s="28" t="str">
        <f>VLOOKUP(E1125,표준용어사전!$C$2:$D$494, 2, FALSE)</f>
        <v>위도N12,10</v>
      </c>
      <c r="J1125" s="28" t="s">
        <v>748</v>
      </c>
      <c r="K1125" s="29">
        <v>12</v>
      </c>
      <c r="L1125" s="55">
        <v>10</v>
      </c>
      <c r="M1125" s="29" t="s">
        <v>1350</v>
      </c>
      <c r="N1125" s="32" t="s">
        <v>2717</v>
      </c>
      <c r="O1125" s="31"/>
      <c r="P1125" s="31"/>
      <c r="Q1125" s="28"/>
      <c r="R1125" s="29"/>
      <c r="S1125" s="31"/>
      <c r="T1125" s="31"/>
      <c r="U1125" s="28" t="s">
        <v>75</v>
      </c>
      <c r="V1125" s="28" t="s">
        <v>75</v>
      </c>
      <c r="W1125" s="31"/>
    </row>
    <row r="1126" spans="1:23">
      <c r="A1126" s="46" t="s">
        <v>572</v>
      </c>
      <c r="B1126" s="28" t="s">
        <v>1338</v>
      </c>
      <c r="C1126" s="28" t="s">
        <v>2588</v>
      </c>
      <c r="D1126" s="31" t="s">
        <v>631</v>
      </c>
      <c r="E1126" s="28" t="s">
        <v>2058</v>
      </c>
      <c r="F1126" s="28" t="s">
        <v>447</v>
      </c>
      <c r="G1126" s="28" t="s">
        <v>447</v>
      </c>
      <c r="H1126" s="28" t="s">
        <v>194</v>
      </c>
      <c r="I1126" s="28" t="str">
        <f>VLOOKUP(E1126,표준용어사전!$C$2:$D$494, 2, FALSE)</f>
        <v>경도N13,10</v>
      </c>
      <c r="J1126" s="28" t="s">
        <v>748</v>
      </c>
      <c r="K1126" s="29">
        <v>13</v>
      </c>
      <c r="L1126" s="55" t="s">
        <v>1061</v>
      </c>
      <c r="M1126" s="29" t="s">
        <v>1351</v>
      </c>
      <c r="N1126" s="32" t="s">
        <v>2717</v>
      </c>
      <c r="O1126" s="31"/>
      <c r="P1126" s="31"/>
      <c r="Q1126" s="28"/>
      <c r="R1126" s="29"/>
      <c r="S1126" s="31"/>
      <c r="T1126" s="31"/>
      <c r="U1126" s="28" t="s">
        <v>75</v>
      </c>
      <c r="V1126" s="28" t="s">
        <v>75</v>
      </c>
      <c r="W1126" s="31"/>
    </row>
    <row r="1127" spans="1:23">
      <c r="A1127" s="46" t="s">
        <v>572</v>
      </c>
      <c r="B1127" s="28" t="s">
        <v>1338</v>
      </c>
      <c r="C1127" s="28" t="s">
        <v>2588</v>
      </c>
      <c r="D1127" s="31" t="s">
        <v>631</v>
      </c>
      <c r="E1127" s="28" t="s">
        <v>2060</v>
      </c>
      <c r="F1127" s="28" t="s">
        <v>2584</v>
      </c>
      <c r="G1127" s="28" t="s">
        <v>2584</v>
      </c>
      <c r="H1127" s="28" t="s">
        <v>194</v>
      </c>
      <c r="I1127" s="28" t="str">
        <f>VLOOKUP(E1127,표준용어사전!$C$2:$D$494, 2, FALSE)</f>
        <v>연도C4</v>
      </c>
      <c r="J1127" s="28" t="s">
        <v>709</v>
      </c>
      <c r="K1127" s="29">
        <v>4</v>
      </c>
      <c r="L1127" s="55" t="s">
        <v>571</v>
      </c>
      <c r="M1127" s="29" t="s">
        <v>1352</v>
      </c>
      <c r="N1127" s="32" t="s">
        <v>2717</v>
      </c>
      <c r="O1127" s="31"/>
      <c r="P1127" s="31"/>
      <c r="Q1127" s="28"/>
      <c r="R1127" s="29"/>
      <c r="S1127" s="31"/>
      <c r="T1127" s="31"/>
      <c r="U1127" s="28" t="s">
        <v>75</v>
      </c>
      <c r="V1127" s="28" t="s">
        <v>75</v>
      </c>
      <c r="W1127" s="31"/>
    </row>
    <row r="1128" spans="1:23">
      <c r="A1128" s="46" t="s">
        <v>572</v>
      </c>
      <c r="B1128" s="28" t="s">
        <v>1338</v>
      </c>
      <c r="C1128" s="28" t="s">
        <v>2588</v>
      </c>
      <c r="D1128" s="31" t="s">
        <v>631</v>
      </c>
      <c r="E1128" s="28" t="s">
        <v>2062</v>
      </c>
      <c r="F1128" s="28" t="s">
        <v>2585</v>
      </c>
      <c r="G1128" s="28" t="s">
        <v>2585</v>
      </c>
      <c r="H1128" s="28" t="s">
        <v>194</v>
      </c>
      <c r="I1128" s="28" t="str">
        <f>VLOOKUP(E1128,표준용어사전!$C$2:$D$494, 2, FALSE)</f>
        <v>연도C4</v>
      </c>
      <c r="J1128" s="28" t="s">
        <v>709</v>
      </c>
      <c r="K1128" s="29">
        <v>4</v>
      </c>
      <c r="L1128" s="55" t="s">
        <v>571</v>
      </c>
      <c r="M1128" s="29" t="s">
        <v>1352</v>
      </c>
      <c r="N1128" s="32" t="s">
        <v>2717</v>
      </c>
      <c r="O1128" s="31"/>
      <c r="P1128" s="31"/>
      <c r="Q1128" s="28"/>
      <c r="R1128" s="29"/>
      <c r="S1128" s="31"/>
      <c r="T1128" s="31"/>
      <c r="U1128" s="28" t="s">
        <v>75</v>
      </c>
      <c r="V1128" s="28" t="s">
        <v>75</v>
      </c>
      <c r="W1128" s="31"/>
    </row>
    <row r="1129" spans="1:23">
      <c r="A1129" s="46" t="s">
        <v>572</v>
      </c>
      <c r="B1129" s="28" t="s">
        <v>1338</v>
      </c>
      <c r="C1129" s="28" t="s">
        <v>2588</v>
      </c>
      <c r="D1129" s="31" t="s">
        <v>631</v>
      </c>
      <c r="E1129" s="28" t="s">
        <v>201</v>
      </c>
      <c r="F1129" s="28" t="s">
        <v>450</v>
      </c>
      <c r="G1129" s="28" t="s">
        <v>450</v>
      </c>
      <c r="H1129" s="28" t="s">
        <v>194</v>
      </c>
      <c r="I1129" s="28" t="str">
        <f>VLOOKUP(E1129,표준용어사전!$C$2:$D$494, 2, FALSE)</f>
        <v>수N10</v>
      </c>
      <c r="J1129" s="28" t="s">
        <v>748</v>
      </c>
      <c r="K1129" s="29" t="s">
        <v>1061</v>
      </c>
      <c r="L1129" s="55" t="s">
        <v>571</v>
      </c>
      <c r="M1129" s="29" t="s">
        <v>2592</v>
      </c>
      <c r="N1129" s="32" t="s">
        <v>2717</v>
      </c>
      <c r="O1129" s="31"/>
      <c r="P1129" s="31"/>
      <c r="Q1129" s="28"/>
      <c r="R1129" s="29"/>
      <c r="S1129" s="31"/>
      <c r="T1129" s="31"/>
      <c r="U1129" s="28" t="s">
        <v>75</v>
      </c>
      <c r="V1129" s="28" t="s">
        <v>75</v>
      </c>
      <c r="W1129" s="31"/>
    </row>
    <row r="1130" spans="1:23">
      <c r="A1130" s="46" t="s">
        <v>572</v>
      </c>
      <c r="B1130" s="28" t="s">
        <v>1338</v>
      </c>
      <c r="C1130" s="28" t="s">
        <v>2588</v>
      </c>
      <c r="D1130" s="31" t="s">
        <v>631</v>
      </c>
      <c r="E1130" s="28" t="s">
        <v>1991</v>
      </c>
      <c r="F1130" s="28" t="s">
        <v>437</v>
      </c>
      <c r="G1130" s="28" t="s">
        <v>437</v>
      </c>
      <c r="H1130" s="28" t="s">
        <v>194</v>
      </c>
      <c r="I1130" s="28" t="str">
        <f>VLOOKUP(E1130,표준용어사전!$C$2:$D$494, 2, FALSE)</f>
        <v>여부C1</v>
      </c>
      <c r="J1130" s="28" t="s">
        <v>709</v>
      </c>
      <c r="K1130" s="29">
        <v>1</v>
      </c>
      <c r="L1130" s="55" t="s">
        <v>571</v>
      </c>
      <c r="M1130" s="29" t="s">
        <v>722</v>
      </c>
      <c r="N1130" s="32" t="s">
        <v>2717</v>
      </c>
      <c r="O1130" s="31"/>
      <c r="P1130" s="31"/>
      <c r="Q1130" s="28"/>
      <c r="R1130" s="29"/>
      <c r="S1130" s="31"/>
      <c r="T1130" s="31"/>
      <c r="U1130" s="28" t="s">
        <v>75</v>
      </c>
      <c r="V1130" s="28" t="s">
        <v>75</v>
      </c>
      <c r="W1130" s="31"/>
    </row>
    <row r="1131" spans="1:23">
      <c r="A1131" s="46" t="s">
        <v>572</v>
      </c>
      <c r="B1131" s="28" t="s">
        <v>1338</v>
      </c>
      <c r="C1131" s="28" t="s">
        <v>2588</v>
      </c>
      <c r="D1131" s="31" t="s">
        <v>631</v>
      </c>
      <c r="E1131" s="28" t="s">
        <v>90</v>
      </c>
      <c r="F1131" s="28" t="s">
        <v>14</v>
      </c>
      <c r="G1131" s="28" t="s">
        <v>14</v>
      </c>
      <c r="H1131" s="28" t="s">
        <v>194</v>
      </c>
      <c r="I1131" s="28" t="str">
        <f>VLOOKUP(E1131,표준용어사전!$C$2:$D$494, 2, FALSE)</f>
        <v>연월일시분초TS</v>
      </c>
      <c r="J1131" s="28" t="s">
        <v>719</v>
      </c>
      <c r="K1131" s="29" t="s">
        <v>571</v>
      </c>
      <c r="L1131" s="55" t="s">
        <v>571</v>
      </c>
      <c r="M1131" s="29" t="s">
        <v>726</v>
      </c>
      <c r="N1131" s="32" t="s">
        <v>2717</v>
      </c>
      <c r="O1131" s="31"/>
      <c r="P1131" s="31"/>
      <c r="Q1131" s="28"/>
      <c r="R1131" s="29"/>
      <c r="S1131" s="31"/>
      <c r="T1131" s="31"/>
      <c r="U1131" s="28" t="s">
        <v>75</v>
      </c>
      <c r="V1131" s="28" t="s">
        <v>75</v>
      </c>
      <c r="W1131" s="31"/>
    </row>
    <row r="1132" spans="1:23">
      <c r="A1132" s="46" t="s">
        <v>572</v>
      </c>
      <c r="B1132" s="28" t="s">
        <v>1338</v>
      </c>
      <c r="C1132" s="28" t="s">
        <v>2588</v>
      </c>
      <c r="D1132" s="31" t="s">
        <v>631</v>
      </c>
      <c r="E1132" s="28" t="s">
        <v>91</v>
      </c>
      <c r="F1132" s="28" t="s">
        <v>369</v>
      </c>
      <c r="G1132" s="28" t="s">
        <v>369</v>
      </c>
      <c r="H1132" s="28" t="s">
        <v>194</v>
      </c>
      <c r="I1132" s="28" t="str">
        <f>VLOOKUP(E1132,표준용어사전!$C$2:$D$494, 2, FALSE)</f>
        <v>명V20</v>
      </c>
      <c r="J1132" s="28" t="s">
        <v>718</v>
      </c>
      <c r="K1132" s="29" t="s">
        <v>986</v>
      </c>
      <c r="L1132" s="55" t="s">
        <v>571</v>
      </c>
      <c r="M1132" s="29" t="s">
        <v>727</v>
      </c>
      <c r="N1132" s="32" t="s">
        <v>2717</v>
      </c>
      <c r="O1132" s="31"/>
      <c r="P1132" s="31"/>
      <c r="Q1132" s="28"/>
      <c r="R1132" s="29"/>
      <c r="S1132" s="31"/>
      <c r="T1132" s="31"/>
      <c r="U1132" s="28" t="s">
        <v>75</v>
      </c>
      <c r="V1132" s="28" t="s">
        <v>75</v>
      </c>
      <c r="W1132" s="31"/>
    </row>
    <row r="1133" spans="1:23">
      <c r="A1133" s="46" t="s">
        <v>572</v>
      </c>
      <c r="B1133" s="28" t="s">
        <v>1338</v>
      </c>
      <c r="C1133" s="28" t="s">
        <v>2588</v>
      </c>
      <c r="D1133" s="31" t="s">
        <v>631</v>
      </c>
      <c r="E1133" s="28" t="s">
        <v>92</v>
      </c>
      <c r="F1133" s="28" t="s">
        <v>15</v>
      </c>
      <c r="G1133" s="28" t="s">
        <v>15</v>
      </c>
      <c r="H1133" s="28" t="s">
        <v>194</v>
      </c>
      <c r="I1133" s="28" t="str">
        <f>VLOOKUP(E1133,표준용어사전!$C$2:$D$494, 2, FALSE)</f>
        <v>연월일시분초TS</v>
      </c>
      <c r="J1133" s="28" t="s">
        <v>719</v>
      </c>
      <c r="K1133" s="29" t="s">
        <v>571</v>
      </c>
      <c r="L1133" s="55" t="s">
        <v>571</v>
      </c>
      <c r="M1133" s="29" t="s">
        <v>726</v>
      </c>
      <c r="N1133" s="32" t="s">
        <v>2717</v>
      </c>
      <c r="O1133" s="31"/>
      <c r="P1133" s="31"/>
      <c r="Q1133" s="28"/>
      <c r="R1133" s="29"/>
      <c r="S1133" s="31"/>
      <c r="T1133" s="31"/>
      <c r="U1133" s="28" t="s">
        <v>75</v>
      </c>
      <c r="V1133" s="28" t="s">
        <v>75</v>
      </c>
      <c r="W1133" s="31"/>
    </row>
    <row r="1134" spans="1:23">
      <c r="A1134" s="46" t="s">
        <v>572</v>
      </c>
      <c r="B1134" s="28" t="s">
        <v>1338</v>
      </c>
      <c r="C1134" s="28" t="s">
        <v>2588</v>
      </c>
      <c r="D1134" s="31" t="s">
        <v>631</v>
      </c>
      <c r="E1134" s="28" t="s">
        <v>93</v>
      </c>
      <c r="F1134" s="28" t="s">
        <v>370</v>
      </c>
      <c r="G1134" s="28" t="s">
        <v>370</v>
      </c>
      <c r="H1134" s="28" t="s">
        <v>194</v>
      </c>
      <c r="I1134" s="28" t="str">
        <f>VLOOKUP(E1134,표준용어사전!$C$2:$D$494, 2, FALSE)</f>
        <v>명V20</v>
      </c>
      <c r="J1134" s="28" t="s">
        <v>718</v>
      </c>
      <c r="K1134" s="29" t="s">
        <v>986</v>
      </c>
      <c r="L1134" s="55" t="s">
        <v>571</v>
      </c>
      <c r="M1134" s="29" t="s">
        <v>727</v>
      </c>
      <c r="N1134" s="32" t="s">
        <v>2717</v>
      </c>
      <c r="O1134" s="31"/>
      <c r="P1134" s="31"/>
      <c r="Q1134" s="28"/>
      <c r="R1134" s="29"/>
      <c r="S1134" s="31"/>
      <c r="T1134" s="31"/>
      <c r="U1134" s="28" t="s">
        <v>75</v>
      </c>
      <c r="V1134" s="28" t="s">
        <v>75</v>
      </c>
      <c r="W1134" s="31"/>
    </row>
    <row r="1135" spans="1:23">
      <c r="A1135" s="46" t="s">
        <v>711</v>
      </c>
      <c r="B1135" s="28" t="s">
        <v>1338</v>
      </c>
      <c r="C1135" s="28" t="s">
        <v>2588</v>
      </c>
      <c r="D1135" s="31" t="s">
        <v>2453</v>
      </c>
      <c r="E1135" s="28" t="s">
        <v>2199</v>
      </c>
      <c r="F1135" s="28" t="s">
        <v>2582</v>
      </c>
      <c r="G1135" s="28" t="s">
        <v>2582</v>
      </c>
      <c r="H1135" s="28" t="s">
        <v>1882</v>
      </c>
      <c r="I1135" s="28" t="str">
        <f>VLOOKUP(E1135,표준용어사전!$C$2:$D$494, 2, FALSE)</f>
        <v>연월일C8</v>
      </c>
      <c r="J1135" s="28" t="s">
        <v>709</v>
      </c>
      <c r="K1135" s="29">
        <v>8</v>
      </c>
      <c r="L1135" s="55" t="s">
        <v>571</v>
      </c>
      <c r="M1135" s="29" t="s">
        <v>731</v>
      </c>
      <c r="N1135" s="32" t="s">
        <v>2717</v>
      </c>
      <c r="O1135" s="31"/>
      <c r="P1135" s="31"/>
      <c r="Q1135" s="28"/>
      <c r="R1135" s="29"/>
      <c r="S1135" s="31"/>
      <c r="T1135" s="31"/>
      <c r="U1135" s="28" t="s">
        <v>75</v>
      </c>
      <c r="V1135" s="28" t="s">
        <v>75</v>
      </c>
      <c r="W1135" s="31"/>
    </row>
    <row r="1136" spans="1:23">
      <c r="A1136" s="46" t="s">
        <v>711</v>
      </c>
      <c r="B1136" s="28" t="s">
        <v>1338</v>
      </c>
      <c r="C1136" s="28" t="s">
        <v>2588</v>
      </c>
      <c r="D1136" s="31" t="s">
        <v>2453</v>
      </c>
      <c r="E1136" s="28" t="s">
        <v>89</v>
      </c>
      <c r="F1136" s="28" t="s">
        <v>760</v>
      </c>
      <c r="G1136" s="28" t="s">
        <v>760</v>
      </c>
      <c r="H1136" s="28" t="s">
        <v>1882</v>
      </c>
      <c r="I1136" s="28" t="str">
        <f>VLOOKUP(E1136,표준용어사전!$C$2:$D$494, 2, FALSE)</f>
        <v>명V20</v>
      </c>
      <c r="J1136" s="28" t="s">
        <v>718</v>
      </c>
      <c r="K1136" s="29" t="s">
        <v>986</v>
      </c>
      <c r="L1136" s="55" t="s">
        <v>571</v>
      </c>
      <c r="M1136" s="29" t="s">
        <v>727</v>
      </c>
      <c r="N1136" s="32" t="s">
        <v>2717</v>
      </c>
      <c r="O1136" s="31"/>
      <c r="P1136" s="31"/>
      <c r="Q1136" s="28"/>
      <c r="R1136" s="29"/>
      <c r="S1136" s="31"/>
      <c r="T1136" s="31"/>
      <c r="U1136" s="28" t="s">
        <v>75</v>
      </c>
      <c r="V1136" s="28" t="s">
        <v>75</v>
      </c>
      <c r="W1136" s="31"/>
    </row>
    <row r="1137" spans="1:23">
      <c r="A1137" s="46" t="s">
        <v>711</v>
      </c>
      <c r="B1137" s="28" t="s">
        <v>1338</v>
      </c>
      <c r="C1137" s="28" t="s">
        <v>2588</v>
      </c>
      <c r="D1137" s="31" t="s">
        <v>2453</v>
      </c>
      <c r="E1137" s="28" t="s">
        <v>2003</v>
      </c>
      <c r="F1137" s="28" t="s">
        <v>1883</v>
      </c>
      <c r="G1137" s="28" t="s">
        <v>1883</v>
      </c>
      <c r="H1137" s="28" t="s">
        <v>1882</v>
      </c>
      <c r="I1137" s="28" t="str">
        <f>VLOOKUP(E1137,표준용어사전!$C$2:$D$494, 2, FALSE)</f>
        <v>명V512</v>
      </c>
      <c r="J1137" s="28" t="s">
        <v>718</v>
      </c>
      <c r="K1137" s="29">
        <v>512</v>
      </c>
      <c r="L1137" s="55" t="s">
        <v>571</v>
      </c>
      <c r="M1137" s="29" t="s">
        <v>721</v>
      </c>
      <c r="N1137" s="32" t="s">
        <v>2717</v>
      </c>
      <c r="O1137" s="31"/>
      <c r="P1137" s="31"/>
      <c r="Q1137" s="28"/>
      <c r="R1137" s="29"/>
      <c r="S1137" s="31"/>
      <c r="T1137" s="31"/>
      <c r="U1137" s="28" t="s">
        <v>75</v>
      </c>
      <c r="V1137" s="28" t="s">
        <v>75</v>
      </c>
      <c r="W1137" s="31"/>
    </row>
    <row r="1138" spans="1:23">
      <c r="A1138" s="46" t="s">
        <v>711</v>
      </c>
      <c r="B1138" s="28" t="s">
        <v>1338</v>
      </c>
      <c r="C1138" s="28" t="s">
        <v>2588</v>
      </c>
      <c r="D1138" s="31" t="s">
        <v>2453</v>
      </c>
      <c r="E1138" s="28" t="s">
        <v>2289</v>
      </c>
      <c r="F1138" s="28" t="s">
        <v>2423</v>
      </c>
      <c r="G1138" s="28" t="s">
        <v>2423</v>
      </c>
      <c r="H1138" s="28" t="s">
        <v>1882</v>
      </c>
      <c r="I1138" s="28" t="str">
        <f>VLOOKUP(E1138,표준용어사전!$C$2:$D$494, 2, FALSE)</f>
        <v>코드C1</v>
      </c>
      <c r="J1138" s="28" t="s">
        <v>709</v>
      </c>
      <c r="K1138" s="29">
        <v>1</v>
      </c>
      <c r="L1138" s="55" t="s">
        <v>571</v>
      </c>
      <c r="M1138" s="29" t="s">
        <v>722</v>
      </c>
      <c r="N1138" s="32" t="s">
        <v>2717</v>
      </c>
      <c r="O1138" s="31"/>
      <c r="P1138" s="31"/>
      <c r="Q1138" s="28"/>
      <c r="R1138" s="29"/>
      <c r="S1138" s="31"/>
      <c r="T1138" s="31"/>
      <c r="U1138" s="28" t="s">
        <v>75</v>
      </c>
      <c r="V1138" s="28" t="s">
        <v>75</v>
      </c>
      <c r="W1138" s="31"/>
    </row>
    <row r="1139" spans="1:23">
      <c r="A1139" s="46" t="s">
        <v>711</v>
      </c>
      <c r="B1139" s="28" t="s">
        <v>1338</v>
      </c>
      <c r="C1139" s="28" t="s">
        <v>2588</v>
      </c>
      <c r="D1139" s="31" t="s">
        <v>2453</v>
      </c>
      <c r="E1139" s="28" t="s">
        <v>2064</v>
      </c>
      <c r="F1139" s="28" t="s">
        <v>2583</v>
      </c>
      <c r="G1139" s="28" t="s">
        <v>2583</v>
      </c>
      <c r="H1139" s="28" t="s">
        <v>1882</v>
      </c>
      <c r="I1139" s="28" t="str">
        <f>VLOOKUP(E1139,표준용어사전!$C$2:$D$494, 2, FALSE)</f>
        <v>번호N10</v>
      </c>
      <c r="J1139" s="28" t="s">
        <v>748</v>
      </c>
      <c r="K1139" s="29">
        <v>10</v>
      </c>
      <c r="L1139" s="55" t="s">
        <v>571</v>
      </c>
      <c r="M1139" s="29" t="s">
        <v>2592</v>
      </c>
      <c r="N1139" s="32" t="s">
        <v>2717</v>
      </c>
      <c r="O1139" s="31"/>
      <c r="P1139" s="31"/>
      <c r="Q1139" s="28"/>
      <c r="R1139" s="29"/>
      <c r="S1139" s="31"/>
      <c r="T1139" s="31"/>
      <c r="U1139" s="28" t="s">
        <v>75</v>
      </c>
      <c r="V1139" s="28" t="s">
        <v>75</v>
      </c>
      <c r="W1139" s="31"/>
    </row>
    <row r="1140" spans="1:23">
      <c r="A1140" s="46" t="s">
        <v>711</v>
      </c>
      <c r="B1140" s="28" t="s">
        <v>1338</v>
      </c>
      <c r="C1140" s="28" t="s">
        <v>2588</v>
      </c>
      <c r="D1140" s="31" t="s">
        <v>2453</v>
      </c>
      <c r="E1140" s="28" t="s">
        <v>2285</v>
      </c>
      <c r="F1140" s="28" t="s">
        <v>2586</v>
      </c>
      <c r="G1140" s="28" t="s">
        <v>2586</v>
      </c>
      <c r="H1140" s="28" t="s">
        <v>1882</v>
      </c>
      <c r="I1140" s="28" t="str">
        <f>VLOOKUP(E1140,표준용어사전!$C$2:$D$494, 2, FALSE)</f>
        <v>수N14</v>
      </c>
      <c r="J1140" s="28" t="s">
        <v>748</v>
      </c>
      <c r="K1140" s="29" t="s">
        <v>1137</v>
      </c>
      <c r="L1140" s="55" t="s">
        <v>571</v>
      </c>
      <c r="M1140" s="29" t="s">
        <v>776</v>
      </c>
      <c r="N1140" s="32" t="s">
        <v>2717</v>
      </c>
      <c r="O1140" s="31"/>
      <c r="P1140" s="31"/>
      <c r="Q1140" s="28"/>
      <c r="R1140" s="29"/>
      <c r="S1140" s="31"/>
      <c r="T1140" s="31"/>
      <c r="U1140" s="28" t="s">
        <v>75</v>
      </c>
      <c r="V1140" s="28" t="s">
        <v>75</v>
      </c>
      <c r="W1140" s="31"/>
    </row>
    <row r="1141" spans="1:23">
      <c r="A1141" s="46" t="s">
        <v>711</v>
      </c>
      <c r="B1141" s="28" t="s">
        <v>1338</v>
      </c>
      <c r="C1141" s="28" t="s">
        <v>2588</v>
      </c>
      <c r="D1141" s="31" t="s">
        <v>2453</v>
      </c>
      <c r="E1141" s="28" t="s">
        <v>2287</v>
      </c>
      <c r="F1141" s="28" t="s">
        <v>1890</v>
      </c>
      <c r="G1141" s="28" t="s">
        <v>1890</v>
      </c>
      <c r="H1141" s="28" t="s">
        <v>1882</v>
      </c>
      <c r="I1141" s="28" t="str">
        <f>VLOOKUP(E1141,표준용어사전!$C$2:$D$494, 2, FALSE)</f>
        <v>내용TXT</v>
      </c>
      <c r="J1141" s="28" t="s">
        <v>713</v>
      </c>
      <c r="K1141" s="29" t="s">
        <v>571</v>
      </c>
      <c r="L1141" s="55" t="s">
        <v>571</v>
      </c>
      <c r="M1141" s="29" t="s">
        <v>2590</v>
      </c>
      <c r="N1141" s="32" t="s">
        <v>2717</v>
      </c>
      <c r="O1141" s="31"/>
      <c r="P1141" s="31"/>
      <c r="Q1141" s="28"/>
      <c r="R1141" s="29"/>
      <c r="S1141" s="31"/>
      <c r="T1141" s="31"/>
      <c r="U1141" s="28" t="s">
        <v>75</v>
      </c>
      <c r="V1141" s="28" t="s">
        <v>75</v>
      </c>
      <c r="W1141" s="31"/>
    </row>
    <row r="1142" spans="1:23">
      <c r="A1142" s="46" t="s">
        <v>711</v>
      </c>
      <c r="B1142" s="28" t="s">
        <v>1338</v>
      </c>
      <c r="C1142" s="28" t="s">
        <v>2588</v>
      </c>
      <c r="D1142" s="31" t="s">
        <v>2453</v>
      </c>
      <c r="E1142" s="28" t="s">
        <v>162</v>
      </c>
      <c r="F1142" s="28" t="s">
        <v>2587</v>
      </c>
      <c r="G1142" s="28" t="s">
        <v>2587</v>
      </c>
      <c r="H1142" s="28" t="s">
        <v>1882</v>
      </c>
      <c r="I1142" s="28" t="str">
        <f>VLOOKUP(E1142,표준용어사전!$C$2:$D$494, 2, FALSE)</f>
        <v>여부C1</v>
      </c>
      <c r="J1142" s="28" t="s">
        <v>709</v>
      </c>
      <c r="K1142" s="29">
        <v>1</v>
      </c>
      <c r="L1142" s="55" t="s">
        <v>571</v>
      </c>
      <c r="M1142" s="29" t="s">
        <v>722</v>
      </c>
      <c r="N1142" s="32" t="s">
        <v>2717</v>
      </c>
      <c r="O1142" s="31"/>
      <c r="P1142" s="31"/>
      <c r="Q1142" s="28"/>
      <c r="R1142" s="29"/>
      <c r="S1142" s="31"/>
      <c r="T1142" s="31"/>
      <c r="U1142" s="28" t="s">
        <v>75</v>
      </c>
      <c r="V1142" s="28" t="s">
        <v>75</v>
      </c>
      <c r="W1142" s="31"/>
    </row>
    <row r="1143" spans="1:23">
      <c r="A1143" s="46" t="s">
        <v>711</v>
      </c>
      <c r="B1143" s="28" t="s">
        <v>1338</v>
      </c>
      <c r="C1143" s="28" t="s">
        <v>2588</v>
      </c>
      <c r="D1143" s="31" t="s">
        <v>2453</v>
      </c>
      <c r="E1143" s="28" t="s">
        <v>90</v>
      </c>
      <c r="F1143" s="28" t="s">
        <v>1425</v>
      </c>
      <c r="G1143" s="28" t="s">
        <v>1425</v>
      </c>
      <c r="H1143" s="28" t="s">
        <v>1882</v>
      </c>
      <c r="I1143" s="28" t="str">
        <f>VLOOKUP(E1143,표준용어사전!$C$2:$D$494, 2, FALSE)</f>
        <v>연월일시분초TS</v>
      </c>
      <c r="J1143" s="28" t="s">
        <v>719</v>
      </c>
      <c r="K1143" s="29" t="s">
        <v>571</v>
      </c>
      <c r="L1143" s="55" t="s">
        <v>571</v>
      </c>
      <c r="M1143" s="29" t="s">
        <v>726</v>
      </c>
      <c r="N1143" s="32" t="s">
        <v>2717</v>
      </c>
      <c r="O1143" s="31"/>
      <c r="P1143" s="31"/>
      <c r="Q1143" s="28"/>
      <c r="R1143" s="29"/>
      <c r="S1143" s="31"/>
      <c r="T1143" s="31"/>
      <c r="U1143" s="28" t="s">
        <v>75</v>
      </c>
      <c r="V1143" s="28" t="s">
        <v>75</v>
      </c>
      <c r="W1143" s="31"/>
    </row>
    <row r="1144" spans="1:23">
      <c r="A1144" s="46" t="s">
        <v>711</v>
      </c>
      <c r="B1144" s="28" t="s">
        <v>1338</v>
      </c>
      <c r="C1144" s="28" t="s">
        <v>2588</v>
      </c>
      <c r="D1144" s="31" t="s">
        <v>2453</v>
      </c>
      <c r="E1144" s="28" t="s">
        <v>91</v>
      </c>
      <c r="F1144" s="28" t="s">
        <v>1559</v>
      </c>
      <c r="G1144" s="28" t="s">
        <v>1559</v>
      </c>
      <c r="H1144" s="28" t="s">
        <v>1882</v>
      </c>
      <c r="I1144" s="28" t="str">
        <f>VLOOKUP(E1144,표준용어사전!$C$2:$D$494, 2, FALSE)</f>
        <v>명V20</v>
      </c>
      <c r="J1144" s="28" t="s">
        <v>718</v>
      </c>
      <c r="K1144" s="29" t="s">
        <v>986</v>
      </c>
      <c r="L1144" s="55" t="s">
        <v>571</v>
      </c>
      <c r="M1144" s="29" t="s">
        <v>727</v>
      </c>
      <c r="N1144" s="32" t="s">
        <v>2717</v>
      </c>
      <c r="O1144" s="31"/>
      <c r="P1144" s="31"/>
      <c r="Q1144" s="28"/>
      <c r="R1144" s="29"/>
      <c r="S1144" s="31"/>
      <c r="T1144" s="31"/>
      <c r="U1144" s="28" t="s">
        <v>75</v>
      </c>
      <c r="V1144" s="28" t="s">
        <v>75</v>
      </c>
      <c r="W1144" s="31"/>
    </row>
    <row r="1145" spans="1:23">
      <c r="A1145" s="46" t="s">
        <v>711</v>
      </c>
      <c r="B1145" s="28" t="s">
        <v>1338</v>
      </c>
      <c r="C1145" s="28" t="s">
        <v>2588</v>
      </c>
      <c r="D1145" s="31" t="s">
        <v>2453</v>
      </c>
      <c r="E1145" s="28" t="s">
        <v>92</v>
      </c>
      <c r="F1145" s="28" t="s">
        <v>1411</v>
      </c>
      <c r="G1145" s="28" t="s">
        <v>1411</v>
      </c>
      <c r="H1145" s="28" t="s">
        <v>1882</v>
      </c>
      <c r="I1145" s="28" t="str">
        <f>VLOOKUP(E1145,표준용어사전!$C$2:$D$494, 2, FALSE)</f>
        <v>연월일시분초TS</v>
      </c>
      <c r="J1145" s="28" t="s">
        <v>719</v>
      </c>
      <c r="K1145" s="29" t="s">
        <v>571</v>
      </c>
      <c r="L1145" s="55" t="s">
        <v>571</v>
      </c>
      <c r="M1145" s="29" t="s">
        <v>726</v>
      </c>
      <c r="N1145" s="32" t="s">
        <v>2717</v>
      </c>
      <c r="O1145" s="31"/>
      <c r="P1145" s="31"/>
      <c r="Q1145" s="28"/>
      <c r="R1145" s="29"/>
      <c r="S1145" s="31"/>
      <c r="T1145" s="31"/>
      <c r="U1145" s="28" t="s">
        <v>75</v>
      </c>
      <c r="V1145" s="28" t="s">
        <v>75</v>
      </c>
      <c r="W1145" s="31"/>
    </row>
    <row r="1146" spans="1:23">
      <c r="A1146" s="46" t="s">
        <v>711</v>
      </c>
      <c r="B1146" s="28" t="s">
        <v>1338</v>
      </c>
      <c r="C1146" s="28" t="s">
        <v>2588</v>
      </c>
      <c r="D1146" s="31" t="s">
        <v>2453</v>
      </c>
      <c r="E1146" s="28" t="s">
        <v>93</v>
      </c>
      <c r="F1146" s="28" t="s">
        <v>1560</v>
      </c>
      <c r="G1146" s="28" t="s">
        <v>1560</v>
      </c>
      <c r="H1146" s="28" t="s">
        <v>1882</v>
      </c>
      <c r="I1146" s="28" t="str">
        <f>VLOOKUP(E1146,표준용어사전!$C$2:$D$494, 2, FALSE)</f>
        <v>명V20</v>
      </c>
      <c r="J1146" s="28" t="s">
        <v>718</v>
      </c>
      <c r="K1146" s="29" t="s">
        <v>986</v>
      </c>
      <c r="L1146" s="55" t="s">
        <v>571</v>
      </c>
      <c r="M1146" s="29" t="s">
        <v>727</v>
      </c>
      <c r="N1146" s="32" t="s">
        <v>2717</v>
      </c>
      <c r="O1146" s="31"/>
      <c r="P1146" s="31"/>
      <c r="Q1146" s="28"/>
      <c r="R1146" s="29"/>
      <c r="S1146" s="31"/>
      <c r="T1146" s="31"/>
      <c r="U1146" s="28" t="s">
        <v>75</v>
      </c>
      <c r="V1146" s="28" t="s">
        <v>75</v>
      </c>
      <c r="W1146" s="28"/>
    </row>
    <row r="1147" spans="1:23">
      <c r="A1147" s="46" t="s">
        <v>572</v>
      </c>
      <c r="B1147" s="28" t="s">
        <v>1338</v>
      </c>
      <c r="C1147" s="28" t="s">
        <v>2588</v>
      </c>
      <c r="D1147" s="31" t="s">
        <v>2457</v>
      </c>
      <c r="E1147" s="28" t="s">
        <v>2199</v>
      </c>
      <c r="F1147" s="28" t="s">
        <v>2198</v>
      </c>
      <c r="G1147" s="28" t="s">
        <v>2198</v>
      </c>
      <c r="H1147" s="28" t="s">
        <v>2366</v>
      </c>
      <c r="I1147" s="28" t="str">
        <f>VLOOKUP(E1147,표준용어사전!$C$2:$D$494, 2, FALSE)</f>
        <v>연월일C8</v>
      </c>
      <c r="J1147" s="28" t="s">
        <v>709</v>
      </c>
      <c r="K1147" s="29">
        <v>8</v>
      </c>
      <c r="L1147" s="55" t="s">
        <v>571</v>
      </c>
      <c r="M1147" s="29" t="s">
        <v>731</v>
      </c>
      <c r="N1147" s="32" t="s">
        <v>2717</v>
      </c>
      <c r="O1147" s="31"/>
      <c r="P1147" s="31"/>
      <c r="Q1147" s="28"/>
      <c r="R1147" s="29"/>
      <c r="S1147" s="31"/>
      <c r="T1147" s="31"/>
      <c r="U1147" s="28" t="s">
        <v>75</v>
      </c>
      <c r="V1147" s="28" t="s">
        <v>75</v>
      </c>
      <c r="W1147" s="28"/>
    </row>
    <row r="1148" spans="1:23">
      <c r="A1148" s="46" t="s">
        <v>572</v>
      </c>
      <c r="B1148" s="28" t="s">
        <v>1338</v>
      </c>
      <c r="C1148" s="28" t="s">
        <v>2588</v>
      </c>
      <c r="D1148" s="31" t="s">
        <v>2457</v>
      </c>
      <c r="E1148" s="28" t="s">
        <v>843</v>
      </c>
      <c r="F1148" s="28" t="s">
        <v>2050</v>
      </c>
      <c r="G1148" s="28" t="s">
        <v>2050</v>
      </c>
      <c r="H1148" s="28" t="s">
        <v>2366</v>
      </c>
      <c r="I1148" s="28" t="str">
        <f>VLOOKUP(E1148,표준용어사전!$C$2:$D$494, 2, FALSE)</f>
        <v>명V50</v>
      </c>
      <c r="J1148" s="28" t="s">
        <v>718</v>
      </c>
      <c r="K1148" s="29">
        <v>50</v>
      </c>
      <c r="L1148" s="55" t="s">
        <v>571</v>
      </c>
      <c r="M1148" s="29" t="s">
        <v>720</v>
      </c>
      <c r="N1148" s="32" t="s">
        <v>2717</v>
      </c>
      <c r="O1148" s="31"/>
      <c r="P1148" s="31"/>
      <c r="Q1148" s="28"/>
      <c r="R1148" s="29"/>
      <c r="S1148" s="31"/>
      <c r="T1148" s="31"/>
      <c r="U1148" s="28" t="s">
        <v>75</v>
      </c>
      <c r="V1148" s="28" t="s">
        <v>75</v>
      </c>
      <c r="W1148" s="28"/>
    </row>
    <row r="1149" spans="1:23">
      <c r="A1149" s="46" t="s">
        <v>572</v>
      </c>
      <c r="B1149" s="28" t="s">
        <v>1338</v>
      </c>
      <c r="C1149" s="28" t="s">
        <v>2588</v>
      </c>
      <c r="D1149" s="31" t="s">
        <v>2457</v>
      </c>
      <c r="E1149" s="28" t="s">
        <v>2512</v>
      </c>
      <c r="F1149" s="28" t="s">
        <v>896</v>
      </c>
      <c r="G1149" s="28" t="s">
        <v>896</v>
      </c>
      <c r="H1149" s="28" t="s">
        <v>2366</v>
      </c>
      <c r="I1149" s="28" t="str">
        <f>VLOOKUP(E1149,표준용어사전!$C$2:$D$494, 2, FALSE)</f>
        <v>코드C4</v>
      </c>
      <c r="J1149" s="28" t="s">
        <v>709</v>
      </c>
      <c r="K1149" s="29">
        <v>4</v>
      </c>
      <c r="L1149" s="55" t="s">
        <v>571</v>
      </c>
      <c r="M1149" s="29" t="s">
        <v>929</v>
      </c>
      <c r="N1149" s="32" t="s">
        <v>2717</v>
      </c>
      <c r="O1149" s="31"/>
      <c r="P1149" s="31"/>
      <c r="Q1149" s="28"/>
      <c r="R1149" s="29"/>
      <c r="S1149" s="31"/>
      <c r="T1149" s="31"/>
      <c r="U1149" s="28" t="s">
        <v>75</v>
      </c>
      <c r="V1149" s="28" t="s">
        <v>75</v>
      </c>
      <c r="W1149" s="28"/>
    </row>
    <row r="1150" spans="1:23">
      <c r="A1150" s="46" t="s">
        <v>572</v>
      </c>
      <c r="B1150" s="28" t="s">
        <v>1338</v>
      </c>
      <c r="C1150" s="28" t="s">
        <v>2588</v>
      </c>
      <c r="D1150" s="31" t="s">
        <v>2457</v>
      </c>
      <c r="E1150" s="28" t="s">
        <v>2511</v>
      </c>
      <c r="F1150" s="28" t="s">
        <v>580</v>
      </c>
      <c r="G1150" s="28" t="s">
        <v>580</v>
      </c>
      <c r="H1150" s="28" t="s">
        <v>2366</v>
      </c>
      <c r="I1150" s="28" t="str">
        <f>VLOOKUP(E1150,표준용어사전!$C$2:$D$494, 2, FALSE)</f>
        <v>명V20</v>
      </c>
      <c r="J1150" s="28" t="s">
        <v>718</v>
      </c>
      <c r="K1150" s="29" t="s">
        <v>986</v>
      </c>
      <c r="L1150" s="55" t="s">
        <v>571</v>
      </c>
      <c r="M1150" s="29" t="s">
        <v>727</v>
      </c>
      <c r="N1150" s="32" t="s">
        <v>2717</v>
      </c>
      <c r="O1150" s="31"/>
      <c r="P1150" s="31"/>
      <c r="Q1150" s="28"/>
      <c r="R1150" s="29"/>
      <c r="S1150" s="31"/>
      <c r="T1150" s="31"/>
      <c r="U1150" s="28" t="s">
        <v>75</v>
      </c>
      <c r="V1150" s="28" t="s">
        <v>75</v>
      </c>
      <c r="W1150" s="28"/>
    </row>
    <row r="1151" spans="1:23">
      <c r="A1151" s="46" t="s">
        <v>572</v>
      </c>
      <c r="B1151" s="28" t="s">
        <v>1338</v>
      </c>
      <c r="C1151" s="28" t="s">
        <v>2588</v>
      </c>
      <c r="D1151" s="31" t="s">
        <v>2457</v>
      </c>
      <c r="E1151" s="28" t="s">
        <v>90</v>
      </c>
      <c r="F1151" s="28" t="s">
        <v>14</v>
      </c>
      <c r="G1151" s="28" t="s">
        <v>14</v>
      </c>
      <c r="H1151" s="28" t="s">
        <v>2366</v>
      </c>
      <c r="I1151" s="28" t="str">
        <f>VLOOKUP(E1151,표준용어사전!$C$2:$D$494, 2, FALSE)</f>
        <v>연월일시분초TS</v>
      </c>
      <c r="J1151" s="28" t="s">
        <v>719</v>
      </c>
      <c r="K1151" s="29" t="s">
        <v>571</v>
      </c>
      <c r="L1151" s="55" t="s">
        <v>571</v>
      </c>
      <c r="M1151" s="29" t="s">
        <v>726</v>
      </c>
      <c r="N1151" s="32" t="s">
        <v>2717</v>
      </c>
      <c r="O1151" s="31"/>
      <c r="P1151" s="31"/>
      <c r="Q1151" s="28"/>
      <c r="R1151" s="29"/>
      <c r="S1151" s="31"/>
      <c r="T1151" s="31"/>
      <c r="U1151" s="28" t="s">
        <v>75</v>
      </c>
      <c r="V1151" s="28" t="s">
        <v>75</v>
      </c>
      <c r="W1151" s="28"/>
    </row>
    <row r="1152" spans="1:23">
      <c r="A1152" s="46" t="s">
        <v>572</v>
      </c>
      <c r="B1152" s="28" t="s">
        <v>1338</v>
      </c>
      <c r="C1152" s="28" t="s">
        <v>2588</v>
      </c>
      <c r="D1152" s="31" t="s">
        <v>2457</v>
      </c>
      <c r="E1152" s="28" t="s">
        <v>91</v>
      </c>
      <c r="F1152" s="28" t="s">
        <v>369</v>
      </c>
      <c r="G1152" s="28" t="s">
        <v>369</v>
      </c>
      <c r="H1152" s="28" t="s">
        <v>2366</v>
      </c>
      <c r="I1152" s="28" t="str">
        <f>VLOOKUP(E1152,표준용어사전!$C$2:$D$494, 2, FALSE)</f>
        <v>명V20</v>
      </c>
      <c r="J1152" s="28" t="s">
        <v>718</v>
      </c>
      <c r="K1152" s="29" t="s">
        <v>986</v>
      </c>
      <c r="L1152" s="55" t="s">
        <v>571</v>
      </c>
      <c r="M1152" s="29" t="s">
        <v>727</v>
      </c>
      <c r="N1152" s="32" t="s">
        <v>2717</v>
      </c>
      <c r="O1152" s="31"/>
      <c r="P1152" s="31"/>
      <c r="Q1152" s="28"/>
      <c r="R1152" s="29"/>
      <c r="S1152" s="31"/>
      <c r="T1152" s="28"/>
      <c r="U1152" s="28" t="s">
        <v>75</v>
      </c>
      <c r="V1152" s="28" t="s">
        <v>75</v>
      </c>
      <c r="W1152" s="28"/>
    </row>
    <row r="1153" spans="1:23">
      <c r="A1153" s="46" t="s">
        <v>572</v>
      </c>
      <c r="B1153" s="28" t="s">
        <v>1338</v>
      </c>
      <c r="C1153" s="28" t="s">
        <v>2588</v>
      </c>
      <c r="D1153" s="31" t="s">
        <v>2457</v>
      </c>
      <c r="E1153" s="28" t="s">
        <v>92</v>
      </c>
      <c r="F1153" s="28" t="s">
        <v>15</v>
      </c>
      <c r="G1153" s="28" t="s">
        <v>15</v>
      </c>
      <c r="H1153" s="28" t="s">
        <v>2366</v>
      </c>
      <c r="I1153" s="28" t="str">
        <f>VLOOKUP(E1153,표준용어사전!$C$2:$D$494, 2, FALSE)</f>
        <v>연월일시분초TS</v>
      </c>
      <c r="J1153" s="28" t="s">
        <v>719</v>
      </c>
      <c r="K1153" s="29" t="s">
        <v>571</v>
      </c>
      <c r="L1153" s="55" t="s">
        <v>571</v>
      </c>
      <c r="M1153" s="29" t="s">
        <v>726</v>
      </c>
      <c r="N1153" s="32" t="s">
        <v>2717</v>
      </c>
      <c r="O1153" s="31"/>
      <c r="P1153" s="31"/>
      <c r="Q1153" s="28"/>
      <c r="R1153" s="29"/>
      <c r="S1153" s="31"/>
      <c r="T1153" s="31"/>
      <c r="U1153" s="28" t="s">
        <v>75</v>
      </c>
      <c r="V1153" s="28" t="s">
        <v>75</v>
      </c>
      <c r="W1153" s="28"/>
    </row>
    <row r="1154" spans="1:23">
      <c r="A1154" s="46" t="s">
        <v>572</v>
      </c>
      <c r="B1154" s="28" t="s">
        <v>1338</v>
      </c>
      <c r="C1154" s="28" t="s">
        <v>2588</v>
      </c>
      <c r="D1154" s="31" t="s">
        <v>2457</v>
      </c>
      <c r="E1154" s="28" t="s">
        <v>93</v>
      </c>
      <c r="F1154" s="28" t="s">
        <v>370</v>
      </c>
      <c r="G1154" s="28" t="s">
        <v>370</v>
      </c>
      <c r="H1154" s="28" t="s">
        <v>2366</v>
      </c>
      <c r="I1154" s="28" t="str">
        <f>VLOOKUP(E1154,표준용어사전!$C$2:$D$494, 2, FALSE)</f>
        <v>명V20</v>
      </c>
      <c r="J1154" s="28" t="s">
        <v>718</v>
      </c>
      <c r="K1154" s="29" t="s">
        <v>986</v>
      </c>
      <c r="L1154" s="55" t="s">
        <v>571</v>
      </c>
      <c r="M1154" s="29" t="s">
        <v>727</v>
      </c>
      <c r="N1154" s="32" t="s">
        <v>2717</v>
      </c>
      <c r="O1154" s="31"/>
      <c r="P1154" s="31"/>
      <c r="Q1154" s="28"/>
      <c r="R1154" s="29"/>
      <c r="S1154" s="31"/>
      <c r="T1154" s="31"/>
      <c r="U1154" s="28" t="s">
        <v>75</v>
      </c>
      <c r="V1154" s="28" t="s">
        <v>75</v>
      </c>
      <c r="W1154" s="28"/>
    </row>
    <row r="1155" spans="1:23">
      <c r="A1155" s="46" t="s">
        <v>572</v>
      </c>
      <c r="B1155" s="28" t="s">
        <v>1338</v>
      </c>
      <c r="C1155" s="28" t="s">
        <v>2588</v>
      </c>
      <c r="D1155" s="31" t="s">
        <v>2457</v>
      </c>
      <c r="E1155" s="28" t="s">
        <v>2202</v>
      </c>
      <c r="F1155" s="28" t="s">
        <v>1416</v>
      </c>
      <c r="G1155" s="28" t="s">
        <v>1416</v>
      </c>
      <c r="H1155" s="28" t="s">
        <v>2366</v>
      </c>
      <c r="I1155" s="28" t="str">
        <f>VLOOKUP(E1155,표준용어사전!$C$2:$D$494, 2, FALSE)</f>
        <v>수N10,3</v>
      </c>
      <c r="J1155" s="28" t="s">
        <v>748</v>
      </c>
      <c r="K1155" s="29" t="s">
        <v>1061</v>
      </c>
      <c r="L1155" s="55" t="s">
        <v>980</v>
      </c>
      <c r="M1155" s="29" t="s">
        <v>2593</v>
      </c>
      <c r="N1155" s="32" t="s">
        <v>2717</v>
      </c>
      <c r="O1155" s="31"/>
      <c r="P1155" s="31"/>
      <c r="Q1155" s="28"/>
      <c r="R1155" s="29"/>
      <c r="S1155" s="31"/>
      <c r="T1155" s="31"/>
      <c r="U1155" s="28" t="s">
        <v>75</v>
      </c>
      <c r="V1155" s="28" t="s">
        <v>75</v>
      </c>
      <c r="W1155" s="28"/>
    </row>
    <row r="1156" spans="1:23">
      <c r="A1156" s="46" t="s">
        <v>572</v>
      </c>
      <c r="B1156" s="28" t="s">
        <v>1338</v>
      </c>
      <c r="C1156" s="28" t="s">
        <v>2588</v>
      </c>
      <c r="D1156" s="31" t="s">
        <v>2459</v>
      </c>
      <c r="E1156" s="28" t="s">
        <v>2199</v>
      </c>
      <c r="F1156" s="28" t="s">
        <v>2198</v>
      </c>
      <c r="G1156" s="28" t="s">
        <v>2198</v>
      </c>
      <c r="H1156" s="28" t="s">
        <v>591</v>
      </c>
      <c r="I1156" s="28" t="str">
        <f>VLOOKUP(E1156,표준용어사전!$C$2:$D$494, 2, FALSE)</f>
        <v>연월일C8</v>
      </c>
      <c r="J1156" s="28" t="s">
        <v>709</v>
      </c>
      <c r="K1156" s="29">
        <v>8</v>
      </c>
      <c r="L1156" s="55" t="s">
        <v>571</v>
      </c>
      <c r="M1156" s="29" t="s">
        <v>731</v>
      </c>
      <c r="N1156" s="32" t="s">
        <v>2717</v>
      </c>
      <c r="O1156" s="31"/>
      <c r="P1156" s="31"/>
      <c r="Q1156" s="28"/>
      <c r="R1156" s="29"/>
      <c r="S1156" s="31"/>
      <c r="T1156" s="31"/>
      <c r="U1156" s="28" t="s">
        <v>75</v>
      </c>
      <c r="V1156" s="28" t="s">
        <v>75</v>
      </c>
      <c r="W1156" s="31"/>
    </row>
    <row r="1157" spans="1:23">
      <c r="A1157" s="46" t="s">
        <v>572</v>
      </c>
      <c r="B1157" s="28" t="s">
        <v>1338</v>
      </c>
      <c r="C1157" s="28" t="s">
        <v>2588</v>
      </c>
      <c r="D1157" s="31" t="s">
        <v>2459</v>
      </c>
      <c r="E1157" s="28" t="s">
        <v>151</v>
      </c>
      <c r="F1157" s="28" t="s">
        <v>413</v>
      </c>
      <c r="G1157" s="28" t="s">
        <v>413</v>
      </c>
      <c r="H1157" s="28" t="s">
        <v>591</v>
      </c>
      <c r="I1157" s="28" t="str">
        <f>VLOOKUP(E1157,표준용어사전!$C$2:$D$494, 2, FALSE)</f>
        <v>번호N10</v>
      </c>
      <c r="J1157" s="28" t="s">
        <v>748</v>
      </c>
      <c r="K1157" s="29">
        <v>10</v>
      </c>
      <c r="L1157" s="55" t="s">
        <v>571</v>
      </c>
      <c r="M1157" s="29" t="s">
        <v>2592</v>
      </c>
      <c r="N1157" s="32" t="s">
        <v>2717</v>
      </c>
      <c r="O1157" s="31"/>
      <c r="P1157" s="31"/>
      <c r="Q1157" s="28"/>
      <c r="R1157" s="29"/>
      <c r="S1157" s="31"/>
      <c r="T1157" s="28"/>
      <c r="U1157" s="28" t="s">
        <v>75</v>
      </c>
      <c r="V1157" s="28" t="s">
        <v>75</v>
      </c>
      <c r="W1157" s="31"/>
    </row>
    <row r="1158" spans="1:23">
      <c r="A1158" s="46" t="s">
        <v>572</v>
      </c>
      <c r="B1158" s="28" t="s">
        <v>1338</v>
      </c>
      <c r="C1158" s="28" t="s">
        <v>2588</v>
      </c>
      <c r="D1158" s="31" t="s">
        <v>2459</v>
      </c>
      <c r="E1158" s="28" t="s">
        <v>2512</v>
      </c>
      <c r="F1158" s="28" t="s">
        <v>896</v>
      </c>
      <c r="G1158" s="28" t="s">
        <v>896</v>
      </c>
      <c r="H1158" s="28" t="s">
        <v>591</v>
      </c>
      <c r="I1158" s="28" t="str">
        <f>VLOOKUP(E1158,표준용어사전!$C$2:$D$494, 2, FALSE)</f>
        <v>코드C4</v>
      </c>
      <c r="J1158" s="28" t="s">
        <v>709</v>
      </c>
      <c r="K1158" s="29">
        <v>4</v>
      </c>
      <c r="L1158" s="55" t="s">
        <v>571</v>
      </c>
      <c r="M1158" s="29" t="s">
        <v>929</v>
      </c>
      <c r="N1158" s="32" t="s">
        <v>2717</v>
      </c>
      <c r="O1158" s="31"/>
      <c r="P1158" s="31"/>
      <c r="Q1158" s="28"/>
      <c r="R1158" s="29"/>
      <c r="S1158" s="31"/>
      <c r="T1158" s="28"/>
      <c r="U1158" s="28" t="s">
        <v>75</v>
      </c>
      <c r="V1158" s="28" t="s">
        <v>75</v>
      </c>
      <c r="W1158" s="31"/>
    </row>
    <row r="1159" spans="1:23">
      <c r="A1159" s="46" t="s">
        <v>572</v>
      </c>
      <c r="B1159" s="28" t="s">
        <v>1338</v>
      </c>
      <c r="C1159" s="28" t="s">
        <v>2588</v>
      </c>
      <c r="D1159" s="31" t="s">
        <v>2459</v>
      </c>
      <c r="E1159" s="28" t="s">
        <v>2511</v>
      </c>
      <c r="F1159" s="28" t="s">
        <v>580</v>
      </c>
      <c r="G1159" s="28" t="s">
        <v>580</v>
      </c>
      <c r="H1159" s="28" t="s">
        <v>591</v>
      </c>
      <c r="I1159" s="28" t="str">
        <f>VLOOKUP(E1159,표준용어사전!$C$2:$D$494, 2, FALSE)</f>
        <v>명V20</v>
      </c>
      <c r="J1159" s="28" t="s">
        <v>718</v>
      </c>
      <c r="K1159" s="29" t="s">
        <v>986</v>
      </c>
      <c r="L1159" s="55" t="s">
        <v>571</v>
      </c>
      <c r="M1159" s="29" t="s">
        <v>727</v>
      </c>
      <c r="N1159" s="32" t="s">
        <v>2717</v>
      </c>
      <c r="O1159" s="31"/>
      <c r="P1159" s="31"/>
      <c r="Q1159" s="28"/>
      <c r="R1159" s="29"/>
      <c r="S1159" s="31"/>
      <c r="T1159" s="31"/>
      <c r="U1159" s="28" t="s">
        <v>75</v>
      </c>
      <c r="V1159" s="28" t="s">
        <v>75</v>
      </c>
      <c r="W1159" s="31"/>
    </row>
    <row r="1160" spans="1:23">
      <c r="A1160" s="46" t="s">
        <v>572</v>
      </c>
      <c r="B1160" s="28" t="s">
        <v>1338</v>
      </c>
      <c r="C1160" s="28" t="s">
        <v>2588</v>
      </c>
      <c r="D1160" s="31" t="s">
        <v>2459</v>
      </c>
      <c r="E1160" s="28" t="s">
        <v>90</v>
      </c>
      <c r="F1160" s="28" t="s">
        <v>14</v>
      </c>
      <c r="G1160" s="28" t="s">
        <v>14</v>
      </c>
      <c r="H1160" s="28" t="s">
        <v>591</v>
      </c>
      <c r="I1160" s="28" t="str">
        <f>VLOOKUP(E1160,표준용어사전!$C$2:$D$494, 2, FALSE)</f>
        <v>연월일시분초TS</v>
      </c>
      <c r="J1160" s="28" t="s">
        <v>719</v>
      </c>
      <c r="K1160" s="29" t="s">
        <v>571</v>
      </c>
      <c r="L1160" s="55" t="s">
        <v>571</v>
      </c>
      <c r="M1160" s="29" t="s">
        <v>726</v>
      </c>
      <c r="N1160" s="32" t="s">
        <v>2717</v>
      </c>
      <c r="O1160" s="31"/>
      <c r="P1160" s="31"/>
      <c r="Q1160" s="28"/>
      <c r="R1160" s="29"/>
      <c r="S1160" s="31"/>
      <c r="T1160" s="31"/>
      <c r="U1160" s="28" t="s">
        <v>75</v>
      </c>
      <c r="V1160" s="28" t="s">
        <v>75</v>
      </c>
      <c r="W1160" s="31"/>
    </row>
    <row r="1161" spans="1:23">
      <c r="A1161" s="46" t="s">
        <v>572</v>
      </c>
      <c r="B1161" s="28" t="s">
        <v>1338</v>
      </c>
      <c r="C1161" s="28" t="s">
        <v>2588</v>
      </c>
      <c r="D1161" s="31" t="s">
        <v>2459</v>
      </c>
      <c r="E1161" s="28" t="s">
        <v>91</v>
      </c>
      <c r="F1161" s="28" t="s">
        <v>369</v>
      </c>
      <c r="G1161" s="28" t="s">
        <v>369</v>
      </c>
      <c r="H1161" s="28" t="s">
        <v>591</v>
      </c>
      <c r="I1161" s="28" t="str">
        <f>VLOOKUP(E1161,표준용어사전!$C$2:$D$494, 2, FALSE)</f>
        <v>명V20</v>
      </c>
      <c r="J1161" s="28" t="s">
        <v>718</v>
      </c>
      <c r="K1161" s="29" t="s">
        <v>986</v>
      </c>
      <c r="L1161" s="55" t="s">
        <v>571</v>
      </c>
      <c r="M1161" s="29" t="s">
        <v>727</v>
      </c>
      <c r="N1161" s="32" t="s">
        <v>2717</v>
      </c>
      <c r="O1161" s="31"/>
      <c r="P1161" s="31"/>
      <c r="Q1161" s="28"/>
      <c r="R1161" s="29"/>
      <c r="S1161" s="31"/>
      <c r="T1161" s="31"/>
      <c r="U1161" s="28" t="s">
        <v>75</v>
      </c>
      <c r="V1161" s="28" t="s">
        <v>75</v>
      </c>
      <c r="W1161" s="31"/>
    </row>
    <row r="1162" spans="1:23">
      <c r="A1162" s="46" t="s">
        <v>572</v>
      </c>
      <c r="B1162" s="28" t="s">
        <v>1338</v>
      </c>
      <c r="C1162" s="28" t="s">
        <v>2588</v>
      </c>
      <c r="D1162" s="31" t="s">
        <v>2459</v>
      </c>
      <c r="E1162" s="28" t="s">
        <v>92</v>
      </c>
      <c r="F1162" s="28" t="s">
        <v>15</v>
      </c>
      <c r="G1162" s="28" t="s">
        <v>15</v>
      </c>
      <c r="H1162" s="28" t="s">
        <v>591</v>
      </c>
      <c r="I1162" s="28" t="str">
        <f>VLOOKUP(E1162,표준용어사전!$C$2:$D$494, 2, FALSE)</f>
        <v>연월일시분초TS</v>
      </c>
      <c r="J1162" s="28" t="s">
        <v>719</v>
      </c>
      <c r="K1162" s="29" t="s">
        <v>571</v>
      </c>
      <c r="L1162" s="55" t="s">
        <v>571</v>
      </c>
      <c r="M1162" s="29" t="s">
        <v>726</v>
      </c>
      <c r="N1162" s="32" t="s">
        <v>2717</v>
      </c>
      <c r="O1162" s="31"/>
      <c r="P1162" s="31"/>
      <c r="Q1162" s="28"/>
      <c r="R1162" s="29"/>
      <c r="S1162" s="31"/>
      <c r="T1162" s="31"/>
      <c r="U1162" s="28" t="s">
        <v>75</v>
      </c>
      <c r="V1162" s="28" t="s">
        <v>75</v>
      </c>
      <c r="W1162" s="31"/>
    </row>
    <row r="1163" spans="1:23">
      <c r="A1163" s="46" t="s">
        <v>572</v>
      </c>
      <c r="B1163" s="28" t="s">
        <v>1338</v>
      </c>
      <c r="C1163" s="28" t="s">
        <v>2588</v>
      </c>
      <c r="D1163" s="31" t="s">
        <v>2459</v>
      </c>
      <c r="E1163" s="28" t="s">
        <v>93</v>
      </c>
      <c r="F1163" s="28" t="s">
        <v>370</v>
      </c>
      <c r="G1163" s="28" t="s">
        <v>370</v>
      </c>
      <c r="H1163" s="28" t="s">
        <v>591</v>
      </c>
      <c r="I1163" s="28" t="str">
        <f>VLOOKUP(E1163,표준용어사전!$C$2:$D$494, 2, FALSE)</f>
        <v>명V20</v>
      </c>
      <c r="J1163" s="28" t="s">
        <v>718</v>
      </c>
      <c r="K1163" s="29" t="s">
        <v>986</v>
      </c>
      <c r="L1163" s="55" t="s">
        <v>571</v>
      </c>
      <c r="M1163" s="29" t="s">
        <v>727</v>
      </c>
      <c r="N1163" s="32" t="s">
        <v>2717</v>
      </c>
      <c r="O1163" s="31"/>
      <c r="P1163" s="31"/>
      <c r="Q1163" s="28"/>
      <c r="R1163" s="29"/>
      <c r="S1163" s="31"/>
      <c r="T1163" s="31"/>
      <c r="U1163" s="28" t="s">
        <v>75</v>
      </c>
      <c r="V1163" s="28" t="s">
        <v>75</v>
      </c>
      <c r="W1163" s="31"/>
    </row>
    <row r="1164" spans="1:23">
      <c r="A1164" s="46" t="s">
        <v>572</v>
      </c>
      <c r="B1164" s="28" t="s">
        <v>1338</v>
      </c>
      <c r="C1164" s="28" t="s">
        <v>2588</v>
      </c>
      <c r="D1164" s="31" t="s">
        <v>2459</v>
      </c>
      <c r="E1164" s="28" t="s">
        <v>951</v>
      </c>
      <c r="F1164" s="28" t="s">
        <v>952</v>
      </c>
      <c r="G1164" s="28" t="s">
        <v>952</v>
      </c>
      <c r="H1164" s="28" t="s">
        <v>591</v>
      </c>
      <c r="I1164" s="28" t="str">
        <f>VLOOKUP(E1164,표준용어사전!$C$2:$D$494, 2, FALSE)</f>
        <v>수N10,3</v>
      </c>
      <c r="J1164" s="28" t="s">
        <v>748</v>
      </c>
      <c r="K1164" s="29" t="s">
        <v>1061</v>
      </c>
      <c r="L1164" s="55" t="s">
        <v>980</v>
      </c>
      <c r="M1164" s="29" t="s">
        <v>2593</v>
      </c>
      <c r="N1164" s="32" t="s">
        <v>2717</v>
      </c>
      <c r="O1164" s="31"/>
      <c r="P1164" s="31"/>
      <c r="Q1164" s="28"/>
      <c r="R1164" s="29"/>
      <c r="S1164" s="31"/>
      <c r="T1164" s="28"/>
      <c r="U1164" s="28" t="s">
        <v>75</v>
      </c>
      <c r="V1164" s="28" t="s">
        <v>75</v>
      </c>
      <c r="W1164" s="31"/>
    </row>
    <row r="1165" spans="1:23">
      <c r="A1165" s="46" t="s">
        <v>572</v>
      </c>
      <c r="B1165" s="28" t="s">
        <v>1338</v>
      </c>
      <c r="C1165" s="28" t="s">
        <v>2588</v>
      </c>
      <c r="D1165" s="31" t="s">
        <v>2460</v>
      </c>
      <c r="E1165" s="28" t="s">
        <v>2199</v>
      </c>
      <c r="F1165" s="28" t="s">
        <v>2198</v>
      </c>
      <c r="G1165" s="28" t="s">
        <v>2198</v>
      </c>
      <c r="H1165" s="28" t="s">
        <v>589</v>
      </c>
      <c r="I1165" s="28" t="str">
        <f>VLOOKUP(E1165,표준용어사전!$C$2:$D$494, 2, FALSE)</f>
        <v>연월일C8</v>
      </c>
      <c r="J1165" s="28" t="s">
        <v>709</v>
      </c>
      <c r="K1165" s="29">
        <v>8</v>
      </c>
      <c r="L1165" s="55" t="s">
        <v>571</v>
      </c>
      <c r="M1165" s="29" t="s">
        <v>731</v>
      </c>
      <c r="N1165" s="32" t="s">
        <v>2717</v>
      </c>
      <c r="O1165" s="31"/>
      <c r="P1165" s="31"/>
      <c r="Q1165" s="28"/>
      <c r="R1165" s="29"/>
      <c r="S1165" s="31"/>
      <c r="T1165" s="28"/>
      <c r="U1165" s="28" t="s">
        <v>75</v>
      </c>
      <c r="V1165" s="28" t="s">
        <v>75</v>
      </c>
      <c r="W1165" s="31"/>
    </row>
    <row r="1166" spans="1:23">
      <c r="A1166" s="46" t="s">
        <v>572</v>
      </c>
      <c r="B1166" s="28" t="s">
        <v>1338</v>
      </c>
      <c r="C1166" s="28" t="s">
        <v>2588</v>
      </c>
      <c r="D1166" s="31" t="s">
        <v>2460</v>
      </c>
      <c r="E1166" s="28" t="s">
        <v>89</v>
      </c>
      <c r="F1166" s="28" t="s">
        <v>501</v>
      </c>
      <c r="G1166" s="28" t="s">
        <v>501</v>
      </c>
      <c r="H1166" s="28" t="s">
        <v>589</v>
      </c>
      <c r="I1166" s="28" t="str">
        <f>VLOOKUP(E1166,표준용어사전!$C$2:$D$494, 2, FALSE)</f>
        <v>명V20</v>
      </c>
      <c r="J1166" s="28" t="s">
        <v>718</v>
      </c>
      <c r="K1166" s="29" t="s">
        <v>986</v>
      </c>
      <c r="L1166" s="55" t="s">
        <v>571</v>
      </c>
      <c r="M1166" s="29" t="s">
        <v>727</v>
      </c>
      <c r="N1166" s="32" t="s">
        <v>2717</v>
      </c>
      <c r="O1166" s="31"/>
      <c r="P1166" s="31"/>
      <c r="Q1166" s="28"/>
      <c r="R1166" s="29"/>
      <c r="S1166" s="31"/>
      <c r="T1166" s="31"/>
      <c r="U1166" s="28" t="s">
        <v>75</v>
      </c>
      <c r="V1166" s="28" t="s">
        <v>75</v>
      </c>
      <c r="W1166" s="31"/>
    </row>
    <row r="1167" spans="1:23">
      <c r="A1167" s="46" t="s">
        <v>572</v>
      </c>
      <c r="B1167" s="28" t="s">
        <v>1338</v>
      </c>
      <c r="C1167" s="28" t="s">
        <v>2588</v>
      </c>
      <c r="D1167" s="31" t="s">
        <v>2460</v>
      </c>
      <c r="E1167" s="28" t="s">
        <v>2512</v>
      </c>
      <c r="F1167" s="28" t="s">
        <v>896</v>
      </c>
      <c r="G1167" s="28" t="s">
        <v>896</v>
      </c>
      <c r="H1167" s="28" t="s">
        <v>589</v>
      </c>
      <c r="I1167" s="28" t="str">
        <f>VLOOKUP(E1167,표준용어사전!$C$2:$D$494, 2, FALSE)</f>
        <v>코드C4</v>
      </c>
      <c r="J1167" s="28" t="s">
        <v>709</v>
      </c>
      <c r="K1167" s="29">
        <v>4</v>
      </c>
      <c r="L1167" s="55" t="s">
        <v>571</v>
      </c>
      <c r="M1167" s="29" t="s">
        <v>929</v>
      </c>
      <c r="N1167" s="32" t="s">
        <v>2717</v>
      </c>
      <c r="O1167" s="31"/>
      <c r="P1167" s="31"/>
      <c r="Q1167" s="28"/>
      <c r="R1167" s="29"/>
      <c r="S1167" s="31"/>
      <c r="T1167" s="31"/>
      <c r="U1167" s="28" t="s">
        <v>75</v>
      </c>
      <c r="V1167" s="28" t="s">
        <v>75</v>
      </c>
      <c r="W1167" s="31"/>
    </row>
    <row r="1168" spans="1:23">
      <c r="A1168" s="46" t="s">
        <v>572</v>
      </c>
      <c r="B1168" s="28" t="s">
        <v>1338</v>
      </c>
      <c r="C1168" s="28" t="s">
        <v>2588</v>
      </c>
      <c r="D1168" s="31" t="s">
        <v>2460</v>
      </c>
      <c r="E1168" s="28" t="s">
        <v>2511</v>
      </c>
      <c r="F1168" s="28" t="s">
        <v>580</v>
      </c>
      <c r="G1168" s="28" t="s">
        <v>580</v>
      </c>
      <c r="H1168" s="28" t="s">
        <v>589</v>
      </c>
      <c r="I1168" s="28" t="str">
        <f>VLOOKUP(E1168,표준용어사전!$C$2:$D$494, 2, FALSE)</f>
        <v>명V20</v>
      </c>
      <c r="J1168" s="28" t="s">
        <v>718</v>
      </c>
      <c r="K1168" s="29" t="s">
        <v>986</v>
      </c>
      <c r="L1168" s="55" t="s">
        <v>571</v>
      </c>
      <c r="M1168" s="29" t="s">
        <v>727</v>
      </c>
      <c r="N1168" s="32" t="s">
        <v>2717</v>
      </c>
      <c r="O1168" s="31"/>
      <c r="P1168" s="31"/>
      <c r="Q1168" s="28"/>
      <c r="R1168" s="29"/>
      <c r="S1168" s="31"/>
      <c r="T1168" s="31"/>
      <c r="U1168" s="28" t="s">
        <v>75</v>
      </c>
      <c r="V1168" s="28" t="s">
        <v>75</v>
      </c>
      <c r="W1168" s="31"/>
    </row>
    <row r="1169" spans="1:23">
      <c r="A1169" s="46" t="s">
        <v>572</v>
      </c>
      <c r="B1169" s="28" t="s">
        <v>1338</v>
      </c>
      <c r="C1169" s="28" t="s">
        <v>2588</v>
      </c>
      <c r="D1169" s="31" t="s">
        <v>2460</v>
      </c>
      <c r="E1169" s="28" t="s">
        <v>90</v>
      </c>
      <c r="F1169" s="28" t="s">
        <v>14</v>
      </c>
      <c r="G1169" s="28" t="s">
        <v>14</v>
      </c>
      <c r="H1169" s="28" t="s">
        <v>589</v>
      </c>
      <c r="I1169" s="28" t="str">
        <f>VLOOKUP(E1169,표준용어사전!$C$2:$D$494, 2, FALSE)</f>
        <v>연월일시분초TS</v>
      </c>
      <c r="J1169" s="28" t="s">
        <v>719</v>
      </c>
      <c r="K1169" s="29" t="s">
        <v>571</v>
      </c>
      <c r="L1169" s="55" t="s">
        <v>571</v>
      </c>
      <c r="M1169" s="29" t="s">
        <v>726</v>
      </c>
      <c r="N1169" s="32" t="s">
        <v>2717</v>
      </c>
      <c r="O1169" s="31"/>
      <c r="P1169" s="31"/>
      <c r="Q1169" s="28"/>
      <c r="R1169" s="29"/>
      <c r="S1169" s="31"/>
      <c r="T1169" s="31"/>
      <c r="U1169" s="28" t="s">
        <v>75</v>
      </c>
      <c r="V1169" s="28" t="s">
        <v>75</v>
      </c>
      <c r="W1169" s="31"/>
    </row>
    <row r="1170" spans="1:23">
      <c r="A1170" s="46" t="s">
        <v>572</v>
      </c>
      <c r="B1170" s="28" t="s">
        <v>1338</v>
      </c>
      <c r="C1170" s="28" t="s">
        <v>2588</v>
      </c>
      <c r="D1170" s="31" t="s">
        <v>2460</v>
      </c>
      <c r="E1170" s="28" t="s">
        <v>91</v>
      </c>
      <c r="F1170" s="28" t="s">
        <v>369</v>
      </c>
      <c r="G1170" s="28" t="s">
        <v>369</v>
      </c>
      <c r="H1170" s="28" t="s">
        <v>589</v>
      </c>
      <c r="I1170" s="28" t="str">
        <f>VLOOKUP(E1170,표준용어사전!$C$2:$D$494, 2, FALSE)</f>
        <v>명V20</v>
      </c>
      <c r="J1170" s="28" t="s">
        <v>718</v>
      </c>
      <c r="K1170" s="29" t="s">
        <v>986</v>
      </c>
      <c r="L1170" s="55" t="s">
        <v>571</v>
      </c>
      <c r="M1170" s="29" t="s">
        <v>727</v>
      </c>
      <c r="N1170" s="32" t="s">
        <v>2717</v>
      </c>
      <c r="O1170" s="31"/>
      <c r="P1170" s="31"/>
      <c r="Q1170" s="28"/>
      <c r="R1170" s="29"/>
      <c r="S1170" s="31"/>
      <c r="T1170" s="31"/>
      <c r="U1170" s="28" t="s">
        <v>75</v>
      </c>
      <c r="V1170" s="28" t="s">
        <v>75</v>
      </c>
      <c r="W1170" s="31"/>
    </row>
    <row r="1171" spans="1:23">
      <c r="A1171" s="46" t="s">
        <v>572</v>
      </c>
      <c r="B1171" s="28" t="s">
        <v>1338</v>
      </c>
      <c r="C1171" s="28" t="s">
        <v>2588</v>
      </c>
      <c r="D1171" s="31" t="s">
        <v>2460</v>
      </c>
      <c r="E1171" s="28" t="s">
        <v>92</v>
      </c>
      <c r="F1171" s="28" t="s">
        <v>15</v>
      </c>
      <c r="G1171" s="28" t="s">
        <v>15</v>
      </c>
      <c r="H1171" s="28" t="s">
        <v>589</v>
      </c>
      <c r="I1171" s="28" t="str">
        <f>VLOOKUP(E1171,표준용어사전!$C$2:$D$494, 2, FALSE)</f>
        <v>연월일시분초TS</v>
      </c>
      <c r="J1171" s="28" t="s">
        <v>719</v>
      </c>
      <c r="K1171" s="29" t="s">
        <v>571</v>
      </c>
      <c r="L1171" s="55" t="s">
        <v>571</v>
      </c>
      <c r="M1171" s="29" t="s">
        <v>726</v>
      </c>
      <c r="N1171" s="32" t="s">
        <v>2717</v>
      </c>
      <c r="O1171" s="31"/>
      <c r="P1171" s="31"/>
      <c r="Q1171" s="28"/>
      <c r="R1171" s="29"/>
      <c r="S1171" s="31"/>
      <c r="T1171" s="31"/>
      <c r="U1171" s="28" t="s">
        <v>75</v>
      </c>
      <c r="V1171" s="28" t="s">
        <v>75</v>
      </c>
      <c r="W1171" s="31"/>
    </row>
    <row r="1172" spans="1:23">
      <c r="A1172" s="46" t="s">
        <v>572</v>
      </c>
      <c r="B1172" s="28" t="s">
        <v>1338</v>
      </c>
      <c r="C1172" s="28" t="s">
        <v>2588</v>
      </c>
      <c r="D1172" s="31" t="s">
        <v>2460</v>
      </c>
      <c r="E1172" s="28" t="s">
        <v>93</v>
      </c>
      <c r="F1172" s="28" t="s">
        <v>370</v>
      </c>
      <c r="G1172" s="28" t="s">
        <v>370</v>
      </c>
      <c r="H1172" s="28" t="s">
        <v>589</v>
      </c>
      <c r="I1172" s="28" t="str">
        <f>VLOOKUP(E1172,표준용어사전!$C$2:$D$494, 2, FALSE)</f>
        <v>명V20</v>
      </c>
      <c r="J1172" s="28" t="s">
        <v>718</v>
      </c>
      <c r="K1172" s="29" t="s">
        <v>986</v>
      </c>
      <c r="L1172" s="55" t="s">
        <v>571</v>
      </c>
      <c r="M1172" s="29" t="s">
        <v>727</v>
      </c>
      <c r="N1172" s="32" t="s">
        <v>2717</v>
      </c>
      <c r="O1172" s="31"/>
      <c r="P1172" s="31"/>
      <c r="Q1172" s="28"/>
      <c r="R1172" s="29"/>
      <c r="S1172" s="31"/>
      <c r="T1172" s="31"/>
      <c r="U1172" s="28" t="s">
        <v>75</v>
      </c>
      <c r="V1172" s="28" t="s">
        <v>75</v>
      </c>
      <c r="W1172" s="31"/>
    </row>
    <row r="1173" spans="1:23">
      <c r="A1173" s="46" t="s">
        <v>572</v>
      </c>
      <c r="B1173" s="28" t="s">
        <v>1338</v>
      </c>
      <c r="C1173" s="28" t="s">
        <v>2588</v>
      </c>
      <c r="D1173" s="31" t="s">
        <v>2460</v>
      </c>
      <c r="E1173" s="28" t="s">
        <v>954</v>
      </c>
      <c r="F1173" s="28" t="s">
        <v>953</v>
      </c>
      <c r="G1173" s="28" t="s">
        <v>953</v>
      </c>
      <c r="H1173" s="28" t="s">
        <v>589</v>
      </c>
      <c r="I1173" s="28" t="str">
        <f>VLOOKUP(E1173,표준용어사전!$C$2:$D$494, 2, FALSE)</f>
        <v>수N10,3</v>
      </c>
      <c r="J1173" s="28" t="s">
        <v>748</v>
      </c>
      <c r="K1173" s="29" t="s">
        <v>1061</v>
      </c>
      <c r="L1173" s="55" t="s">
        <v>980</v>
      </c>
      <c r="M1173" s="29" t="s">
        <v>2593</v>
      </c>
      <c r="N1173" s="32" t="s">
        <v>2717</v>
      </c>
      <c r="O1173" s="31"/>
      <c r="P1173" s="31"/>
      <c r="Q1173" s="28"/>
      <c r="R1173" s="29"/>
      <c r="S1173" s="31"/>
      <c r="T1173" s="31"/>
      <c r="U1173" s="28" t="s">
        <v>75</v>
      </c>
      <c r="V1173" s="28" t="s">
        <v>75</v>
      </c>
      <c r="W1173" s="31"/>
    </row>
    <row r="1174" spans="1:23">
      <c r="A1174" s="46" t="s">
        <v>572</v>
      </c>
      <c r="B1174" s="28" t="s">
        <v>1338</v>
      </c>
      <c r="C1174" s="28" t="s">
        <v>2588</v>
      </c>
      <c r="D1174" s="31" t="s">
        <v>2465</v>
      </c>
      <c r="E1174" s="28" t="s">
        <v>2199</v>
      </c>
      <c r="F1174" s="28" t="s">
        <v>2198</v>
      </c>
      <c r="G1174" s="28" t="s">
        <v>2198</v>
      </c>
      <c r="H1174" s="28" t="s">
        <v>592</v>
      </c>
      <c r="I1174" s="28" t="str">
        <f>VLOOKUP(E1174,표준용어사전!$C$2:$D$494, 2, FALSE)</f>
        <v>연월일C8</v>
      </c>
      <c r="J1174" s="28" t="s">
        <v>709</v>
      </c>
      <c r="K1174" s="29">
        <v>8</v>
      </c>
      <c r="L1174" s="55" t="s">
        <v>571</v>
      </c>
      <c r="M1174" s="29" t="s">
        <v>731</v>
      </c>
      <c r="N1174" s="32" t="s">
        <v>2717</v>
      </c>
      <c r="O1174" s="31"/>
      <c r="P1174" s="31"/>
      <c r="Q1174" s="28"/>
      <c r="R1174" s="29"/>
      <c r="S1174" s="31"/>
      <c r="T1174" s="31"/>
      <c r="U1174" s="28" t="s">
        <v>75</v>
      </c>
      <c r="V1174" s="28" t="s">
        <v>75</v>
      </c>
      <c r="W1174" s="31"/>
    </row>
    <row r="1175" spans="1:23">
      <c r="A1175" s="46" t="s">
        <v>572</v>
      </c>
      <c r="B1175" s="28" t="s">
        <v>1338</v>
      </c>
      <c r="C1175" s="28" t="s">
        <v>2588</v>
      </c>
      <c r="D1175" s="31" t="s">
        <v>2465</v>
      </c>
      <c r="E1175" s="28" t="s">
        <v>202</v>
      </c>
      <c r="F1175" s="28" t="s">
        <v>451</v>
      </c>
      <c r="G1175" s="28" t="s">
        <v>451</v>
      </c>
      <c r="H1175" s="28" t="s">
        <v>592</v>
      </c>
      <c r="I1175" s="28" t="str">
        <f>VLOOKUP(E1175,표준용어사전!$C$2:$D$494, 2, FALSE)</f>
        <v>명V20</v>
      </c>
      <c r="J1175" s="28" t="s">
        <v>718</v>
      </c>
      <c r="K1175" s="29" t="s">
        <v>986</v>
      </c>
      <c r="L1175" s="55" t="s">
        <v>571</v>
      </c>
      <c r="M1175" s="29" t="s">
        <v>727</v>
      </c>
      <c r="N1175" s="32" t="s">
        <v>2717</v>
      </c>
      <c r="O1175" s="31"/>
      <c r="P1175" s="31"/>
      <c r="Q1175" s="28"/>
      <c r="R1175" s="29"/>
      <c r="S1175" s="31"/>
      <c r="T1175" s="31"/>
      <c r="U1175" s="28" t="s">
        <v>75</v>
      </c>
      <c r="V1175" s="28" t="s">
        <v>75</v>
      </c>
      <c r="W1175" s="31"/>
    </row>
    <row r="1176" spans="1:23">
      <c r="A1176" s="46" t="s">
        <v>572</v>
      </c>
      <c r="B1176" s="28" t="s">
        <v>1338</v>
      </c>
      <c r="C1176" s="28" t="s">
        <v>2588</v>
      </c>
      <c r="D1176" s="31" t="s">
        <v>2465</v>
      </c>
      <c r="E1176" s="28" t="s">
        <v>2512</v>
      </c>
      <c r="F1176" s="28" t="s">
        <v>896</v>
      </c>
      <c r="G1176" s="28" t="s">
        <v>896</v>
      </c>
      <c r="H1176" s="28" t="s">
        <v>592</v>
      </c>
      <c r="I1176" s="28" t="str">
        <f>VLOOKUP(E1176,표준용어사전!$C$2:$D$494, 2, FALSE)</f>
        <v>코드C4</v>
      </c>
      <c r="J1176" s="28" t="s">
        <v>709</v>
      </c>
      <c r="K1176" s="29">
        <v>4</v>
      </c>
      <c r="L1176" s="55" t="s">
        <v>571</v>
      </c>
      <c r="M1176" s="29" t="s">
        <v>929</v>
      </c>
      <c r="N1176" s="32" t="s">
        <v>2717</v>
      </c>
      <c r="O1176" s="31"/>
      <c r="P1176" s="31"/>
      <c r="Q1176" s="28"/>
      <c r="R1176" s="29"/>
      <c r="S1176" s="31"/>
      <c r="T1176" s="31"/>
      <c r="U1176" s="28" t="s">
        <v>75</v>
      </c>
      <c r="V1176" s="28" t="s">
        <v>75</v>
      </c>
      <c r="W1176" s="31"/>
    </row>
    <row r="1177" spans="1:23">
      <c r="A1177" s="46" t="s">
        <v>572</v>
      </c>
      <c r="B1177" s="28" t="s">
        <v>1338</v>
      </c>
      <c r="C1177" s="28" t="s">
        <v>2588</v>
      </c>
      <c r="D1177" s="31" t="s">
        <v>2465</v>
      </c>
      <c r="E1177" s="28" t="s">
        <v>2511</v>
      </c>
      <c r="F1177" s="28" t="s">
        <v>580</v>
      </c>
      <c r="G1177" s="28" t="s">
        <v>580</v>
      </c>
      <c r="H1177" s="28" t="s">
        <v>592</v>
      </c>
      <c r="I1177" s="28" t="str">
        <f>VLOOKUP(E1177,표준용어사전!$C$2:$D$494, 2, FALSE)</f>
        <v>명V20</v>
      </c>
      <c r="J1177" s="28" t="s">
        <v>718</v>
      </c>
      <c r="K1177" s="29" t="s">
        <v>986</v>
      </c>
      <c r="L1177" s="55" t="s">
        <v>571</v>
      </c>
      <c r="M1177" s="29" t="s">
        <v>727</v>
      </c>
      <c r="N1177" s="32" t="s">
        <v>2717</v>
      </c>
      <c r="O1177" s="31"/>
      <c r="P1177" s="31"/>
      <c r="Q1177" s="28"/>
      <c r="R1177" s="29"/>
      <c r="S1177" s="31"/>
      <c r="T1177" s="31"/>
      <c r="U1177" s="28" t="s">
        <v>75</v>
      </c>
      <c r="V1177" s="28" t="s">
        <v>75</v>
      </c>
      <c r="W1177" s="31"/>
    </row>
    <row r="1178" spans="1:23">
      <c r="A1178" s="46" t="s">
        <v>572</v>
      </c>
      <c r="B1178" s="28" t="s">
        <v>1338</v>
      </c>
      <c r="C1178" s="28" t="s">
        <v>2588</v>
      </c>
      <c r="D1178" s="31" t="s">
        <v>2465</v>
      </c>
      <c r="E1178" s="28" t="s">
        <v>90</v>
      </c>
      <c r="F1178" s="28" t="s">
        <v>14</v>
      </c>
      <c r="G1178" s="28" t="s">
        <v>14</v>
      </c>
      <c r="H1178" s="28" t="s">
        <v>592</v>
      </c>
      <c r="I1178" s="28" t="str">
        <f>VLOOKUP(E1178,표준용어사전!$C$2:$D$494, 2, FALSE)</f>
        <v>연월일시분초TS</v>
      </c>
      <c r="J1178" s="28" t="s">
        <v>719</v>
      </c>
      <c r="K1178" s="29" t="s">
        <v>571</v>
      </c>
      <c r="L1178" s="55" t="s">
        <v>571</v>
      </c>
      <c r="M1178" s="29" t="s">
        <v>726</v>
      </c>
      <c r="N1178" s="32" t="s">
        <v>2717</v>
      </c>
      <c r="O1178" s="31"/>
      <c r="P1178" s="31"/>
      <c r="Q1178" s="28"/>
      <c r="R1178" s="29"/>
      <c r="S1178" s="31"/>
      <c r="T1178" s="31"/>
      <c r="U1178" s="28" t="s">
        <v>75</v>
      </c>
      <c r="V1178" s="28" t="s">
        <v>75</v>
      </c>
      <c r="W1178" s="31"/>
    </row>
    <row r="1179" spans="1:23">
      <c r="A1179" s="46" t="s">
        <v>572</v>
      </c>
      <c r="B1179" s="28" t="s">
        <v>1338</v>
      </c>
      <c r="C1179" s="28" t="s">
        <v>2588</v>
      </c>
      <c r="D1179" s="31" t="s">
        <v>2465</v>
      </c>
      <c r="E1179" s="28" t="s">
        <v>91</v>
      </c>
      <c r="F1179" s="28" t="s">
        <v>369</v>
      </c>
      <c r="G1179" s="28" t="s">
        <v>369</v>
      </c>
      <c r="H1179" s="28" t="s">
        <v>592</v>
      </c>
      <c r="I1179" s="28" t="str">
        <f>VLOOKUP(E1179,표준용어사전!$C$2:$D$494, 2, FALSE)</f>
        <v>명V20</v>
      </c>
      <c r="J1179" s="28" t="s">
        <v>718</v>
      </c>
      <c r="K1179" s="29" t="s">
        <v>986</v>
      </c>
      <c r="L1179" s="55" t="s">
        <v>571</v>
      </c>
      <c r="M1179" s="29" t="s">
        <v>727</v>
      </c>
      <c r="N1179" s="32" t="s">
        <v>2717</v>
      </c>
      <c r="O1179" s="31"/>
      <c r="P1179" s="31"/>
      <c r="Q1179" s="28"/>
      <c r="R1179" s="29"/>
      <c r="S1179" s="31"/>
      <c r="T1179" s="28"/>
      <c r="U1179" s="28" t="s">
        <v>75</v>
      </c>
      <c r="V1179" s="28" t="s">
        <v>75</v>
      </c>
      <c r="W1179" s="31"/>
    </row>
    <row r="1180" spans="1:23">
      <c r="A1180" s="46" t="s">
        <v>572</v>
      </c>
      <c r="B1180" s="28" t="s">
        <v>1338</v>
      </c>
      <c r="C1180" s="28" t="s">
        <v>2588</v>
      </c>
      <c r="D1180" s="31" t="s">
        <v>2465</v>
      </c>
      <c r="E1180" s="28" t="s">
        <v>92</v>
      </c>
      <c r="F1180" s="28" t="s">
        <v>15</v>
      </c>
      <c r="G1180" s="28" t="s">
        <v>15</v>
      </c>
      <c r="H1180" s="28" t="s">
        <v>592</v>
      </c>
      <c r="I1180" s="28" t="str">
        <f>VLOOKUP(E1180,표준용어사전!$C$2:$D$494, 2, FALSE)</f>
        <v>연월일시분초TS</v>
      </c>
      <c r="J1180" s="28" t="s">
        <v>719</v>
      </c>
      <c r="K1180" s="29" t="s">
        <v>571</v>
      </c>
      <c r="L1180" s="55" t="s">
        <v>571</v>
      </c>
      <c r="M1180" s="29" t="s">
        <v>726</v>
      </c>
      <c r="N1180" s="32" t="s">
        <v>2717</v>
      </c>
      <c r="O1180" s="31"/>
      <c r="P1180" s="31"/>
      <c r="Q1180" s="28"/>
      <c r="R1180" s="29"/>
      <c r="S1180" s="31"/>
      <c r="T1180" s="28"/>
      <c r="U1180" s="28" t="s">
        <v>75</v>
      </c>
      <c r="V1180" s="28" t="s">
        <v>75</v>
      </c>
      <c r="W1180" s="31"/>
    </row>
    <row r="1181" spans="1:23">
      <c r="A1181" s="46" t="s">
        <v>572</v>
      </c>
      <c r="B1181" s="28" t="s">
        <v>1338</v>
      </c>
      <c r="C1181" s="28" t="s">
        <v>2588</v>
      </c>
      <c r="D1181" s="31" t="s">
        <v>2465</v>
      </c>
      <c r="E1181" s="28" t="s">
        <v>93</v>
      </c>
      <c r="F1181" s="28" t="s">
        <v>370</v>
      </c>
      <c r="G1181" s="28" t="s">
        <v>370</v>
      </c>
      <c r="H1181" s="28" t="s">
        <v>592</v>
      </c>
      <c r="I1181" s="28" t="str">
        <f>VLOOKUP(E1181,표준용어사전!$C$2:$D$494, 2, FALSE)</f>
        <v>명V20</v>
      </c>
      <c r="J1181" s="28" t="s">
        <v>718</v>
      </c>
      <c r="K1181" s="29" t="s">
        <v>986</v>
      </c>
      <c r="L1181" s="55" t="s">
        <v>571</v>
      </c>
      <c r="M1181" s="29" t="s">
        <v>727</v>
      </c>
      <c r="N1181" s="32" t="s">
        <v>2717</v>
      </c>
      <c r="O1181" s="31"/>
      <c r="P1181" s="31"/>
      <c r="Q1181" s="28"/>
      <c r="R1181" s="29"/>
      <c r="S1181" s="31"/>
      <c r="T1181" s="31"/>
      <c r="U1181" s="28" t="s">
        <v>75</v>
      </c>
      <c r="V1181" s="28" t="s">
        <v>75</v>
      </c>
      <c r="W1181" s="31"/>
    </row>
    <row r="1182" spans="1:23">
      <c r="A1182" s="46" t="s">
        <v>572</v>
      </c>
      <c r="B1182" s="28" t="s">
        <v>1338</v>
      </c>
      <c r="C1182" s="28" t="s">
        <v>2588</v>
      </c>
      <c r="D1182" s="31" t="s">
        <v>2465</v>
      </c>
      <c r="E1182" s="28" t="s">
        <v>2201</v>
      </c>
      <c r="F1182" s="28" t="s">
        <v>1415</v>
      </c>
      <c r="G1182" s="28" t="s">
        <v>1415</v>
      </c>
      <c r="H1182" s="28" t="s">
        <v>592</v>
      </c>
      <c r="I1182" s="28" t="str">
        <f>VLOOKUP(E1182,표준용어사전!$C$2:$D$494, 2, FALSE)</f>
        <v>수N10,3</v>
      </c>
      <c r="J1182" s="28" t="s">
        <v>748</v>
      </c>
      <c r="K1182" s="29" t="s">
        <v>1061</v>
      </c>
      <c r="L1182" s="55" t="s">
        <v>980</v>
      </c>
      <c r="M1182" s="29" t="s">
        <v>2593</v>
      </c>
      <c r="N1182" s="32" t="s">
        <v>2717</v>
      </c>
      <c r="O1182" s="31"/>
      <c r="P1182" s="31"/>
      <c r="Q1182" s="28"/>
      <c r="R1182" s="29"/>
      <c r="S1182" s="31"/>
      <c r="T1182" s="31"/>
      <c r="U1182" s="28" t="s">
        <v>75</v>
      </c>
      <c r="V1182" s="28" t="s">
        <v>75</v>
      </c>
      <c r="W1182" s="31"/>
    </row>
    <row r="1183" spans="1:23">
      <c r="A1183" s="46" t="s">
        <v>572</v>
      </c>
      <c r="B1183" s="28" t="s">
        <v>1338</v>
      </c>
      <c r="C1183" s="28" t="s">
        <v>2588</v>
      </c>
      <c r="D1183" s="31" t="s">
        <v>2468</v>
      </c>
      <c r="E1183" s="28" t="s">
        <v>2199</v>
      </c>
      <c r="F1183" s="28" t="s">
        <v>2198</v>
      </c>
      <c r="G1183" s="28" t="s">
        <v>2198</v>
      </c>
      <c r="H1183" s="28" t="s">
        <v>590</v>
      </c>
      <c r="I1183" s="28" t="str">
        <f>VLOOKUP(E1183,표준용어사전!$C$2:$D$494, 2, FALSE)</f>
        <v>연월일C8</v>
      </c>
      <c r="J1183" s="28" t="s">
        <v>709</v>
      </c>
      <c r="K1183" s="29">
        <v>8</v>
      </c>
      <c r="L1183" s="55" t="s">
        <v>571</v>
      </c>
      <c r="M1183" s="29" t="s">
        <v>731</v>
      </c>
      <c r="N1183" s="32" t="s">
        <v>2717</v>
      </c>
      <c r="O1183" s="31"/>
      <c r="P1183" s="31"/>
      <c r="Q1183" s="28"/>
      <c r="R1183" s="29"/>
      <c r="S1183" s="31"/>
      <c r="T1183" s="31"/>
      <c r="U1183" s="28" t="s">
        <v>75</v>
      </c>
      <c r="V1183" s="28" t="s">
        <v>75</v>
      </c>
      <c r="W1183" s="31"/>
    </row>
    <row r="1184" spans="1:23">
      <c r="A1184" s="46" t="s">
        <v>572</v>
      </c>
      <c r="B1184" s="28" t="s">
        <v>1338</v>
      </c>
      <c r="C1184" s="28" t="s">
        <v>2588</v>
      </c>
      <c r="D1184" s="31" t="s">
        <v>2468</v>
      </c>
      <c r="E1184" s="28" t="s">
        <v>2004</v>
      </c>
      <c r="F1184" s="28" t="s">
        <v>459</v>
      </c>
      <c r="G1184" s="28" t="s">
        <v>459</v>
      </c>
      <c r="H1184" s="28" t="s">
        <v>590</v>
      </c>
      <c r="I1184" s="28" t="str">
        <f>VLOOKUP(E1184,표준용어사전!$C$2:$D$494, 2, FALSE)</f>
        <v>명V20</v>
      </c>
      <c r="J1184" s="28" t="s">
        <v>718</v>
      </c>
      <c r="K1184" s="29" t="s">
        <v>986</v>
      </c>
      <c r="L1184" s="55" t="s">
        <v>571</v>
      </c>
      <c r="M1184" s="29" t="s">
        <v>727</v>
      </c>
      <c r="N1184" s="32" t="s">
        <v>2717</v>
      </c>
      <c r="O1184" s="31"/>
      <c r="P1184" s="31"/>
      <c r="Q1184" s="28"/>
      <c r="R1184" s="29"/>
      <c r="S1184" s="31"/>
      <c r="T1184" s="31"/>
      <c r="U1184" s="28" t="s">
        <v>75</v>
      </c>
      <c r="V1184" s="28" t="s">
        <v>75</v>
      </c>
      <c r="W1184" s="31"/>
    </row>
    <row r="1185" spans="1:23">
      <c r="A1185" s="46" t="s">
        <v>572</v>
      </c>
      <c r="B1185" s="28" t="s">
        <v>1338</v>
      </c>
      <c r="C1185" s="28" t="s">
        <v>2588</v>
      </c>
      <c r="D1185" s="31" t="s">
        <v>2468</v>
      </c>
      <c r="E1185" s="28" t="s">
        <v>2512</v>
      </c>
      <c r="F1185" s="28" t="s">
        <v>896</v>
      </c>
      <c r="G1185" s="28" t="s">
        <v>896</v>
      </c>
      <c r="H1185" s="28" t="s">
        <v>590</v>
      </c>
      <c r="I1185" s="28" t="str">
        <f>VLOOKUP(E1185,표준용어사전!$C$2:$D$494, 2, FALSE)</f>
        <v>코드C4</v>
      </c>
      <c r="J1185" s="28" t="s">
        <v>709</v>
      </c>
      <c r="K1185" s="29">
        <v>4</v>
      </c>
      <c r="L1185" s="55" t="s">
        <v>571</v>
      </c>
      <c r="M1185" s="29" t="s">
        <v>929</v>
      </c>
      <c r="N1185" s="32" t="s">
        <v>2717</v>
      </c>
      <c r="O1185" s="31"/>
      <c r="P1185" s="31"/>
      <c r="Q1185" s="28"/>
      <c r="R1185" s="29"/>
      <c r="S1185" s="31"/>
      <c r="T1185" s="31"/>
      <c r="U1185" s="28" t="s">
        <v>75</v>
      </c>
      <c r="V1185" s="28" t="s">
        <v>75</v>
      </c>
      <c r="W1185" s="31"/>
    </row>
    <row r="1186" spans="1:23">
      <c r="A1186" s="46" t="s">
        <v>572</v>
      </c>
      <c r="B1186" s="28" t="s">
        <v>1338</v>
      </c>
      <c r="C1186" s="28" t="s">
        <v>2588</v>
      </c>
      <c r="D1186" s="31" t="s">
        <v>2468</v>
      </c>
      <c r="E1186" s="28" t="s">
        <v>2511</v>
      </c>
      <c r="F1186" s="28" t="s">
        <v>580</v>
      </c>
      <c r="G1186" s="28" t="s">
        <v>580</v>
      </c>
      <c r="H1186" s="28" t="s">
        <v>590</v>
      </c>
      <c r="I1186" s="28" t="str">
        <f>VLOOKUP(E1186,표준용어사전!$C$2:$D$494, 2, FALSE)</f>
        <v>명V20</v>
      </c>
      <c r="J1186" s="28" t="s">
        <v>718</v>
      </c>
      <c r="K1186" s="29" t="s">
        <v>986</v>
      </c>
      <c r="L1186" s="55" t="s">
        <v>571</v>
      </c>
      <c r="M1186" s="29" t="s">
        <v>727</v>
      </c>
      <c r="N1186" s="32" t="s">
        <v>2717</v>
      </c>
      <c r="O1186" s="31"/>
      <c r="P1186" s="31"/>
      <c r="Q1186" s="28"/>
      <c r="R1186" s="29"/>
      <c r="S1186" s="31"/>
      <c r="T1186" s="31"/>
      <c r="U1186" s="28" t="s">
        <v>75</v>
      </c>
      <c r="V1186" s="28" t="s">
        <v>75</v>
      </c>
      <c r="W1186" s="31"/>
    </row>
    <row r="1187" spans="1:23">
      <c r="A1187" s="46" t="s">
        <v>572</v>
      </c>
      <c r="B1187" s="28" t="s">
        <v>1338</v>
      </c>
      <c r="C1187" s="28" t="s">
        <v>2588</v>
      </c>
      <c r="D1187" s="31" t="s">
        <v>2468</v>
      </c>
      <c r="E1187" s="28" t="s">
        <v>90</v>
      </c>
      <c r="F1187" s="28" t="s">
        <v>14</v>
      </c>
      <c r="G1187" s="28" t="s">
        <v>14</v>
      </c>
      <c r="H1187" s="28" t="s">
        <v>590</v>
      </c>
      <c r="I1187" s="28" t="str">
        <f>VLOOKUP(E1187,표준용어사전!$C$2:$D$494, 2, FALSE)</f>
        <v>연월일시분초TS</v>
      </c>
      <c r="J1187" s="28" t="s">
        <v>719</v>
      </c>
      <c r="K1187" s="29" t="s">
        <v>571</v>
      </c>
      <c r="L1187" s="55" t="s">
        <v>571</v>
      </c>
      <c r="M1187" s="29" t="s">
        <v>726</v>
      </c>
      <c r="N1187" s="32" t="s">
        <v>2717</v>
      </c>
      <c r="O1187" s="31"/>
      <c r="P1187" s="31"/>
      <c r="Q1187" s="28"/>
      <c r="R1187" s="29"/>
      <c r="S1187" s="31"/>
      <c r="T1187" s="31"/>
      <c r="U1187" s="28" t="s">
        <v>75</v>
      </c>
      <c r="V1187" s="28" t="s">
        <v>75</v>
      </c>
      <c r="W1187" s="31"/>
    </row>
    <row r="1188" spans="1:23">
      <c r="A1188" s="46" t="s">
        <v>572</v>
      </c>
      <c r="B1188" s="28" t="s">
        <v>1338</v>
      </c>
      <c r="C1188" s="28" t="s">
        <v>2588</v>
      </c>
      <c r="D1188" s="31" t="s">
        <v>2468</v>
      </c>
      <c r="E1188" s="28" t="s">
        <v>91</v>
      </c>
      <c r="F1188" s="28" t="s">
        <v>369</v>
      </c>
      <c r="G1188" s="28" t="s">
        <v>369</v>
      </c>
      <c r="H1188" s="28" t="s">
        <v>590</v>
      </c>
      <c r="I1188" s="28" t="str">
        <f>VLOOKUP(E1188,표준용어사전!$C$2:$D$494, 2, FALSE)</f>
        <v>명V20</v>
      </c>
      <c r="J1188" s="28" t="s">
        <v>718</v>
      </c>
      <c r="K1188" s="29" t="s">
        <v>986</v>
      </c>
      <c r="L1188" s="55" t="s">
        <v>571</v>
      </c>
      <c r="M1188" s="29" t="s">
        <v>727</v>
      </c>
      <c r="N1188" s="32" t="s">
        <v>2717</v>
      </c>
      <c r="O1188" s="31"/>
      <c r="P1188" s="31"/>
      <c r="Q1188" s="28"/>
      <c r="R1188" s="29"/>
      <c r="S1188" s="31"/>
      <c r="T1188" s="31"/>
      <c r="U1188" s="28" t="s">
        <v>75</v>
      </c>
      <c r="V1188" s="28" t="s">
        <v>75</v>
      </c>
      <c r="W1188" s="31"/>
    </row>
    <row r="1189" spans="1:23">
      <c r="A1189" s="46" t="s">
        <v>572</v>
      </c>
      <c r="B1189" s="28" t="s">
        <v>1338</v>
      </c>
      <c r="C1189" s="28" t="s">
        <v>2588</v>
      </c>
      <c r="D1189" s="31" t="s">
        <v>2468</v>
      </c>
      <c r="E1189" s="28" t="s">
        <v>92</v>
      </c>
      <c r="F1189" s="28" t="s">
        <v>15</v>
      </c>
      <c r="G1189" s="28" t="s">
        <v>15</v>
      </c>
      <c r="H1189" s="28" t="s">
        <v>590</v>
      </c>
      <c r="I1189" s="28" t="str">
        <f>VLOOKUP(E1189,표준용어사전!$C$2:$D$494, 2, FALSE)</f>
        <v>연월일시분초TS</v>
      </c>
      <c r="J1189" s="28" t="s">
        <v>719</v>
      </c>
      <c r="K1189" s="29" t="s">
        <v>571</v>
      </c>
      <c r="L1189" s="55" t="s">
        <v>571</v>
      </c>
      <c r="M1189" s="29" t="s">
        <v>726</v>
      </c>
      <c r="N1189" s="32" t="s">
        <v>2717</v>
      </c>
      <c r="O1189" s="31"/>
      <c r="P1189" s="31"/>
      <c r="Q1189" s="28"/>
      <c r="R1189" s="29"/>
      <c r="S1189" s="31"/>
      <c r="T1189" s="31"/>
      <c r="U1189" s="28" t="s">
        <v>75</v>
      </c>
      <c r="V1189" s="28" t="s">
        <v>75</v>
      </c>
      <c r="W1189" s="31"/>
    </row>
    <row r="1190" spans="1:23">
      <c r="A1190" s="46" t="s">
        <v>572</v>
      </c>
      <c r="B1190" s="28" t="s">
        <v>1338</v>
      </c>
      <c r="C1190" s="28" t="s">
        <v>2588</v>
      </c>
      <c r="D1190" s="31" t="s">
        <v>2468</v>
      </c>
      <c r="E1190" s="28" t="s">
        <v>93</v>
      </c>
      <c r="F1190" s="28" t="s">
        <v>370</v>
      </c>
      <c r="G1190" s="28" t="s">
        <v>370</v>
      </c>
      <c r="H1190" s="28" t="s">
        <v>590</v>
      </c>
      <c r="I1190" s="28" t="str">
        <f>VLOOKUP(E1190,표준용어사전!$C$2:$D$494, 2, FALSE)</f>
        <v>명V20</v>
      </c>
      <c r="J1190" s="28" t="s">
        <v>718</v>
      </c>
      <c r="K1190" s="29" t="s">
        <v>986</v>
      </c>
      <c r="L1190" s="55" t="s">
        <v>571</v>
      </c>
      <c r="M1190" s="29" t="s">
        <v>727</v>
      </c>
      <c r="N1190" s="32" t="s">
        <v>2717</v>
      </c>
      <c r="O1190" s="31"/>
      <c r="P1190" s="31"/>
      <c r="Q1190" s="28"/>
      <c r="R1190" s="29"/>
      <c r="S1190" s="31"/>
      <c r="T1190" s="31"/>
      <c r="U1190" s="28" t="s">
        <v>75</v>
      </c>
      <c r="V1190" s="28" t="s">
        <v>75</v>
      </c>
      <c r="W1190" s="31"/>
    </row>
    <row r="1191" spans="1:23">
      <c r="A1191" s="46" t="s">
        <v>572</v>
      </c>
      <c r="B1191" s="28" t="s">
        <v>1338</v>
      </c>
      <c r="C1191" s="28" t="s">
        <v>2588</v>
      </c>
      <c r="D1191" s="31" t="s">
        <v>2468</v>
      </c>
      <c r="E1191" s="28" t="s">
        <v>2200</v>
      </c>
      <c r="F1191" s="28" t="s">
        <v>1341</v>
      </c>
      <c r="G1191" s="28" t="s">
        <v>1341</v>
      </c>
      <c r="H1191" s="28" t="s">
        <v>590</v>
      </c>
      <c r="I1191" s="28" t="str">
        <f>VLOOKUP(E1191,표준용어사전!$C$2:$D$494, 2, FALSE)</f>
        <v>수N10,3</v>
      </c>
      <c r="J1191" s="28" t="s">
        <v>748</v>
      </c>
      <c r="K1191" s="29" t="s">
        <v>1061</v>
      </c>
      <c r="L1191" s="55" t="s">
        <v>980</v>
      </c>
      <c r="M1191" s="29" t="s">
        <v>2593</v>
      </c>
      <c r="N1191" s="32" t="s">
        <v>2717</v>
      </c>
      <c r="O1191" s="31"/>
      <c r="P1191" s="31"/>
      <c r="Q1191" s="28"/>
      <c r="R1191" s="29"/>
      <c r="S1191" s="31"/>
      <c r="T1191" s="31"/>
      <c r="U1191" s="28" t="s">
        <v>75</v>
      </c>
      <c r="V1191" s="28" t="s">
        <v>75</v>
      </c>
      <c r="W1191" s="31"/>
    </row>
    <row r="1192" spans="1:23">
      <c r="A1192" s="46" t="s">
        <v>572</v>
      </c>
      <c r="B1192" s="28" t="s">
        <v>1338</v>
      </c>
      <c r="C1192" s="28" t="s">
        <v>2588</v>
      </c>
      <c r="D1192" s="31" t="s">
        <v>2631</v>
      </c>
      <c r="E1192" s="28" t="s">
        <v>2199</v>
      </c>
      <c r="F1192" s="28" t="s">
        <v>2198</v>
      </c>
      <c r="G1192" s="28" t="s">
        <v>2198</v>
      </c>
      <c r="H1192" s="28" t="s">
        <v>955</v>
      </c>
      <c r="I1192" s="28" t="str">
        <f>VLOOKUP(E1192,표준용어사전!$C$2:$D$494, 2, FALSE)</f>
        <v>연월일C8</v>
      </c>
      <c r="J1192" s="28" t="s">
        <v>709</v>
      </c>
      <c r="K1192" s="29">
        <v>8</v>
      </c>
      <c r="L1192" s="55" t="s">
        <v>571</v>
      </c>
      <c r="M1192" s="29" t="s">
        <v>731</v>
      </c>
      <c r="N1192" s="32" t="s">
        <v>2717</v>
      </c>
      <c r="O1192" s="31" t="s">
        <v>2719</v>
      </c>
      <c r="P1192" s="31"/>
      <c r="Q1192" s="28"/>
      <c r="R1192" s="29"/>
      <c r="S1192" s="31"/>
      <c r="T1192" s="31"/>
      <c r="U1192" s="28" t="s">
        <v>75</v>
      </c>
      <c r="V1192" s="28" t="s">
        <v>75</v>
      </c>
      <c r="W1192" s="31"/>
    </row>
    <row r="1193" spans="1:23">
      <c r="A1193" s="46" t="s">
        <v>572</v>
      </c>
      <c r="B1193" s="28" t="s">
        <v>1338</v>
      </c>
      <c r="C1193" s="28" t="s">
        <v>2588</v>
      </c>
      <c r="D1193" s="31" t="s">
        <v>2631</v>
      </c>
      <c r="E1193" s="28" t="s">
        <v>2004</v>
      </c>
      <c r="F1193" s="28" t="s">
        <v>459</v>
      </c>
      <c r="G1193" s="28" t="s">
        <v>459</v>
      </c>
      <c r="H1193" s="28" t="s">
        <v>955</v>
      </c>
      <c r="I1193" s="28" t="str">
        <f>VLOOKUP(E1193,표준용어사전!$C$2:$D$494, 2, FALSE)</f>
        <v>명V20</v>
      </c>
      <c r="J1193" s="28" t="s">
        <v>718</v>
      </c>
      <c r="K1193" s="29" t="s">
        <v>986</v>
      </c>
      <c r="L1193" s="55" t="s">
        <v>571</v>
      </c>
      <c r="M1193" s="29" t="s">
        <v>727</v>
      </c>
      <c r="N1193" s="32" t="s">
        <v>2717</v>
      </c>
      <c r="O1193" s="31" t="s">
        <v>2720</v>
      </c>
      <c r="P1193" s="31"/>
      <c r="Q1193" s="28"/>
      <c r="R1193" s="29"/>
      <c r="S1193" s="31"/>
      <c r="T1193" s="31"/>
      <c r="U1193" s="28" t="s">
        <v>75</v>
      </c>
      <c r="V1193" s="28" t="s">
        <v>75</v>
      </c>
      <c r="W1193" s="31"/>
    </row>
    <row r="1194" spans="1:23">
      <c r="A1194" s="46" t="s">
        <v>572</v>
      </c>
      <c r="B1194" s="28" t="s">
        <v>1338</v>
      </c>
      <c r="C1194" s="28" t="s">
        <v>2588</v>
      </c>
      <c r="D1194" s="31" t="s">
        <v>2631</v>
      </c>
      <c r="E1194" s="28" t="s">
        <v>2512</v>
      </c>
      <c r="F1194" s="28" t="s">
        <v>2207</v>
      </c>
      <c r="G1194" s="28" t="s">
        <v>2207</v>
      </c>
      <c r="H1194" s="28" t="s">
        <v>955</v>
      </c>
      <c r="I1194" s="28" t="str">
        <f>VLOOKUP(E1194,표준용어사전!$C$2:$D$494, 2, FALSE)</f>
        <v>코드C4</v>
      </c>
      <c r="J1194" s="28" t="s">
        <v>709</v>
      </c>
      <c r="K1194" s="29">
        <v>4</v>
      </c>
      <c r="L1194" s="55" t="s">
        <v>571</v>
      </c>
      <c r="M1194" s="29" t="s">
        <v>929</v>
      </c>
      <c r="N1194" s="32" t="s">
        <v>2717</v>
      </c>
      <c r="O1194" s="31" t="s">
        <v>2721</v>
      </c>
      <c r="P1194" s="31"/>
      <c r="Q1194" s="28"/>
      <c r="R1194" s="29"/>
      <c r="S1194" s="31"/>
      <c r="T1194" s="31"/>
      <c r="U1194" s="28" t="s">
        <v>75</v>
      </c>
      <c r="V1194" s="28" t="s">
        <v>75</v>
      </c>
      <c r="W1194" s="31"/>
    </row>
    <row r="1195" spans="1:23">
      <c r="A1195" s="46" t="s">
        <v>572</v>
      </c>
      <c r="B1195" s="28" t="s">
        <v>1338</v>
      </c>
      <c r="C1195" s="28" t="s">
        <v>2588</v>
      </c>
      <c r="D1195" s="31" t="s">
        <v>2631</v>
      </c>
      <c r="E1195" s="28" t="s">
        <v>2511</v>
      </c>
      <c r="F1195" s="28" t="s">
        <v>580</v>
      </c>
      <c r="G1195" s="28" t="s">
        <v>580</v>
      </c>
      <c r="H1195" s="28" t="s">
        <v>955</v>
      </c>
      <c r="I1195" s="28" t="str">
        <f>VLOOKUP(E1195,표준용어사전!$C$2:$D$494, 2, FALSE)</f>
        <v>명V20</v>
      </c>
      <c r="J1195" s="28" t="s">
        <v>718</v>
      </c>
      <c r="K1195" s="29" t="s">
        <v>986</v>
      </c>
      <c r="L1195" s="55" t="s">
        <v>571</v>
      </c>
      <c r="M1195" s="29" t="s">
        <v>727</v>
      </c>
      <c r="N1195" s="32" t="s">
        <v>2717</v>
      </c>
      <c r="O1195" s="31" t="s">
        <v>2722</v>
      </c>
      <c r="P1195" s="31"/>
      <c r="Q1195" s="28"/>
      <c r="R1195" s="29"/>
      <c r="S1195" s="31"/>
      <c r="T1195" s="31"/>
      <c r="U1195" s="28" t="s">
        <v>75</v>
      </c>
      <c r="V1195" s="28" t="s">
        <v>75</v>
      </c>
      <c r="W1195" s="31"/>
    </row>
    <row r="1196" spans="1:23">
      <c r="A1196" s="46" t="s">
        <v>572</v>
      </c>
      <c r="B1196" s="28" t="s">
        <v>1338</v>
      </c>
      <c r="C1196" s="28" t="s">
        <v>2588</v>
      </c>
      <c r="D1196" s="31" t="s">
        <v>2631</v>
      </c>
      <c r="E1196" s="28" t="s">
        <v>90</v>
      </c>
      <c r="F1196" s="28" t="s">
        <v>14</v>
      </c>
      <c r="G1196" s="28" t="s">
        <v>14</v>
      </c>
      <c r="H1196" s="28" t="s">
        <v>955</v>
      </c>
      <c r="I1196" s="28" t="str">
        <f>VLOOKUP(E1196,표준용어사전!$C$2:$D$494, 2, FALSE)</f>
        <v>연월일시분초TS</v>
      </c>
      <c r="J1196" s="28" t="s">
        <v>719</v>
      </c>
      <c r="K1196" s="29" t="s">
        <v>571</v>
      </c>
      <c r="L1196" s="55" t="s">
        <v>571</v>
      </c>
      <c r="M1196" s="29" t="s">
        <v>726</v>
      </c>
      <c r="N1196" s="32" t="s">
        <v>2717</v>
      </c>
      <c r="O1196" s="31"/>
      <c r="P1196" s="31"/>
      <c r="Q1196" s="28"/>
      <c r="R1196" s="29"/>
      <c r="S1196" s="31"/>
      <c r="T1196" s="31"/>
      <c r="U1196" s="28" t="s">
        <v>75</v>
      </c>
      <c r="V1196" s="28" t="s">
        <v>75</v>
      </c>
      <c r="W1196" s="31"/>
    </row>
    <row r="1197" spans="1:23">
      <c r="A1197" s="46" t="s">
        <v>572</v>
      </c>
      <c r="B1197" s="28" t="s">
        <v>1338</v>
      </c>
      <c r="C1197" s="28" t="s">
        <v>2588</v>
      </c>
      <c r="D1197" s="31" t="s">
        <v>2631</v>
      </c>
      <c r="E1197" s="28" t="s">
        <v>91</v>
      </c>
      <c r="F1197" s="28" t="s">
        <v>369</v>
      </c>
      <c r="G1197" s="28" t="s">
        <v>369</v>
      </c>
      <c r="H1197" s="28" t="s">
        <v>955</v>
      </c>
      <c r="I1197" s="28" t="str">
        <f>VLOOKUP(E1197,표준용어사전!$C$2:$D$494, 2, FALSE)</f>
        <v>명V20</v>
      </c>
      <c r="J1197" s="28" t="s">
        <v>718</v>
      </c>
      <c r="K1197" s="29" t="s">
        <v>986</v>
      </c>
      <c r="L1197" s="55" t="s">
        <v>571</v>
      </c>
      <c r="M1197" s="29" t="s">
        <v>727</v>
      </c>
      <c r="N1197" s="32" t="s">
        <v>2717</v>
      </c>
      <c r="O1197" s="31"/>
      <c r="P1197" s="31"/>
      <c r="Q1197" s="28"/>
      <c r="R1197" s="29"/>
      <c r="S1197" s="31"/>
      <c r="T1197" s="28"/>
      <c r="U1197" s="28" t="s">
        <v>75</v>
      </c>
      <c r="V1197" s="28" t="s">
        <v>75</v>
      </c>
      <c r="W1197" s="31"/>
    </row>
    <row r="1198" spans="1:23">
      <c r="A1198" s="46" t="s">
        <v>572</v>
      </c>
      <c r="B1198" s="28" t="s">
        <v>1338</v>
      </c>
      <c r="C1198" s="28" t="s">
        <v>2588</v>
      </c>
      <c r="D1198" s="31" t="s">
        <v>2631</v>
      </c>
      <c r="E1198" s="28" t="s">
        <v>92</v>
      </c>
      <c r="F1198" s="28" t="s">
        <v>15</v>
      </c>
      <c r="G1198" s="28" t="s">
        <v>15</v>
      </c>
      <c r="H1198" s="28" t="s">
        <v>955</v>
      </c>
      <c r="I1198" s="28" t="str">
        <f>VLOOKUP(E1198,표준용어사전!$C$2:$D$494, 2, FALSE)</f>
        <v>연월일시분초TS</v>
      </c>
      <c r="J1198" s="28" t="s">
        <v>719</v>
      </c>
      <c r="K1198" s="29" t="s">
        <v>571</v>
      </c>
      <c r="L1198" s="55" t="s">
        <v>571</v>
      </c>
      <c r="M1198" s="29" t="s">
        <v>726</v>
      </c>
      <c r="N1198" s="32" t="s">
        <v>2717</v>
      </c>
      <c r="O1198" s="31"/>
      <c r="P1198" s="31"/>
      <c r="Q1198" s="28"/>
      <c r="R1198" s="29"/>
      <c r="S1198" s="31"/>
      <c r="T1198" s="31"/>
      <c r="U1198" s="28" t="s">
        <v>75</v>
      </c>
      <c r="V1198" s="28" t="s">
        <v>75</v>
      </c>
      <c r="W1198" s="31"/>
    </row>
    <row r="1199" spans="1:23">
      <c r="A1199" s="46" t="s">
        <v>572</v>
      </c>
      <c r="B1199" s="28" t="s">
        <v>1338</v>
      </c>
      <c r="C1199" s="28" t="s">
        <v>2588</v>
      </c>
      <c r="D1199" s="31" t="s">
        <v>2631</v>
      </c>
      <c r="E1199" s="28" t="s">
        <v>93</v>
      </c>
      <c r="F1199" s="28" t="s">
        <v>370</v>
      </c>
      <c r="G1199" s="28" t="s">
        <v>370</v>
      </c>
      <c r="H1199" s="28" t="s">
        <v>955</v>
      </c>
      <c r="I1199" s="28" t="str">
        <f>VLOOKUP(E1199,표준용어사전!$C$2:$D$494, 2, FALSE)</f>
        <v>명V20</v>
      </c>
      <c r="J1199" s="28" t="s">
        <v>718</v>
      </c>
      <c r="K1199" s="29" t="s">
        <v>986</v>
      </c>
      <c r="L1199" s="55" t="s">
        <v>571</v>
      </c>
      <c r="M1199" s="29" t="s">
        <v>727</v>
      </c>
      <c r="N1199" s="32" t="s">
        <v>2717</v>
      </c>
      <c r="O1199" s="31"/>
      <c r="P1199" s="31"/>
      <c r="Q1199" s="28"/>
      <c r="R1199" s="29"/>
      <c r="S1199" s="31"/>
      <c r="T1199" s="31"/>
      <c r="U1199" s="28" t="s">
        <v>75</v>
      </c>
      <c r="V1199" s="28" t="s">
        <v>75</v>
      </c>
      <c r="W1199" s="31"/>
    </row>
    <row r="1200" spans="1:23">
      <c r="A1200" s="46" t="s">
        <v>572</v>
      </c>
      <c r="B1200" s="28" t="s">
        <v>1338</v>
      </c>
      <c r="C1200" s="28" t="s">
        <v>2588</v>
      </c>
      <c r="D1200" s="54" t="s">
        <v>2624</v>
      </c>
      <c r="E1200" s="28" t="s">
        <v>2199</v>
      </c>
      <c r="F1200" s="28" t="s">
        <v>2198</v>
      </c>
      <c r="G1200" s="28" t="s">
        <v>2198</v>
      </c>
      <c r="H1200" s="28" t="s">
        <v>283</v>
      </c>
      <c r="I1200" s="28" t="str">
        <f>VLOOKUP(E1200,표준용어사전!$C$2:$D$494, 2, FALSE)</f>
        <v>연월일C8</v>
      </c>
      <c r="J1200" s="28" t="s">
        <v>709</v>
      </c>
      <c r="K1200" s="29">
        <v>8</v>
      </c>
      <c r="L1200" s="55" t="s">
        <v>571</v>
      </c>
      <c r="M1200" s="29" t="s">
        <v>731</v>
      </c>
      <c r="N1200" s="32" t="s">
        <v>2717</v>
      </c>
      <c r="O1200" s="28"/>
      <c r="P1200" s="28"/>
      <c r="Q1200" s="28"/>
      <c r="R1200" s="29"/>
      <c r="S1200" s="28"/>
      <c r="T1200" s="28"/>
      <c r="U1200" s="28" t="s">
        <v>75</v>
      </c>
      <c r="V1200" s="28" t="s">
        <v>75</v>
      </c>
      <c r="W1200" s="28"/>
    </row>
    <row r="1201" spans="1:23">
      <c r="A1201" s="46" t="s">
        <v>572</v>
      </c>
      <c r="B1201" s="28" t="s">
        <v>1338</v>
      </c>
      <c r="C1201" s="28" t="s">
        <v>2588</v>
      </c>
      <c r="D1201" s="54" t="s">
        <v>2624</v>
      </c>
      <c r="E1201" s="28" t="s">
        <v>2511</v>
      </c>
      <c r="F1201" s="28" t="s">
        <v>580</v>
      </c>
      <c r="G1201" s="28" t="s">
        <v>580</v>
      </c>
      <c r="H1201" s="28" t="s">
        <v>283</v>
      </c>
      <c r="I1201" s="28" t="str">
        <f>VLOOKUP(E1201,표준용어사전!$C$2:$D$494, 2, FALSE)</f>
        <v>명V20</v>
      </c>
      <c r="J1201" s="28" t="s">
        <v>718</v>
      </c>
      <c r="K1201" s="29" t="s">
        <v>986</v>
      </c>
      <c r="L1201" s="55" t="s">
        <v>571</v>
      </c>
      <c r="M1201" s="29" t="s">
        <v>727</v>
      </c>
      <c r="N1201" s="32" t="s">
        <v>2717</v>
      </c>
      <c r="O1201" s="28"/>
      <c r="P1201" s="28"/>
      <c r="Q1201" s="28"/>
      <c r="R1201" s="29"/>
      <c r="S1201" s="28"/>
      <c r="T1201" s="28"/>
      <c r="U1201" s="28" t="s">
        <v>75</v>
      </c>
      <c r="V1201" s="28" t="s">
        <v>75</v>
      </c>
      <c r="W1201" s="28"/>
    </row>
    <row r="1202" spans="1:23">
      <c r="A1202" s="46" t="s">
        <v>572</v>
      </c>
      <c r="B1202" s="28" t="s">
        <v>1338</v>
      </c>
      <c r="C1202" s="28" t="s">
        <v>2588</v>
      </c>
      <c r="D1202" s="54" t="s">
        <v>2624</v>
      </c>
      <c r="E1202" s="28" t="s">
        <v>2552</v>
      </c>
      <c r="F1202" s="28" t="s">
        <v>510</v>
      </c>
      <c r="G1202" s="28" t="s">
        <v>510</v>
      </c>
      <c r="H1202" s="28" t="s">
        <v>283</v>
      </c>
      <c r="I1202" s="28" t="str">
        <f>VLOOKUP(E1202,표준용어사전!$C$2:$D$494, 2, FALSE)</f>
        <v>코드V50</v>
      </c>
      <c r="J1202" s="28" t="s">
        <v>718</v>
      </c>
      <c r="K1202" s="29">
        <v>50</v>
      </c>
      <c r="L1202" s="55" t="s">
        <v>571</v>
      </c>
      <c r="M1202" s="29" t="s">
        <v>720</v>
      </c>
      <c r="N1202" s="32" t="s">
        <v>2717</v>
      </c>
      <c r="O1202" s="28"/>
      <c r="P1202" s="28"/>
      <c r="Q1202" s="28"/>
      <c r="R1202" s="29"/>
      <c r="S1202" s="28"/>
      <c r="T1202" s="28"/>
      <c r="U1202" s="28" t="s">
        <v>75</v>
      </c>
      <c r="V1202" s="28" t="s">
        <v>75</v>
      </c>
      <c r="W1202" s="28"/>
    </row>
    <row r="1203" spans="1:23">
      <c r="A1203" s="46" t="s">
        <v>572</v>
      </c>
      <c r="B1203" s="28" t="s">
        <v>1338</v>
      </c>
      <c r="C1203" s="28" t="s">
        <v>2588</v>
      </c>
      <c r="D1203" s="54" t="s">
        <v>2624</v>
      </c>
      <c r="E1203" s="28" t="s">
        <v>2555</v>
      </c>
      <c r="F1203" s="28" t="s">
        <v>597</v>
      </c>
      <c r="G1203" s="28" t="s">
        <v>597</v>
      </c>
      <c r="H1203" s="28" t="s">
        <v>283</v>
      </c>
      <c r="I1203" s="28" t="str">
        <f>VLOOKUP(E1203,표준용어사전!$C$2:$D$494, 2, FALSE)</f>
        <v>코드V50</v>
      </c>
      <c r="J1203" s="28" t="s">
        <v>718</v>
      </c>
      <c r="K1203" s="29">
        <v>50</v>
      </c>
      <c r="L1203" s="55" t="s">
        <v>571</v>
      </c>
      <c r="M1203" s="29" t="s">
        <v>720</v>
      </c>
      <c r="N1203" s="32" t="s">
        <v>2717</v>
      </c>
      <c r="O1203" s="28"/>
      <c r="P1203" s="28"/>
      <c r="Q1203" s="28"/>
      <c r="R1203" s="29"/>
      <c r="S1203" s="28"/>
      <c r="T1203" s="28"/>
      <c r="U1203" s="28" t="s">
        <v>75</v>
      </c>
      <c r="V1203" s="28" t="s">
        <v>75</v>
      </c>
      <c r="W1203" s="28"/>
    </row>
    <row r="1204" spans="1:23">
      <c r="A1204" s="46" t="s">
        <v>572</v>
      </c>
      <c r="B1204" s="28" t="s">
        <v>1338</v>
      </c>
      <c r="C1204" s="28" t="s">
        <v>2588</v>
      </c>
      <c r="D1204" s="54" t="s">
        <v>2624</v>
      </c>
      <c r="E1204" s="28" t="s">
        <v>2021</v>
      </c>
      <c r="F1204" s="28" t="s">
        <v>460</v>
      </c>
      <c r="G1204" s="28" t="s">
        <v>460</v>
      </c>
      <c r="H1204" s="28" t="s">
        <v>283</v>
      </c>
      <c r="I1204" s="28" t="str">
        <f>VLOOKUP(E1204,표준용어사전!$C$2:$D$494, 2, FALSE)</f>
        <v>코드V50</v>
      </c>
      <c r="J1204" s="28" t="s">
        <v>718</v>
      </c>
      <c r="K1204" s="29">
        <v>50</v>
      </c>
      <c r="L1204" s="55" t="s">
        <v>571</v>
      </c>
      <c r="M1204" s="29" t="s">
        <v>720</v>
      </c>
      <c r="N1204" s="32" t="s">
        <v>2717</v>
      </c>
      <c r="O1204" s="31"/>
      <c r="P1204" s="31"/>
      <c r="Q1204" s="28"/>
      <c r="R1204" s="29"/>
      <c r="S1204" s="31"/>
      <c r="T1204" s="28"/>
      <c r="U1204" s="28" t="s">
        <v>75</v>
      </c>
      <c r="V1204" s="28" t="s">
        <v>75</v>
      </c>
      <c r="W1204" s="31"/>
    </row>
    <row r="1205" spans="1:23">
      <c r="A1205" s="46" t="s">
        <v>572</v>
      </c>
      <c r="B1205" s="28" t="s">
        <v>1338</v>
      </c>
      <c r="C1205" s="28" t="s">
        <v>2588</v>
      </c>
      <c r="D1205" s="54" t="s">
        <v>2624</v>
      </c>
      <c r="E1205" s="28" t="s">
        <v>2556</v>
      </c>
      <c r="F1205" s="28" t="s">
        <v>734</v>
      </c>
      <c r="G1205" s="28" t="s">
        <v>734</v>
      </c>
      <c r="H1205" s="28" t="s">
        <v>283</v>
      </c>
      <c r="I1205" s="28" t="str">
        <f>VLOOKUP(E1205,표준용어사전!$C$2:$D$494, 2, FALSE)</f>
        <v>내용V2000</v>
      </c>
      <c r="J1205" s="28" t="s">
        <v>718</v>
      </c>
      <c r="K1205" s="29">
        <v>2000</v>
      </c>
      <c r="L1205" s="55" t="s">
        <v>571</v>
      </c>
      <c r="M1205" s="29" t="s">
        <v>728</v>
      </c>
      <c r="N1205" s="32" t="s">
        <v>2717</v>
      </c>
      <c r="O1205" s="31"/>
      <c r="P1205" s="31"/>
      <c r="Q1205" s="28"/>
      <c r="R1205" s="29"/>
      <c r="S1205" s="31"/>
      <c r="T1205" s="31"/>
      <c r="U1205" s="28" t="s">
        <v>75</v>
      </c>
      <c r="V1205" s="28" t="s">
        <v>75</v>
      </c>
      <c r="W1205" s="31"/>
    </row>
    <row r="1206" spans="1:23">
      <c r="A1206" s="46" t="s">
        <v>572</v>
      </c>
      <c r="B1206" s="28" t="s">
        <v>1338</v>
      </c>
      <c r="C1206" s="28" t="s">
        <v>2588</v>
      </c>
      <c r="D1206" s="54" t="s">
        <v>2624</v>
      </c>
      <c r="E1206" s="28" t="s">
        <v>2557</v>
      </c>
      <c r="F1206" s="28" t="s">
        <v>735</v>
      </c>
      <c r="G1206" s="28" t="s">
        <v>735</v>
      </c>
      <c r="H1206" s="28" t="s">
        <v>283</v>
      </c>
      <c r="I1206" s="28" t="str">
        <f>VLOOKUP(E1206,표준용어사전!$C$2:$D$494, 2, FALSE)</f>
        <v>내용V2000</v>
      </c>
      <c r="J1206" s="28" t="s">
        <v>718</v>
      </c>
      <c r="K1206" s="29">
        <v>2000</v>
      </c>
      <c r="L1206" s="55" t="s">
        <v>571</v>
      </c>
      <c r="M1206" s="29" t="s">
        <v>728</v>
      </c>
      <c r="N1206" s="32" t="s">
        <v>2717</v>
      </c>
      <c r="O1206" s="31"/>
      <c r="P1206" s="31"/>
      <c r="Q1206" s="28"/>
      <c r="R1206" s="29"/>
      <c r="S1206" s="31"/>
      <c r="T1206" s="28"/>
      <c r="U1206" s="28" t="s">
        <v>75</v>
      </c>
      <c r="V1206" s="28" t="s">
        <v>75</v>
      </c>
      <c r="W1206" s="31"/>
    </row>
    <row r="1207" spans="1:23">
      <c r="A1207" s="46" t="s">
        <v>572</v>
      </c>
      <c r="B1207" s="28" t="s">
        <v>1338</v>
      </c>
      <c r="C1207" s="28" t="s">
        <v>2588</v>
      </c>
      <c r="D1207" s="54" t="s">
        <v>2624</v>
      </c>
      <c r="E1207" s="28" t="s">
        <v>219</v>
      </c>
      <c r="F1207" s="28" t="s">
        <v>461</v>
      </c>
      <c r="G1207" s="28" t="s">
        <v>461</v>
      </c>
      <c r="H1207" s="28" t="s">
        <v>283</v>
      </c>
      <c r="I1207" s="28" t="str">
        <f>VLOOKUP(E1207,표준용어사전!$C$2:$D$494, 2, FALSE)</f>
        <v>번호V100</v>
      </c>
      <c r="J1207" s="28" t="s">
        <v>718</v>
      </c>
      <c r="K1207" s="29">
        <v>100</v>
      </c>
      <c r="L1207" s="55" t="s">
        <v>927</v>
      </c>
      <c r="M1207" s="29" t="s">
        <v>729</v>
      </c>
      <c r="N1207" s="32" t="s">
        <v>2717</v>
      </c>
      <c r="O1207" s="31"/>
      <c r="P1207" s="31"/>
      <c r="Q1207" s="28"/>
      <c r="R1207" s="29"/>
      <c r="S1207" s="31"/>
      <c r="T1207" s="31"/>
      <c r="U1207" s="28" t="s">
        <v>75</v>
      </c>
      <c r="V1207" s="28" t="s">
        <v>75</v>
      </c>
      <c r="W1207" s="31"/>
    </row>
    <row r="1208" spans="1:23">
      <c r="A1208" s="46" t="s">
        <v>572</v>
      </c>
      <c r="B1208" s="28" t="s">
        <v>1338</v>
      </c>
      <c r="C1208" s="28" t="s">
        <v>2588</v>
      </c>
      <c r="D1208" s="54" t="s">
        <v>2624</v>
      </c>
      <c r="E1208" s="28" t="s">
        <v>2544</v>
      </c>
      <c r="F1208" s="28" t="s">
        <v>373</v>
      </c>
      <c r="G1208" s="28" t="s">
        <v>373</v>
      </c>
      <c r="H1208" s="28" t="s">
        <v>283</v>
      </c>
      <c r="I1208" s="28" t="str">
        <f>VLOOKUP(E1208,표준용어사전!$C$2:$D$494, 2, FALSE)</f>
        <v>번호N10</v>
      </c>
      <c r="J1208" s="28" t="s">
        <v>748</v>
      </c>
      <c r="K1208" s="29">
        <v>10</v>
      </c>
      <c r="L1208" s="55" t="s">
        <v>571</v>
      </c>
      <c r="M1208" s="29" t="s">
        <v>2592</v>
      </c>
      <c r="N1208" s="32" t="s">
        <v>2717</v>
      </c>
      <c r="O1208" s="28"/>
      <c r="P1208" s="28"/>
      <c r="Q1208" s="28"/>
      <c r="R1208" s="29"/>
      <c r="S1208" s="28"/>
      <c r="T1208" s="28"/>
      <c r="U1208" s="28" t="s">
        <v>75</v>
      </c>
      <c r="V1208" s="28" t="s">
        <v>75</v>
      </c>
      <c r="W1208" s="28"/>
    </row>
    <row r="1209" spans="1:23">
      <c r="A1209" s="46" t="s">
        <v>572</v>
      </c>
      <c r="B1209" s="28" t="s">
        <v>1338</v>
      </c>
      <c r="C1209" s="28" t="s">
        <v>2588</v>
      </c>
      <c r="D1209" s="54" t="s">
        <v>2624</v>
      </c>
      <c r="E1209" s="28" t="s">
        <v>90</v>
      </c>
      <c r="F1209" s="28" t="s">
        <v>14</v>
      </c>
      <c r="G1209" s="28" t="s">
        <v>14</v>
      </c>
      <c r="H1209" s="28" t="s">
        <v>283</v>
      </c>
      <c r="I1209" s="28" t="str">
        <f>VLOOKUP(E1209,표준용어사전!$C$2:$D$494, 2, FALSE)</f>
        <v>연월일시분초TS</v>
      </c>
      <c r="J1209" s="28" t="s">
        <v>719</v>
      </c>
      <c r="K1209" s="29" t="s">
        <v>571</v>
      </c>
      <c r="L1209" s="55" t="s">
        <v>571</v>
      </c>
      <c r="M1209" s="29" t="s">
        <v>726</v>
      </c>
      <c r="N1209" s="32" t="s">
        <v>2717</v>
      </c>
      <c r="O1209" s="28"/>
      <c r="P1209" s="28"/>
      <c r="Q1209" s="28"/>
      <c r="R1209" s="29"/>
      <c r="S1209" s="28"/>
      <c r="T1209" s="28"/>
      <c r="U1209" s="28" t="s">
        <v>75</v>
      </c>
      <c r="V1209" s="28" t="s">
        <v>75</v>
      </c>
      <c r="W1209" s="28"/>
    </row>
    <row r="1210" spans="1:23">
      <c r="A1210" s="46" t="s">
        <v>572</v>
      </c>
      <c r="B1210" s="28" t="s">
        <v>1338</v>
      </c>
      <c r="C1210" s="28" t="s">
        <v>2588</v>
      </c>
      <c r="D1210" s="54" t="s">
        <v>2624</v>
      </c>
      <c r="E1210" s="28" t="s">
        <v>91</v>
      </c>
      <c r="F1210" s="28" t="s">
        <v>369</v>
      </c>
      <c r="G1210" s="28" t="s">
        <v>369</v>
      </c>
      <c r="H1210" s="28" t="s">
        <v>283</v>
      </c>
      <c r="I1210" s="28" t="str">
        <f>VLOOKUP(E1210,표준용어사전!$C$2:$D$494, 2, FALSE)</f>
        <v>명V20</v>
      </c>
      <c r="J1210" s="28" t="s">
        <v>718</v>
      </c>
      <c r="K1210" s="29" t="s">
        <v>986</v>
      </c>
      <c r="L1210" s="55" t="s">
        <v>571</v>
      </c>
      <c r="M1210" s="29" t="s">
        <v>727</v>
      </c>
      <c r="N1210" s="32" t="s">
        <v>2717</v>
      </c>
      <c r="O1210" s="28"/>
      <c r="P1210" s="28"/>
      <c r="Q1210" s="28"/>
      <c r="R1210" s="29"/>
      <c r="S1210" s="28"/>
      <c r="T1210" s="28"/>
      <c r="U1210" s="28" t="s">
        <v>75</v>
      </c>
      <c r="V1210" s="28" t="s">
        <v>75</v>
      </c>
      <c r="W1210" s="28"/>
    </row>
    <row r="1211" spans="1:23">
      <c r="A1211" s="46" t="s">
        <v>572</v>
      </c>
      <c r="B1211" s="28" t="s">
        <v>1338</v>
      </c>
      <c r="C1211" s="28" t="s">
        <v>2588</v>
      </c>
      <c r="D1211" s="54" t="s">
        <v>2624</v>
      </c>
      <c r="E1211" s="28" t="s">
        <v>92</v>
      </c>
      <c r="F1211" s="28" t="s">
        <v>15</v>
      </c>
      <c r="G1211" s="28" t="s">
        <v>15</v>
      </c>
      <c r="H1211" s="28" t="s">
        <v>283</v>
      </c>
      <c r="I1211" s="28" t="str">
        <f>VLOOKUP(E1211,표준용어사전!$C$2:$D$494, 2, FALSE)</f>
        <v>연월일시분초TS</v>
      </c>
      <c r="J1211" s="28" t="s">
        <v>719</v>
      </c>
      <c r="K1211" s="29" t="s">
        <v>571</v>
      </c>
      <c r="L1211" s="55" t="s">
        <v>571</v>
      </c>
      <c r="M1211" s="29" t="s">
        <v>726</v>
      </c>
      <c r="N1211" s="32" t="s">
        <v>2717</v>
      </c>
      <c r="O1211" s="28"/>
      <c r="P1211" s="28"/>
      <c r="Q1211" s="28"/>
      <c r="R1211" s="29"/>
      <c r="S1211" s="28"/>
      <c r="T1211" s="28"/>
      <c r="U1211" s="28" t="s">
        <v>75</v>
      </c>
      <c r="V1211" s="28" t="s">
        <v>75</v>
      </c>
      <c r="W1211" s="28"/>
    </row>
    <row r="1212" spans="1:23">
      <c r="A1212" s="46" t="s">
        <v>572</v>
      </c>
      <c r="B1212" s="28" t="s">
        <v>1338</v>
      </c>
      <c r="C1212" s="28" t="s">
        <v>2588</v>
      </c>
      <c r="D1212" s="54" t="s">
        <v>2624</v>
      </c>
      <c r="E1212" s="28" t="s">
        <v>93</v>
      </c>
      <c r="F1212" s="28" t="s">
        <v>370</v>
      </c>
      <c r="G1212" s="28" t="s">
        <v>370</v>
      </c>
      <c r="H1212" s="28" t="s">
        <v>283</v>
      </c>
      <c r="I1212" s="28" t="str">
        <f>VLOOKUP(E1212,표준용어사전!$C$2:$D$494, 2, FALSE)</f>
        <v>명V20</v>
      </c>
      <c r="J1212" s="28" t="s">
        <v>718</v>
      </c>
      <c r="K1212" s="29" t="s">
        <v>986</v>
      </c>
      <c r="L1212" s="55" t="s">
        <v>571</v>
      </c>
      <c r="M1212" s="29" t="s">
        <v>727</v>
      </c>
      <c r="N1212" s="32" t="s">
        <v>2717</v>
      </c>
      <c r="O1212" s="28"/>
      <c r="P1212" s="28"/>
      <c r="Q1212" s="28"/>
      <c r="R1212" s="29"/>
      <c r="S1212" s="28"/>
      <c r="T1212" s="28"/>
      <c r="U1212" s="28" t="s">
        <v>75</v>
      </c>
      <c r="V1212" s="28" t="s">
        <v>75</v>
      </c>
      <c r="W1212" s="28"/>
    </row>
    <row r="1213" spans="1:23">
      <c r="A1213" s="46" t="s">
        <v>572</v>
      </c>
      <c r="B1213" s="28" t="s">
        <v>1338</v>
      </c>
      <c r="C1213" s="28" t="s">
        <v>2588</v>
      </c>
      <c r="D1213" s="54" t="s">
        <v>2624</v>
      </c>
      <c r="E1213" s="28" t="s">
        <v>220</v>
      </c>
      <c r="F1213" s="28" t="s">
        <v>462</v>
      </c>
      <c r="G1213" s="28" t="s">
        <v>462</v>
      </c>
      <c r="H1213" s="28" t="s">
        <v>283</v>
      </c>
      <c r="I1213" s="28" t="str">
        <f>VLOOKUP(E1213,표준용어사전!$C$2:$D$494, 2, FALSE)</f>
        <v>내용V2000</v>
      </c>
      <c r="J1213" s="28" t="s">
        <v>718</v>
      </c>
      <c r="K1213" s="29">
        <v>2000</v>
      </c>
      <c r="L1213" s="55" t="s">
        <v>571</v>
      </c>
      <c r="M1213" s="29" t="s">
        <v>728</v>
      </c>
      <c r="N1213" s="32" t="s">
        <v>2717</v>
      </c>
      <c r="O1213" s="31"/>
      <c r="P1213" s="31"/>
      <c r="Q1213" s="28"/>
      <c r="R1213" s="29"/>
      <c r="S1213" s="31"/>
      <c r="T1213" s="28"/>
      <c r="U1213" s="28" t="s">
        <v>75</v>
      </c>
      <c r="V1213" s="28" t="s">
        <v>75</v>
      </c>
      <c r="W1213" s="31"/>
    </row>
    <row r="1214" spans="1:23">
      <c r="A1214" s="46" t="s">
        <v>572</v>
      </c>
      <c r="B1214" s="28" t="s">
        <v>1338</v>
      </c>
      <c r="C1214" s="28" t="s">
        <v>2588</v>
      </c>
      <c r="D1214" s="54" t="s">
        <v>2624</v>
      </c>
      <c r="E1214" s="28" t="s">
        <v>221</v>
      </c>
      <c r="F1214" s="28" t="s">
        <v>463</v>
      </c>
      <c r="G1214" s="28" t="s">
        <v>463</v>
      </c>
      <c r="H1214" s="28" t="s">
        <v>283</v>
      </c>
      <c r="I1214" s="28" t="str">
        <f>VLOOKUP(E1214,표준용어사전!$C$2:$D$494, 2, FALSE)</f>
        <v>내용V2000</v>
      </c>
      <c r="J1214" s="28" t="s">
        <v>718</v>
      </c>
      <c r="K1214" s="29">
        <v>2000</v>
      </c>
      <c r="L1214" s="55" t="s">
        <v>571</v>
      </c>
      <c r="M1214" s="29" t="s">
        <v>728</v>
      </c>
      <c r="N1214" s="32" t="s">
        <v>2717</v>
      </c>
      <c r="O1214" s="31"/>
      <c r="P1214" s="31"/>
      <c r="Q1214" s="28"/>
      <c r="R1214" s="29"/>
      <c r="S1214" s="31"/>
      <c r="T1214" s="31"/>
      <c r="U1214" s="28" t="s">
        <v>75</v>
      </c>
      <c r="V1214" s="28" t="s">
        <v>75</v>
      </c>
      <c r="W1214" s="31"/>
    </row>
    <row r="1215" spans="1:23">
      <c r="A1215" s="46" t="s">
        <v>572</v>
      </c>
      <c r="B1215" s="28" t="s">
        <v>1338</v>
      </c>
      <c r="C1215" s="28" t="s">
        <v>2588</v>
      </c>
      <c r="D1215" s="54" t="s">
        <v>2624</v>
      </c>
      <c r="E1215" s="28" t="s">
        <v>222</v>
      </c>
      <c r="F1215" s="28" t="s">
        <v>464</v>
      </c>
      <c r="G1215" s="28" t="s">
        <v>464</v>
      </c>
      <c r="H1215" s="28" t="s">
        <v>283</v>
      </c>
      <c r="I1215" s="28" t="str">
        <f>VLOOKUP(E1215,표준용어사전!$C$2:$D$494, 2, FALSE)</f>
        <v>내용V2000</v>
      </c>
      <c r="J1215" s="28" t="s">
        <v>718</v>
      </c>
      <c r="K1215" s="29">
        <v>2000</v>
      </c>
      <c r="L1215" s="55" t="s">
        <v>571</v>
      </c>
      <c r="M1215" s="29" t="s">
        <v>728</v>
      </c>
      <c r="N1215" s="32" t="s">
        <v>2717</v>
      </c>
      <c r="O1215" s="31"/>
      <c r="P1215" s="31"/>
      <c r="Q1215" s="28"/>
      <c r="R1215" s="29"/>
      <c r="S1215" s="31"/>
      <c r="T1215" s="28"/>
      <c r="U1215" s="28" t="s">
        <v>75</v>
      </c>
      <c r="V1215" s="28" t="s">
        <v>75</v>
      </c>
      <c r="W1215" s="31"/>
    </row>
    <row r="1216" spans="1:23">
      <c r="A1216" s="46" t="s">
        <v>572</v>
      </c>
      <c r="B1216" s="28" t="s">
        <v>1338</v>
      </c>
      <c r="C1216" s="28" t="s">
        <v>2588</v>
      </c>
      <c r="D1216" s="54" t="s">
        <v>2624</v>
      </c>
      <c r="E1216" s="28" t="s">
        <v>2023</v>
      </c>
      <c r="F1216" s="28" t="s">
        <v>1596</v>
      </c>
      <c r="G1216" s="28" t="s">
        <v>1596</v>
      </c>
      <c r="H1216" s="28" t="s">
        <v>283</v>
      </c>
      <c r="I1216" s="28" t="str">
        <f>VLOOKUP(E1216,표준용어사전!$C$2:$D$494, 2, FALSE)</f>
        <v>수N10</v>
      </c>
      <c r="J1216" s="28" t="s">
        <v>748</v>
      </c>
      <c r="K1216" s="29" t="s">
        <v>1061</v>
      </c>
      <c r="L1216" s="55" t="s">
        <v>571</v>
      </c>
      <c r="M1216" s="29" t="s">
        <v>2592</v>
      </c>
      <c r="N1216" s="32" t="s">
        <v>2717</v>
      </c>
      <c r="O1216" s="31"/>
      <c r="P1216" s="31"/>
      <c r="Q1216" s="28"/>
      <c r="R1216" s="29"/>
      <c r="S1216" s="31"/>
      <c r="T1216" s="31"/>
      <c r="U1216" s="28" t="s">
        <v>75</v>
      </c>
      <c r="V1216" s="28" t="s">
        <v>75</v>
      </c>
      <c r="W1216" s="31"/>
    </row>
    <row r="1217" spans="1:23">
      <c r="A1217" s="46" t="s">
        <v>572</v>
      </c>
      <c r="B1217" s="28" t="s">
        <v>1637</v>
      </c>
      <c r="C1217" s="28" t="s">
        <v>2589</v>
      </c>
      <c r="D1217" s="31" t="s">
        <v>1156</v>
      </c>
      <c r="E1217" s="31" t="s">
        <v>1191</v>
      </c>
      <c r="F1217" s="35" t="s">
        <v>1498</v>
      </c>
      <c r="G1217" s="35" t="s">
        <v>1473</v>
      </c>
      <c r="H1217" s="35" t="s">
        <v>979</v>
      </c>
      <c r="I1217" s="28" t="e">
        <f>VLOOKUP(E1217,표준용어사전!$C$2:$D$494, 2, FALSE)</f>
        <v>#N/A</v>
      </c>
      <c r="J1217" s="33" t="s">
        <v>709</v>
      </c>
      <c r="K1217" s="29" t="s">
        <v>980</v>
      </c>
      <c r="L1217" s="55" t="s">
        <v>571</v>
      </c>
      <c r="M1217" s="29" t="s">
        <v>981</v>
      </c>
      <c r="N1217" s="32" t="s">
        <v>973</v>
      </c>
      <c r="O1217" s="28" t="s">
        <v>641</v>
      </c>
      <c r="P1217" s="31"/>
      <c r="Q1217" s="28" t="s">
        <v>76</v>
      </c>
      <c r="R1217" s="29"/>
      <c r="S1217" s="31"/>
      <c r="T1217" s="31"/>
      <c r="U1217" s="28" t="s">
        <v>75</v>
      </c>
      <c r="V1217" s="28" t="s">
        <v>75</v>
      </c>
      <c r="W1217" s="31"/>
    </row>
    <row r="1218" spans="1:23">
      <c r="A1218" s="46" t="s">
        <v>572</v>
      </c>
      <c r="B1218" s="28" t="s">
        <v>1637</v>
      </c>
      <c r="C1218" s="28" t="s">
        <v>2589</v>
      </c>
      <c r="D1218" s="31" t="s">
        <v>1156</v>
      </c>
      <c r="E1218" s="31" t="s">
        <v>1192</v>
      </c>
      <c r="F1218" s="35" t="s">
        <v>1499</v>
      </c>
      <c r="G1218" s="35" t="s">
        <v>1474</v>
      </c>
      <c r="H1218" s="35" t="s">
        <v>979</v>
      </c>
      <c r="I1218" s="28" t="e">
        <f>VLOOKUP(E1218,표준용어사전!$C$2:$D$494, 2, FALSE)</f>
        <v>#N/A</v>
      </c>
      <c r="J1218" s="33" t="s">
        <v>78</v>
      </c>
      <c r="K1218" s="29" t="s">
        <v>982</v>
      </c>
      <c r="L1218" s="55" t="s">
        <v>571</v>
      </c>
      <c r="M1218" s="29" t="s">
        <v>983</v>
      </c>
      <c r="N1218" s="32" t="s">
        <v>75</v>
      </c>
      <c r="O1218" s="31"/>
      <c r="P1218" s="31"/>
      <c r="Q1218" s="28" t="s">
        <v>76</v>
      </c>
      <c r="R1218" s="29"/>
      <c r="S1218" s="31"/>
      <c r="T1218" s="31"/>
      <c r="U1218" s="28" t="s">
        <v>75</v>
      </c>
      <c r="V1218" s="28" t="s">
        <v>75</v>
      </c>
      <c r="W1218" s="31"/>
    </row>
    <row r="1219" spans="1:23">
      <c r="A1219" s="46" t="s">
        <v>572</v>
      </c>
      <c r="B1219" s="28" t="s">
        <v>1637</v>
      </c>
      <c r="C1219" s="28" t="s">
        <v>2589</v>
      </c>
      <c r="D1219" s="31" t="s">
        <v>1156</v>
      </c>
      <c r="E1219" s="31" t="s">
        <v>1193</v>
      </c>
      <c r="F1219" s="35" t="s">
        <v>1500</v>
      </c>
      <c r="G1219" s="35" t="s">
        <v>1475</v>
      </c>
      <c r="H1219" s="35" t="s">
        <v>979</v>
      </c>
      <c r="I1219" s="28" t="e">
        <f>VLOOKUP(E1219,표준용어사전!$C$2:$D$494, 2, FALSE)</f>
        <v>#N/A</v>
      </c>
      <c r="J1219" s="33" t="s">
        <v>78</v>
      </c>
      <c r="K1219" s="29" t="s">
        <v>984</v>
      </c>
      <c r="L1219" s="55" t="s">
        <v>571</v>
      </c>
      <c r="M1219" s="29" t="s">
        <v>715</v>
      </c>
      <c r="N1219" s="32" t="s">
        <v>75</v>
      </c>
      <c r="O1219" s="31"/>
      <c r="P1219" s="31"/>
      <c r="Q1219" s="28" t="s">
        <v>76</v>
      </c>
      <c r="R1219" s="29"/>
      <c r="S1219" s="31"/>
      <c r="T1219" s="31"/>
      <c r="U1219" s="28" t="s">
        <v>75</v>
      </c>
      <c r="V1219" s="28" t="s">
        <v>75</v>
      </c>
      <c r="W1219" s="31"/>
    </row>
    <row r="1220" spans="1:23">
      <c r="A1220" s="46" t="s">
        <v>572</v>
      </c>
      <c r="B1220" s="28" t="s">
        <v>1637</v>
      </c>
      <c r="C1220" s="28" t="s">
        <v>2589</v>
      </c>
      <c r="D1220" s="31" t="s">
        <v>1156</v>
      </c>
      <c r="E1220" s="31" t="s">
        <v>1194</v>
      </c>
      <c r="F1220" s="35" t="s">
        <v>1501</v>
      </c>
      <c r="G1220" s="31" t="s">
        <v>1714</v>
      </c>
      <c r="H1220" s="35" t="s">
        <v>979</v>
      </c>
      <c r="I1220" s="28" t="e">
        <f>VLOOKUP(E1220,표준용어사전!$C$2:$D$494, 2, FALSE)</f>
        <v>#N/A</v>
      </c>
      <c r="J1220" s="33" t="s">
        <v>570</v>
      </c>
      <c r="K1220" s="29" t="s">
        <v>985</v>
      </c>
      <c r="L1220" s="55" t="s">
        <v>571</v>
      </c>
      <c r="M1220" s="29" t="s">
        <v>722</v>
      </c>
      <c r="N1220" s="32" t="s">
        <v>75</v>
      </c>
      <c r="O1220" s="31"/>
      <c r="P1220" s="31"/>
      <c r="Q1220" s="28" t="s">
        <v>76</v>
      </c>
      <c r="R1220" s="29"/>
      <c r="S1220" s="31"/>
      <c r="T1220" s="28"/>
      <c r="U1220" s="28" t="s">
        <v>75</v>
      </c>
      <c r="V1220" s="28" t="s">
        <v>75</v>
      </c>
      <c r="W1220" s="31"/>
    </row>
    <row r="1221" spans="1:23">
      <c r="A1221" s="46" t="s">
        <v>572</v>
      </c>
      <c r="B1221" s="28" t="s">
        <v>1637</v>
      </c>
      <c r="C1221" s="28" t="s">
        <v>2589</v>
      </c>
      <c r="D1221" s="31" t="s">
        <v>1156</v>
      </c>
      <c r="E1221" s="31" t="s">
        <v>946</v>
      </c>
      <c r="F1221" s="35" t="s">
        <v>959</v>
      </c>
      <c r="G1221" s="28" t="s">
        <v>1451</v>
      </c>
      <c r="H1221" s="35" t="s">
        <v>979</v>
      </c>
      <c r="I1221" s="28" t="e">
        <f>VLOOKUP(E1221,표준용어사전!$C$2:$D$494, 2, FALSE)</f>
        <v>#N/A</v>
      </c>
      <c r="J1221" s="33" t="s">
        <v>16</v>
      </c>
      <c r="K1221" s="29" t="s">
        <v>927</v>
      </c>
      <c r="L1221" s="55" t="s">
        <v>571</v>
      </c>
      <c r="M1221" s="29" t="s">
        <v>726</v>
      </c>
      <c r="N1221" s="32" t="s">
        <v>75</v>
      </c>
      <c r="O1221" s="31"/>
      <c r="P1221" s="31"/>
      <c r="Q1221" s="28" t="s">
        <v>76</v>
      </c>
      <c r="R1221" s="29"/>
      <c r="S1221" s="31"/>
      <c r="T1221" s="28" t="s">
        <v>574</v>
      </c>
      <c r="U1221" s="28" t="s">
        <v>75</v>
      </c>
      <c r="V1221" s="28" t="s">
        <v>75</v>
      </c>
      <c r="W1221" s="31"/>
    </row>
    <row r="1222" spans="1:23">
      <c r="A1222" s="46" t="s">
        <v>572</v>
      </c>
      <c r="B1222" s="28" t="s">
        <v>1637</v>
      </c>
      <c r="C1222" s="28" t="s">
        <v>2589</v>
      </c>
      <c r="D1222" s="31" t="s">
        <v>1156</v>
      </c>
      <c r="E1222" s="31" t="s">
        <v>947</v>
      </c>
      <c r="F1222" s="35" t="s">
        <v>964</v>
      </c>
      <c r="G1222" s="35" t="s">
        <v>964</v>
      </c>
      <c r="H1222" s="35" t="s">
        <v>979</v>
      </c>
      <c r="I1222" s="28" t="e">
        <f>VLOOKUP(E1222,표준용어사전!$C$2:$D$494, 2, FALSE)</f>
        <v>#N/A</v>
      </c>
      <c r="J1222" s="33" t="s">
        <v>78</v>
      </c>
      <c r="K1222" s="29" t="s">
        <v>986</v>
      </c>
      <c r="L1222" s="55" t="s">
        <v>571</v>
      </c>
      <c r="M1222" s="29" t="s">
        <v>727</v>
      </c>
      <c r="N1222" s="32" t="s">
        <v>75</v>
      </c>
      <c r="O1222" s="31"/>
      <c r="P1222" s="31"/>
      <c r="Q1222" s="28" t="s">
        <v>76</v>
      </c>
      <c r="R1222" s="29"/>
      <c r="S1222" s="31"/>
      <c r="T1222" s="31"/>
      <c r="U1222" s="28" t="s">
        <v>75</v>
      </c>
      <c r="V1222" s="28" t="s">
        <v>75</v>
      </c>
      <c r="W1222" s="31"/>
    </row>
    <row r="1223" spans="1:23">
      <c r="A1223" s="46" t="s">
        <v>572</v>
      </c>
      <c r="B1223" s="28" t="s">
        <v>1637</v>
      </c>
      <c r="C1223" s="28" t="s">
        <v>2589</v>
      </c>
      <c r="D1223" s="31" t="s">
        <v>1156</v>
      </c>
      <c r="E1223" s="31" t="s">
        <v>948</v>
      </c>
      <c r="F1223" s="35" t="s">
        <v>960</v>
      </c>
      <c r="G1223" s="35" t="s">
        <v>960</v>
      </c>
      <c r="H1223" s="35" t="s">
        <v>979</v>
      </c>
      <c r="I1223" s="28" t="e">
        <f>VLOOKUP(E1223,표준용어사전!$C$2:$D$494, 2, FALSE)</f>
        <v>#N/A</v>
      </c>
      <c r="J1223" s="33" t="s">
        <v>16</v>
      </c>
      <c r="K1223" s="29" t="s">
        <v>927</v>
      </c>
      <c r="L1223" s="55" t="s">
        <v>571</v>
      </c>
      <c r="M1223" s="29" t="s">
        <v>726</v>
      </c>
      <c r="N1223" s="32" t="s">
        <v>75</v>
      </c>
      <c r="O1223" s="31"/>
      <c r="P1223" s="31"/>
      <c r="Q1223" s="28" t="s">
        <v>76</v>
      </c>
      <c r="R1223" s="29"/>
      <c r="S1223" s="31"/>
      <c r="T1223" s="31"/>
      <c r="U1223" s="28" t="s">
        <v>75</v>
      </c>
      <c r="V1223" s="28" t="s">
        <v>75</v>
      </c>
      <c r="W1223" s="31"/>
    </row>
    <row r="1224" spans="1:23">
      <c r="A1224" s="46" t="s">
        <v>572</v>
      </c>
      <c r="B1224" s="28" t="s">
        <v>1637</v>
      </c>
      <c r="C1224" s="28" t="s">
        <v>2589</v>
      </c>
      <c r="D1224" s="31" t="s">
        <v>1156</v>
      </c>
      <c r="E1224" s="31" t="s">
        <v>949</v>
      </c>
      <c r="F1224" s="35" t="s">
        <v>965</v>
      </c>
      <c r="G1224" s="35" t="s">
        <v>965</v>
      </c>
      <c r="H1224" s="35" t="s">
        <v>979</v>
      </c>
      <c r="I1224" s="28" t="e">
        <f>VLOOKUP(E1224,표준용어사전!$C$2:$D$494, 2, FALSE)</f>
        <v>#N/A</v>
      </c>
      <c r="J1224" s="33" t="s">
        <v>78</v>
      </c>
      <c r="K1224" s="29" t="s">
        <v>986</v>
      </c>
      <c r="L1224" s="55" t="s">
        <v>571</v>
      </c>
      <c r="M1224" s="29" t="s">
        <v>727</v>
      </c>
      <c r="N1224" s="32" t="s">
        <v>75</v>
      </c>
      <c r="O1224" s="31"/>
      <c r="P1224" s="31"/>
      <c r="Q1224" s="28" t="s">
        <v>76</v>
      </c>
      <c r="R1224" s="29"/>
      <c r="S1224" s="31"/>
      <c r="T1224" s="28" t="s">
        <v>574</v>
      </c>
      <c r="U1224" s="28" t="s">
        <v>75</v>
      </c>
      <c r="V1224" s="28" t="s">
        <v>75</v>
      </c>
      <c r="W1224" s="31"/>
    </row>
    <row r="1225" spans="1:23">
      <c r="A1225" s="46" t="s">
        <v>572</v>
      </c>
      <c r="B1225" s="28" t="s">
        <v>1637</v>
      </c>
      <c r="C1225" s="28" t="s">
        <v>2589</v>
      </c>
      <c r="D1225" s="31" t="s">
        <v>1157</v>
      </c>
      <c r="E1225" s="31" t="s">
        <v>1195</v>
      </c>
      <c r="F1225" s="35" t="s">
        <v>1502</v>
      </c>
      <c r="G1225" s="35" t="s">
        <v>1476</v>
      </c>
      <c r="H1225" s="35" t="s">
        <v>987</v>
      </c>
      <c r="I1225" s="28" t="e">
        <f>VLOOKUP(E1225,표준용어사전!$C$2:$D$494, 2, FALSE)</f>
        <v>#N/A</v>
      </c>
      <c r="J1225" s="33" t="s">
        <v>78</v>
      </c>
      <c r="K1225" s="29" t="s">
        <v>988</v>
      </c>
      <c r="L1225" s="55" t="s">
        <v>571</v>
      </c>
      <c r="M1225" s="29" t="s">
        <v>989</v>
      </c>
      <c r="N1225" s="32" t="s">
        <v>973</v>
      </c>
      <c r="O1225" s="28" t="s">
        <v>641</v>
      </c>
      <c r="P1225" s="31" t="s">
        <v>2739</v>
      </c>
      <c r="Q1225" s="28" t="s">
        <v>76</v>
      </c>
      <c r="R1225" s="29"/>
      <c r="S1225" s="31"/>
      <c r="T1225" s="31"/>
      <c r="U1225" s="28" t="s">
        <v>75</v>
      </c>
      <c r="V1225" s="28" t="s">
        <v>75</v>
      </c>
      <c r="W1225" s="31"/>
    </row>
    <row r="1226" spans="1:23">
      <c r="A1226" s="46" t="s">
        <v>572</v>
      </c>
      <c r="B1226" s="28" t="s">
        <v>1637</v>
      </c>
      <c r="C1226" s="28" t="s">
        <v>2589</v>
      </c>
      <c r="D1226" s="31" t="s">
        <v>1157</v>
      </c>
      <c r="E1226" s="31" t="s">
        <v>1196</v>
      </c>
      <c r="F1226" s="35" t="s">
        <v>1540</v>
      </c>
      <c r="G1226" s="35" t="s">
        <v>1477</v>
      </c>
      <c r="H1226" s="35" t="s">
        <v>987</v>
      </c>
      <c r="I1226" s="28" t="e">
        <f>VLOOKUP(E1226,표준용어사전!$C$2:$D$494, 2, FALSE)</f>
        <v>#N/A</v>
      </c>
      <c r="J1226" s="33" t="s">
        <v>78</v>
      </c>
      <c r="K1226" s="29" t="s">
        <v>982</v>
      </c>
      <c r="L1226" s="55" t="s">
        <v>571</v>
      </c>
      <c r="M1226" s="29" t="s">
        <v>983</v>
      </c>
      <c r="N1226" s="32" t="s">
        <v>75</v>
      </c>
      <c r="O1226" s="31"/>
      <c r="P1226" s="31" t="s">
        <v>76</v>
      </c>
      <c r="Q1226" s="28" t="s">
        <v>76</v>
      </c>
      <c r="R1226" s="29"/>
      <c r="S1226" s="31"/>
      <c r="T1226" s="31"/>
      <c r="U1226" s="28" t="s">
        <v>75</v>
      </c>
      <c r="V1226" s="28" t="s">
        <v>75</v>
      </c>
      <c r="W1226" s="31"/>
    </row>
    <row r="1227" spans="1:23">
      <c r="A1227" s="46" t="s">
        <v>572</v>
      </c>
      <c r="B1227" s="28" t="s">
        <v>1637</v>
      </c>
      <c r="C1227" s="28" t="s">
        <v>2589</v>
      </c>
      <c r="D1227" s="31" t="s">
        <v>1157</v>
      </c>
      <c r="E1227" s="31" t="s">
        <v>1197</v>
      </c>
      <c r="F1227" s="35" t="s">
        <v>1503</v>
      </c>
      <c r="G1227" s="35" t="s">
        <v>1478</v>
      </c>
      <c r="H1227" s="35" t="s">
        <v>987</v>
      </c>
      <c r="I1227" s="28" t="e">
        <f>VLOOKUP(E1227,표준용어사전!$C$2:$D$494, 2, FALSE)</f>
        <v>#N/A</v>
      </c>
      <c r="J1227" s="33" t="s">
        <v>78</v>
      </c>
      <c r="K1227" s="29" t="s">
        <v>984</v>
      </c>
      <c r="L1227" s="55" t="s">
        <v>571</v>
      </c>
      <c r="M1227" s="29" t="s">
        <v>715</v>
      </c>
      <c r="N1227" s="32" t="s">
        <v>75</v>
      </c>
      <c r="O1227" s="31"/>
      <c r="P1227" s="31" t="s">
        <v>76</v>
      </c>
      <c r="Q1227" s="28" t="s">
        <v>76</v>
      </c>
      <c r="R1227" s="29"/>
      <c r="S1227" s="31"/>
      <c r="T1227" s="31"/>
      <c r="U1227" s="28" t="s">
        <v>75</v>
      </c>
      <c r="V1227" s="28" t="s">
        <v>75</v>
      </c>
      <c r="W1227" s="31"/>
    </row>
    <row r="1228" spans="1:23">
      <c r="A1228" s="46" t="s">
        <v>572</v>
      </c>
      <c r="B1228" s="28" t="s">
        <v>1637</v>
      </c>
      <c r="C1228" s="28" t="s">
        <v>2589</v>
      </c>
      <c r="D1228" s="31" t="s">
        <v>1157</v>
      </c>
      <c r="E1228" s="31" t="s">
        <v>1194</v>
      </c>
      <c r="F1228" s="35" t="s">
        <v>1501</v>
      </c>
      <c r="G1228" s="31" t="s">
        <v>1714</v>
      </c>
      <c r="H1228" s="35" t="s">
        <v>987</v>
      </c>
      <c r="I1228" s="28" t="e">
        <f>VLOOKUP(E1228,표준용어사전!$C$2:$D$494, 2, FALSE)</f>
        <v>#N/A</v>
      </c>
      <c r="J1228" s="33" t="s">
        <v>570</v>
      </c>
      <c r="K1228" s="29" t="s">
        <v>985</v>
      </c>
      <c r="L1228" s="55" t="s">
        <v>571</v>
      </c>
      <c r="M1228" s="29" t="s">
        <v>722</v>
      </c>
      <c r="N1228" s="32" t="s">
        <v>75</v>
      </c>
      <c r="O1228" s="31"/>
      <c r="P1228" s="31" t="s">
        <v>76</v>
      </c>
      <c r="Q1228" s="28" t="s">
        <v>76</v>
      </c>
      <c r="R1228" s="29"/>
      <c r="S1228" s="31"/>
      <c r="T1228" s="28"/>
      <c r="U1228" s="28" t="s">
        <v>75</v>
      </c>
      <c r="V1228" s="28" t="s">
        <v>75</v>
      </c>
      <c r="W1228" s="31"/>
    </row>
    <row r="1229" spans="1:23">
      <c r="A1229" s="46" t="s">
        <v>572</v>
      </c>
      <c r="B1229" s="28" t="s">
        <v>1637</v>
      </c>
      <c r="C1229" s="28" t="s">
        <v>2589</v>
      </c>
      <c r="D1229" s="31" t="s">
        <v>1157</v>
      </c>
      <c r="E1229" s="31" t="s">
        <v>1191</v>
      </c>
      <c r="F1229" s="35" t="s">
        <v>1498</v>
      </c>
      <c r="G1229" s="35" t="s">
        <v>1473</v>
      </c>
      <c r="H1229" s="35" t="s">
        <v>987</v>
      </c>
      <c r="I1229" s="28" t="e">
        <f>VLOOKUP(E1229,표준용어사전!$C$2:$D$494, 2, FALSE)</f>
        <v>#N/A</v>
      </c>
      <c r="J1229" s="33" t="s">
        <v>570</v>
      </c>
      <c r="K1229" s="29" t="s">
        <v>980</v>
      </c>
      <c r="L1229" s="55" t="s">
        <v>571</v>
      </c>
      <c r="M1229" s="29" t="s">
        <v>981</v>
      </c>
      <c r="N1229" s="32" t="s">
        <v>2718</v>
      </c>
      <c r="O1229" s="31"/>
      <c r="P1229" s="31" t="s">
        <v>76</v>
      </c>
      <c r="Q1229" s="28" t="s">
        <v>76</v>
      </c>
      <c r="R1229" s="29"/>
      <c r="S1229" s="31"/>
      <c r="T1229" s="31"/>
      <c r="U1229" s="28" t="s">
        <v>75</v>
      </c>
      <c r="V1229" s="28" t="s">
        <v>75</v>
      </c>
      <c r="W1229" s="31"/>
    </row>
    <row r="1230" spans="1:23">
      <c r="A1230" s="46" t="s">
        <v>572</v>
      </c>
      <c r="B1230" s="28" t="s">
        <v>1637</v>
      </c>
      <c r="C1230" s="28" t="s">
        <v>2589</v>
      </c>
      <c r="D1230" s="31" t="s">
        <v>1157</v>
      </c>
      <c r="E1230" s="31" t="s">
        <v>946</v>
      </c>
      <c r="F1230" s="35" t="s">
        <v>959</v>
      </c>
      <c r="G1230" s="28" t="s">
        <v>1451</v>
      </c>
      <c r="H1230" s="35" t="s">
        <v>987</v>
      </c>
      <c r="I1230" s="28" t="e">
        <f>VLOOKUP(E1230,표준용어사전!$C$2:$D$494, 2, FALSE)</f>
        <v>#N/A</v>
      </c>
      <c r="J1230" s="33" t="s">
        <v>16</v>
      </c>
      <c r="K1230" s="29" t="s">
        <v>927</v>
      </c>
      <c r="L1230" s="55" t="s">
        <v>571</v>
      </c>
      <c r="M1230" s="29" t="s">
        <v>726</v>
      </c>
      <c r="N1230" s="32" t="s">
        <v>75</v>
      </c>
      <c r="O1230" s="31"/>
      <c r="P1230" s="31" t="s">
        <v>76</v>
      </c>
      <c r="Q1230" s="28" t="s">
        <v>76</v>
      </c>
      <c r="R1230" s="29"/>
      <c r="S1230" s="31"/>
      <c r="T1230" s="28" t="s">
        <v>574</v>
      </c>
      <c r="U1230" s="28" t="s">
        <v>75</v>
      </c>
      <c r="V1230" s="28" t="s">
        <v>75</v>
      </c>
      <c r="W1230" s="31"/>
    </row>
    <row r="1231" spans="1:23">
      <c r="A1231" s="46" t="s">
        <v>572</v>
      </c>
      <c r="B1231" s="28" t="s">
        <v>1637</v>
      </c>
      <c r="C1231" s="28" t="s">
        <v>2589</v>
      </c>
      <c r="D1231" s="31" t="s">
        <v>1157</v>
      </c>
      <c r="E1231" s="31" t="s">
        <v>947</v>
      </c>
      <c r="F1231" s="35" t="s">
        <v>964</v>
      </c>
      <c r="G1231" s="35" t="s">
        <v>964</v>
      </c>
      <c r="H1231" s="35" t="s">
        <v>987</v>
      </c>
      <c r="I1231" s="28" t="e">
        <f>VLOOKUP(E1231,표준용어사전!$C$2:$D$494, 2, FALSE)</f>
        <v>#N/A</v>
      </c>
      <c r="J1231" s="33" t="s">
        <v>78</v>
      </c>
      <c r="K1231" s="29" t="s">
        <v>986</v>
      </c>
      <c r="L1231" s="55" t="s">
        <v>571</v>
      </c>
      <c r="M1231" s="29" t="s">
        <v>727</v>
      </c>
      <c r="N1231" s="32" t="s">
        <v>75</v>
      </c>
      <c r="O1231" s="31"/>
      <c r="P1231" s="31" t="s">
        <v>76</v>
      </c>
      <c r="Q1231" s="28" t="s">
        <v>76</v>
      </c>
      <c r="R1231" s="29"/>
      <c r="S1231" s="31"/>
      <c r="T1231" s="31"/>
      <c r="U1231" s="28" t="s">
        <v>75</v>
      </c>
      <c r="V1231" s="28" t="s">
        <v>75</v>
      </c>
      <c r="W1231" s="31"/>
    </row>
    <row r="1232" spans="1:23">
      <c r="A1232" s="46" t="s">
        <v>572</v>
      </c>
      <c r="B1232" s="28" t="s">
        <v>1637</v>
      </c>
      <c r="C1232" s="28" t="s">
        <v>2589</v>
      </c>
      <c r="D1232" s="31" t="s">
        <v>1157</v>
      </c>
      <c r="E1232" s="31" t="s">
        <v>948</v>
      </c>
      <c r="F1232" s="35" t="s">
        <v>960</v>
      </c>
      <c r="G1232" s="35" t="s">
        <v>960</v>
      </c>
      <c r="H1232" s="35" t="s">
        <v>987</v>
      </c>
      <c r="I1232" s="28" t="e">
        <f>VLOOKUP(E1232,표준용어사전!$C$2:$D$494, 2, FALSE)</f>
        <v>#N/A</v>
      </c>
      <c r="J1232" s="33" t="s">
        <v>16</v>
      </c>
      <c r="K1232" s="29" t="s">
        <v>927</v>
      </c>
      <c r="L1232" s="55" t="s">
        <v>571</v>
      </c>
      <c r="M1232" s="29" t="s">
        <v>726</v>
      </c>
      <c r="N1232" s="32" t="s">
        <v>75</v>
      </c>
      <c r="O1232" s="31"/>
      <c r="P1232" s="31" t="s">
        <v>76</v>
      </c>
      <c r="Q1232" s="28" t="s">
        <v>76</v>
      </c>
      <c r="R1232" s="29"/>
      <c r="S1232" s="31"/>
      <c r="T1232" s="28" t="s">
        <v>574</v>
      </c>
      <c r="U1232" s="28" t="s">
        <v>75</v>
      </c>
      <c r="V1232" s="28" t="s">
        <v>75</v>
      </c>
      <c r="W1232" s="31"/>
    </row>
    <row r="1233" spans="1:23">
      <c r="A1233" s="46" t="s">
        <v>572</v>
      </c>
      <c r="B1233" s="28" t="s">
        <v>1637</v>
      </c>
      <c r="C1233" s="28" t="s">
        <v>2589</v>
      </c>
      <c r="D1233" s="31" t="s">
        <v>1157</v>
      </c>
      <c r="E1233" s="31" t="s">
        <v>949</v>
      </c>
      <c r="F1233" s="35" t="s">
        <v>965</v>
      </c>
      <c r="G1233" s="35" t="s">
        <v>965</v>
      </c>
      <c r="H1233" s="35" t="s">
        <v>987</v>
      </c>
      <c r="I1233" s="28" t="e">
        <f>VLOOKUP(E1233,표준용어사전!$C$2:$D$494, 2, FALSE)</f>
        <v>#N/A</v>
      </c>
      <c r="J1233" s="33" t="s">
        <v>78</v>
      </c>
      <c r="K1233" s="29" t="s">
        <v>986</v>
      </c>
      <c r="L1233" s="55" t="s">
        <v>571</v>
      </c>
      <c r="M1233" s="29" t="s">
        <v>727</v>
      </c>
      <c r="N1233" s="32" t="s">
        <v>75</v>
      </c>
      <c r="O1233" s="31"/>
      <c r="P1233" s="31" t="s">
        <v>76</v>
      </c>
      <c r="Q1233" s="28" t="s">
        <v>76</v>
      </c>
      <c r="R1233" s="29"/>
      <c r="S1233" s="31"/>
      <c r="T1233" s="31"/>
      <c r="U1233" s="28" t="s">
        <v>75</v>
      </c>
      <c r="V1233" s="28" t="s">
        <v>75</v>
      </c>
      <c r="W1233" s="31"/>
    </row>
    <row r="1234" spans="1:23">
      <c r="A1234" s="46" t="s">
        <v>572</v>
      </c>
      <c r="B1234" s="28" t="s">
        <v>1637</v>
      </c>
      <c r="C1234" s="28" t="s">
        <v>2589</v>
      </c>
      <c r="D1234" s="31" t="s">
        <v>1158</v>
      </c>
      <c r="E1234" s="31" t="s">
        <v>1195</v>
      </c>
      <c r="F1234" s="35" t="s">
        <v>1502</v>
      </c>
      <c r="G1234" s="35" t="s">
        <v>1476</v>
      </c>
      <c r="H1234" s="35" t="s">
        <v>990</v>
      </c>
      <c r="I1234" s="28" t="e">
        <f>VLOOKUP(E1234,표준용어사전!$C$2:$D$494, 2, FALSE)</f>
        <v>#N/A</v>
      </c>
      <c r="J1234" s="33" t="s">
        <v>78</v>
      </c>
      <c r="K1234" s="29" t="s">
        <v>988</v>
      </c>
      <c r="L1234" s="55" t="s">
        <v>571</v>
      </c>
      <c r="M1234" s="29" t="s">
        <v>989</v>
      </c>
      <c r="N1234" s="32" t="s">
        <v>973</v>
      </c>
      <c r="O1234" s="28" t="s">
        <v>641</v>
      </c>
      <c r="P1234" s="31" t="s">
        <v>2740</v>
      </c>
      <c r="Q1234" s="28" t="s">
        <v>76</v>
      </c>
      <c r="R1234" s="29"/>
      <c r="S1234" s="31"/>
      <c r="T1234" s="31"/>
      <c r="U1234" s="28" t="s">
        <v>75</v>
      </c>
      <c r="V1234" s="28" t="s">
        <v>75</v>
      </c>
      <c r="W1234" s="31"/>
    </row>
    <row r="1235" spans="1:23">
      <c r="A1235" s="46" t="s">
        <v>572</v>
      </c>
      <c r="B1235" s="28" t="s">
        <v>1637</v>
      </c>
      <c r="C1235" s="28" t="s">
        <v>2589</v>
      </c>
      <c r="D1235" s="31" t="s">
        <v>1158</v>
      </c>
      <c r="E1235" s="31" t="s">
        <v>1198</v>
      </c>
      <c r="F1235" s="35" t="s">
        <v>1504</v>
      </c>
      <c r="G1235" s="35" t="s">
        <v>1479</v>
      </c>
      <c r="H1235" s="35" t="s">
        <v>990</v>
      </c>
      <c r="I1235" s="28" t="e">
        <f>VLOOKUP(E1235,표준용어사전!$C$2:$D$494, 2, FALSE)</f>
        <v>#N/A</v>
      </c>
      <c r="J1235" s="33" t="s">
        <v>78</v>
      </c>
      <c r="K1235" s="29" t="s">
        <v>991</v>
      </c>
      <c r="L1235" s="55" t="s">
        <v>571</v>
      </c>
      <c r="M1235" s="29" t="s">
        <v>769</v>
      </c>
      <c r="N1235" s="32" t="s">
        <v>973</v>
      </c>
      <c r="O1235" s="28" t="s">
        <v>573</v>
      </c>
      <c r="P1235" s="31"/>
      <c r="Q1235" s="28" t="s">
        <v>76</v>
      </c>
      <c r="R1235" s="29"/>
      <c r="S1235" s="31"/>
      <c r="T1235" s="31"/>
      <c r="U1235" s="28" t="s">
        <v>75</v>
      </c>
      <c r="V1235" s="28" t="s">
        <v>75</v>
      </c>
      <c r="W1235" s="31"/>
    </row>
    <row r="1236" spans="1:23">
      <c r="A1236" s="46" t="s">
        <v>572</v>
      </c>
      <c r="B1236" s="28" t="s">
        <v>1637</v>
      </c>
      <c r="C1236" s="28" t="s">
        <v>2589</v>
      </c>
      <c r="D1236" s="31" t="s">
        <v>1158</v>
      </c>
      <c r="E1236" s="31" t="s">
        <v>1199</v>
      </c>
      <c r="F1236" s="35" t="s">
        <v>1505</v>
      </c>
      <c r="G1236" s="35" t="s">
        <v>1480</v>
      </c>
      <c r="H1236" s="35" t="s">
        <v>990</v>
      </c>
      <c r="I1236" s="28" t="e">
        <f>VLOOKUP(E1236,표준용어사전!$C$2:$D$494, 2, FALSE)</f>
        <v>#N/A</v>
      </c>
      <c r="J1236" s="33" t="s">
        <v>78</v>
      </c>
      <c r="K1236" s="29" t="s">
        <v>982</v>
      </c>
      <c r="L1236" s="55" t="s">
        <v>571</v>
      </c>
      <c r="M1236" s="29" t="s">
        <v>983</v>
      </c>
      <c r="N1236" s="32" t="s">
        <v>75</v>
      </c>
      <c r="O1236" s="31"/>
      <c r="P1236" s="31"/>
      <c r="Q1236" s="28" t="s">
        <v>76</v>
      </c>
      <c r="R1236" s="29"/>
      <c r="S1236" s="31"/>
      <c r="T1236" s="31"/>
      <c r="U1236" s="28" t="s">
        <v>75</v>
      </c>
      <c r="V1236" s="28" t="s">
        <v>75</v>
      </c>
      <c r="W1236" s="31"/>
    </row>
    <row r="1237" spans="1:23">
      <c r="A1237" s="46" t="s">
        <v>572</v>
      </c>
      <c r="B1237" s="28" t="s">
        <v>1637</v>
      </c>
      <c r="C1237" s="28" t="s">
        <v>2589</v>
      </c>
      <c r="D1237" s="31" t="s">
        <v>1158</v>
      </c>
      <c r="E1237" s="31" t="s">
        <v>1200</v>
      </c>
      <c r="F1237" s="35" t="s">
        <v>1506</v>
      </c>
      <c r="G1237" s="35" t="s">
        <v>1481</v>
      </c>
      <c r="H1237" s="35" t="s">
        <v>990</v>
      </c>
      <c r="I1237" s="28" t="e">
        <f>VLOOKUP(E1237,표준용어사전!$C$2:$D$494, 2, FALSE)</f>
        <v>#N/A</v>
      </c>
      <c r="J1237" s="33" t="s">
        <v>78</v>
      </c>
      <c r="K1237" s="29" t="s">
        <v>984</v>
      </c>
      <c r="L1237" s="55" t="s">
        <v>571</v>
      </c>
      <c r="M1237" s="29" t="s">
        <v>715</v>
      </c>
      <c r="N1237" s="32" t="s">
        <v>75</v>
      </c>
      <c r="O1237" s="31"/>
      <c r="P1237" s="31"/>
      <c r="Q1237" s="28" t="s">
        <v>76</v>
      </c>
      <c r="R1237" s="29"/>
      <c r="S1237" s="31"/>
      <c r="T1237" s="31"/>
      <c r="U1237" s="28" t="s">
        <v>75</v>
      </c>
      <c r="V1237" s="28" t="s">
        <v>75</v>
      </c>
      <c r="W1237" s="31"/>
    </row>
    <row r="1238" spans="1:23">
      <c r="A1238" s="46" t="s">
        <v>572</v>
      </c>
      <c r="B1238" s="28" t="s">
        <v>1637</v>
      </c>
      <c r="C1238" s="28" t="s">
        <v>2589</v>
      </c>
      <c r="D1238" s="31" t="s">
        <v>1158</v>
      </c>
      <c r="E1238" s="31" t="s">
        <v>1194</v>
      </c>
      <c r="F1238" s="35" t="s">
        <v>1501</v>
      </c>
      <c r="G1238" s="31" t="s">
        <v>1714</v>
      </c>
      <c r="H1238" s="35" t="s">
        <v>990</v>
      </c>
      <c r="I1238" s="28" t="e">
        <f>VLOOKUP(E1238,표준용어사전!$C$2:$D$494, 2, FALSE)</f>
        <v>#N/A</v>
      </c>
      <c r="J1238" s="33" t="s">
        <v>570</v>
      </c>
      <c r="K1238" s="29" t="s">
        <v>985</v>
      </c>
      <c r="L1238" s="55" t="s">
        <v>571</v>
      </c>
      <c r="M1238" s="29" t="s">
        <v>722</v>
      </c>
      <c r="N1238" s="32" t="s">
        <v>75</v>
      </c>
      <c r="O1238" s="31"/>
      <c r="P1238" s="31"/>
      <c r="Q1238" s="28" t="s">
        <v>76</v>
      </c>
      <c r="R1238" s="29"/>
      <c r="S1238" s="31"/>
      <c r="T1238" s="28"/>
      <c r="U1238" s="28" t="s">
        <v>75</v>
      </c>
      <c r="V1238" s="28" t="s">
        <v>75</v>
      </c>
      <c r="W1238" s="31"/>
    </row>
    <row r="1239" spans="1:23">
      <c r="A1239" s="46" t="s">
        <v>572</v>
      </c>
      <c r="B1239" s="28" t="s">
        <v>1637</v>
      </c>
      <c r="C1239" s="28" t="s">
        <v>2589</v>
      </c>
      <c r="D1239" s="31" t="s">
        <v>1158</v>
      </c>
      <c r="E1239" s="31" t="s">
        <v>946</v>
      </c>
      <c r="F1239" s="35" t="s">
        <v>959</v>
      </c>
      <c r="G1239" s="28" t="s">
        <v>1451</v>
      </c>
      <c r="H1239" s="35" t="s">
        <v>990</v>
      </c>
      <c r="I1239" s="28" t="e">
        <f>VLOOKUP(E1239,표준용어사전!$C$2:$D$494, 2, FALSE)</f>
        <v>#N/A</v>
      </c>
      <c r="J1239" s="33" t="s">
        <v>16</v>
      </c>
      <c r="K1239" s="29" t="s">
        <v>927</v>
      </c>
      <c r="L1239" s="55" t="s">
        <v>571</v>
      </c>
      <c r="M1239" s="29" t="s">
        <v>726</v>
      </c>
      <c r="N1239" s="32" t="s">
        <v>75</v>
      </c>
      <c r="O1239" s="31"/>
      <c r="P1239" s="31"/>
      <c r="Q1239" s="28" t="s">
        <v>76</v>
      </c>
      <c r="R1239" s="29"/>
      <c r="S1239" s="31"/>
      <c r="T1239" s="28" t="s">
        <v>574</v>
      </c>
      <c r="U1239" s="28" t="s">
        <v>75</v>
      </c>
      <c r="V1239" s="28" t="s">
        <v>75</v>
      </c>
      <c r="W1239" s="31"/>
    </row>
    <row r="1240" spans="1:23">
      <c r="A1240" s="46" t="s">
        <v>572</v>
      </c>
      <c r="B1240" s="28" t="s">
        <v>1637</v>
      </c>
      <c r="C1240" s="28" t="s">
        <v>2589</v>
      </c>
      <c r="D1240" s="31" t="s">
        <v>1158</v>
      </c>
      <c r="E1240" s="31" t="s">
        <v>947</v>
      </c>
      <c r="F1240" s="35" t="s">
        <v>964</v>
      </c>
      <c r="G1240" s="35" t="s">
        <v>964</v>
      </c>
      <c r="H1240" s="35" t="s">
        <v>990</v>
      </c>
      <c r="I1240" s="28" t="e">
        <f>VLOOKUP(E1240,표준용어사전!$C$2:$D$494, 2, FALSE)</f>
        <v>#N/A</v>
      </c>
      <c r="J1240" s="33" t="s">
        <v>78</v>
      </c>
      <c r="K1240" s="29" t="s">
        <v>986</v>
      </c>
      <c r="L1240" s="55" t="s">
        <v>571</v>
      </c>
      <c r="M1240" s="29" t="s">
        <v>727</v>
      </c>
      <c r="N1240" s="32" t="s">
        <v>75</v>
      </c>
      <c r="O1240" s="31"/>
      <c r="P1240" s="31"/>
      <c r="Q1240" s="28" t="s">
        <v>76</v>
      </c>
      <c r="R1240" s="29"/>
      <c r="S1240" s="31"/>
      <c r="T1240" s="31"/>
      <c r="U1240" s="28" t="s">
        <v>75</v>
      </c>
      <c r="V1240" s="28" t="s">
        <v>75</v>
      </c>
      <c r="W1240" s="31"/>
    </row>
    <row r="1241" spans="1:23">
      <c r="A1241" s="46" t="s">
        <v>572</v>
      </c>
      <c r="B1241" s="28" t="s">
        <v>1637</v>
      </c>
      <c r="C1241" s="28" t="s">
        <v>2589</v>
      </c>
      <c r="D1241" s="31" t="s">
        <v>1158</v>
      </c>
      <c r="E1241" s="31" t="s">
        <v>948</v>
      </c>
      <c r="F1241" s="35" t="s">
        <v>960</v>
      </c>
      <c r="G1241" s="35" t="s">
        <v>1452</v>
      </c>
      <c r="H1241" s="35" t="s">
        <v>990</v>
      </c>
      <c r="I1241" s="28" t="e">
        <f>VLOOKUP(E1241,표준용어사전!$C$2:$D$494, 2, FALSE)</f>
        <v>#N/A</v>
      </c>
      <c r="J1241" s="33" t="s">
        <v>16</v>
      </c>
      <c r="K1241" s="29" t="s">
        <v>927</v>
      </c>
      <c r="L1241" s="55" t="s">
        <v>571</v>
      </c>
      <c r="M1241" s="29" t="s">
        <v>726</v>
      </c>
      <c r="N1241" s="32" t="s">
        <v>75</v>
      </c>
      <c r="O1241" s="31"/>
      <c r="P1241" s="31"/>
      <c r="Q1241" s="28" t="s">
        <v>76</v>
      </c>
      <c r="R1241" s="29"/>
      <c r="S1241" s="31"/>
      <c r="T1241" s="28" t="s">
        <v>574</v>
      </c>
      <c r="U1241" s="28" t="s">
        <v>75</v>
      </c>
      <c r="V1241" s="28" t="s">
        <v>75</v>
      </c>
      <c r="W1241" s="31"/>
    </row>
    <row r="1242" spans="1:23">
      <c r="A1242" s="46" t="s">
        <v>572</v>
      </c>
      <c r="B1242" s="28" t="s">
        <v>1637</v>
      </c>
      <c r="C1242" s="28" t="s">
        <v>2589</v>
      </c>
      <c r="D1242" s="31" t="s">
        <v>1158</v>
      </c>
      <c r="E1242" s="31" t="s">
        <v>949</v>
      </c>
      <c r="F1242" s="35" t="s">
        <v>965</v>
      </c>
      <c r="G1242" s="35" t="s">
        <v>965</v>
      </c>
      <c r="H1242" s="35" t="s">
        <v>990</v>
      </c>
      <c r="I1242" s="28" t="e">
        <f>VLOOKUP(E1242,표준용어사전!$C$2:$D$494, 2, FALSE)</f>
        <v>#N/A</v>
      </c>
      <c r="J1242" s="33" t="s">
        <v>78</v>
      </c>
      <c r="K1242" s="29" t="s">
        <v>986</v>
      </c>
      <c r="L1242" s="55" t="s">
        <v>571</v>
      </c>
      <c r="M1242" s="29" t="s">
        <v>727</v>
      </c>
      <c r="N1242" s="32" t="s">
        <v>75</v>
      </c>
      <c r="O1242" s="31"/>
      <c r="P1242" s="31"/>
      <c r="Q1242" s="28" t="s">
        <v>76</v>
      </c>
      <c r="R1242" s="29"/>
      <c r="S1242" s="31"/>
      <c r="T1242" s="31"/>
      <c r="U1242" s="28" t="s">
        <v>75</v>
      </c>
      <c r="V1242" s="28" t="s">
        <v>75</v>
      </c>
      <c r="W1242" s="31"/>
    </row>
    <row r="1243" spans="1:23">
      <c r="A1243" s="46" t="s">
        <v>572</v>
      </c>
      <c r="B1243" s="28" t="s">
        <v>1637</v>
      </c>
      <c r="C1243" s="28" t="s">
        <v>2589</v>
      </c>
      <c r="D1243" s="31" t="s">
        <v>1158</v>
      </c>
      <c r="E1243" s="31" t="s">
        <v>1201</v>
      </c>
      <c r="F1243" s="35" t="s">
        <v>1529</v>
      </c>
      <c r="G1243" s="35" t="s">
        <v>1482</v>
      </c>
      <c r="H1243" s="35" t="s">
        <v>990</v>
      </c>
      <c r="I1243" s="28" t="e">
        <f>VLOOKUP(E1243,표준용어사전!$C$2:$D$494, 2, FALSE)</f>
        <v>#N/A</v>
      </c>
      <c r="J1243" s="33" t="s">
        <v>78</v>
      </c>
      <c r="K1243" s="29" t="s">
        <v>992</v>
      </c>
      <c r="L1243" s="55" t="s">
        <v>571</v>
      </c>
      <c r="M1243" s="29" t="s">
        <v>928</v>
      </c>
      <c r="N1243" s="32" t="s">
        <v>75</v>
      </c>
      <c r="O1243" s="31"/>
      <c r="P1243" s="31"/>
      <c r="Q1243" s="28" t="s">
        <v>76</v>
      </c>
      <c r="R1243" s="29"/>
      <c r="S1243" s="31"/>
      <c r="T1243" s="31"/>
      <c r="U1243" s="28" t="s">
        <v>75</v>
      </c>
      <c r="V1243" s="28" t="s">
        <v>75</v>
      </c>
      <c r="W1243" s="31"/>
    </row>
    <row r="1244" spans="1:23">
      <c r="A1244" s="46" t="s">
        <v>572</v>
      </c>
      <c r="B1244" s="28" t="s">
        <v>1637</v>
      </c>
      <c r="C1244" s="28" t="s">
        <v>2589</v>
      </c>
      <c r="D1244" s="31" t="s">
        <v>1159</v>
      </c>
      <c r="E1244" s="31" t="s">
        <v>1202</v>
      </c>
      <c r="F1244" s="28" t="s">
        <v>993</v>
      </c>
      <c r="G1244" s="28" t="s">
        <v>993</v>
      </c>
      <c r="H1244" s="35" t="s">
        <v>994</v>
      </c>
      <c r="I1244" s="28" t="e">
        <f>VLOOKUP(E1244,표준용어사전!$C$2:$D$494, 2, FALSE)</f>
        <v>#N/A</v>
      </c>
      <c r="J1244" s="33" t="s">
        <v>78</v>
      </c>
      <c r="K1244" s="29" t="s">
        <v>986</v>
      </c>
      <c r="L1244" s="55" t="s">
        <v>571</v>
      </c>
      <c r="M1244" s="29" t="s">
        <v>727</v>
      </c>
      <c r="N1244" s="32" t="s">
        <v>973</v>
      </c>
      <c r="O1244" s="28" t="s">
        <v>641</v>
      </c>
      <c r="P1244" s="31"/>
      <c r="Q1244" s="28" t="s">
        <v>76</v>
      </c>
      <c r="R1244" s="29"/>
      <c r="S1244" s="31"/>
      <c r="T1244" s="31"/>
      <c r="U1244" s="28" t="s">
        <v>75</v>
      </c>
      <c r="V1244" s="28" t="s">
        <v>75</v>
      </c>
      <c r="W1244" s="31"/>
    </row>
    <row r="1245" spans="1:23">
      <c r="A1245" s="46" t="s">
        <v>572</v>
      </c>
      <c r="B1245" s="28" t="s">
        <v>1637</v>
      </c>
      <c r="C1245" s="28" t="s">
        <v>2589</v>
      </c>
      <c r="D1245" s="31" t="s">
        <v>1159</v>
      </c>
      <c r="E1245" s="31" t="s">
        <v>1203</v>
      </c>
      <c r="F1245" s="28" t="s">
        <v>995</v>
      </c>
      <c r="G1245" s="28" t="s">
        <v>995</v>
      </c>
      <c r="H1245" s="35" t="s">
        <v>994</v>
      </c>
      <c r="I1245" s="28" t="e">
        <f>VLOOKUP(E1245,표준용어사전!$C$2:$D$494, 2, FALSE)</f>
        <v>#N/A</v>
      </c>
      <c r="J1245" s="33" t="s">
        <v>63</v>
      </c>
      <c r="K1245" s="29" t="s">
        <v>996</v>
      </c>
      <c r="L1245" s="55" t="s">
        <v>571</v>
      </c>
      <c r="M1245" s="29">
        <v>9999999999</v>
      </c>
      <c r="N1245" s="32" t="s">
        <v>75</v>
      </c>
      <c r="O1245" s="32"/>
      <c r="P1245" s="31"/>
      <c r="Q1245" s="28" t="s">
        <v>76</v>
      </c>
      <c r="R1245" s="29"/>
      <c r="S1245" s="31"/>
      <c r="T1245" s="31"/>
      <c r="U1245" s="28" t="s">
        <v>75</v>
      </c>
      <c r="V1245" s="28" t="s">
        <v>75</v>
      </c>
      <c r="W1245" s="31"/>
    </row>
    <row r="1246" spans="1:23">
      <c r="A1246" s="46" t="s">
        <v>572</v>
      </c>
      <c r="B1246" s="28" t="s">
        <v>1637</v>
      </c>
      <c r="C1246" s="28" t="s">
        <v>2589</v>
      </c>
      <c r="D1246" s="31" t="s">
        <v>1160</v>
      </c>
      <c r="E1246" s="31" t="s">
        <v>1204</v>
      </c>
      <c r="F1246" s="35" t="s">
        <v>997</v>
      </c>
      <c r="G1246" s="35" t="s">
        <v>997</v>
      </c>
      <c r="H1246" s="35" t="s">
        <v>998</v>
      </c>
      <c r="I1246" s="28" t="e">
        <f>VLOOKUP(E1246,표준용어사전!$C$2:$D$494, 2, FALSE)</f>
        <v>#N/A</v>
      </c>
      <c r="J1246" s="33" t="s">
        <v>78</v>
      </c>
      <c r="K1246" s="29" t="s">
        <v>986</v>
      </c>
      <c r="L1246" s="55" t="s">
        <v>571</v>
      </c>
      <c r="M1246" s="29" t="s">
        <v>727</v>
      </c>
      <c r="N1246" s="32" t="s">
        <v>973</v>
      </c>
      <c r="O1246" s="28" t="s">
        <v>641</v>
      </c>
      <c r="P1246" s="31"/>
      <c r="Q1246" s="28" t="s">
        <v>76</v>
      </c>
      <c r="R1246" s="29"/>
      <c r="S1246" s="31"/>
      <c r="T1246" s="31"/>
      <c r="U1246" s="28" t="s">
        <v>75</v>
      </c>
      <c r="V1246" s="28" t="s">
        <v>75</v>
      </c>
      <c r="W1246" s="31"/>
    </row>
    <row r="1247" spans="1:23">
      <c r="A1247" s="46" t="s">
        <v>572</v>
      </c>
      <c r="B1247" s="28" t="s">
        <v>1637</v>
      </c>
      <c r="C1247" s="28" t="s">
        <v>2589</v>
      </c>
      <c r="D1247" s="31" t="s">
        <v>1160</v>
      </c>
      <c r="E1247" s="31" t="s">
        <v>1205</v>
      </c>
      <c r="F1247" s="35" t="s">
        <v>1433</v>
      </c>
      <c r="G1247" s="35" t="s">
        <v>999</v>
      </c>
      <c r="H1247" s="35" t="s">
        <v>998</v>
      </c>
      <c r="I1247" s="28" t="e">
        <f>VLOOKUP(E1247,표준용어사전!$C$2:$D$494, 2, FALSE)</f>
        <v>#N/A</v>
      </c>
      <c r="J1247" s="33" t="s">
        <v>1000</v>
      </c>
      <c r="K1247" s="29" t="s">
        <v>927</v>
      </c>
      <c r="L1247" s="55" t="s">
        <v>571</v>
      </c>
      <c r="M1247" s="29"/>
      <c r="N1247" s="32" t="s">
        <v>75</v>
      </c>
      <c r="O1247" s="31"/>
      <c r="P1247" s="31"/>
      <c r="Q1247" s="28" t="s">
        <v>76</v>
      </c>
      <c r="R1247" s="29"/>
      <c r="S1247" s="31"/>
      <c r="T1247" s="31"/>
      <c r="U1247" s="28" t="s">
        <v>75</v>
      </c>
      <c r="V1247" s="28" t="s">
        <v>75</v>
      </c>
      <c r="W1247" s="31"/>
    </row>
    <row r="1248" spans="1:23">
      <c r="A1248" s="46" t="s">
        <v>572</v>
      </c>
      <c r="B1248" s="28" t="s">
        <v>1637</v>
      </c>
      <c r="C1248" s="28" t="s">
        <v>2589</v>
      </c>
      <c r="D1248" s="31" t="s">
        <v>1160</v>
      </c>
      <c r="E1248" s="31" t="s">
        <v>1206</v>
      </c>
      <c r="F1248" s="35" t="s">
        <v>1001</v>
      </c>
      <c r="G1248" s="35" t="s">
        <v>1001</v>
      </c>
      <c r="H1248" s="35" t="s">
        <v>998</v>
      </c>
      <c r="I1248" s="28" t="e">
        <f>VLOOKUP(E1248,표준용어사전!$C$2:$D$494, 2, FALSE)</f>
        <v>#N/A</v>
      </c>
      <c r="J1248" s="33" t="s">
        <v>78</v>
      </c>
      <c r="K1248" s="29" t="s">
        <v>1002</v>
      </c>
      <c r="L1248" s="55" t="s">
        <v>571</v>
      </c>
      <c r="M1248" s="29" t="s">
        <v>720</v>
      </c>
      <c r="N1248" s="32" t="s">
        <v>973</v>
      </c>
      <c r="O1248" s="31"/>
      <c r="P1248" s="31"/>
      <c r="Q1248" s="28" t="s">
        <v>76</v>
      </c>
      <c r="R1248" s="29"/>
      <c r="S1248" s="31"/>
      <c r="T1248" s="31"/>
      <c r="U1248" s="28" t="s">
        <v>75</v>
      </c>
      <c r="V1248" s="28" t="s">
        <v>75</v>
      </c>
      <c r="W1248" s="31"/>
    </row>
    <row r="1249" spans="1:23">
      <c r="A1249" s="46" t="s">
        <v>572</v>
      </c>
      <c r="B1249" s="28" t="s">
        <v>1637</v>
      </c>
      <c r="C1249" s="28" t="s">
        <v>2589</v>
      </c>
      <c r="D1249" s="31" t="s">
        <v>1160</v>
      </c>
      <c r="E1249" s="31" t="s">
        <v>1207</v>
      </c>
      <c r="F1249" s="35" t="s">
        <v>1003</v>
      </c>
      <c r="G1249" s="35" t="s">
        <v>1003</v>
      </c>
      <c r="H1249" s="35" t="s">
        <v>998</v>
      </c>
      <c r="I1249" s="28" t="e">
        <f>VLOOKUP(E1249,표준용어사전!$C$2:$D$494, 2, FALSE)</f>
        <v>#N/A</v>
      </c>
      <c r="J1249" s="33" t="s">
        <v>78</v>
      </c>
      <c r="K1249" s="29" t="s">
        <v>1002</v>
      </c>
      <c r="L1249" s="55" t="s">
        <v>571</v>
      </c>
      <c r="M1249" s="29" t="s">
        <v>720</v>
      </c>
      <c r="N1249" s="32" t="s">
        <v>973</v>
      </c>
      <c r="O1249" s="31"/>
      <c r="P1249" s="31"/>
      <c r="Q1249" s="28" t="s">
        <v>76</v>
      </c>
      <c r="R1249" s="29"/>
      <c r="S1249" s="31"/>
      <c r="T1249" s="31"/>
      <c r="U1249" s="28" t="s">
        <v>75</v>
      </c>
      <c r="V1249" s="28" t="s">
        <v>75</v>
      </c>
      <c r="W1249" s="31"/>
    </row>
    <row r="1250" spans="1:23">
      <c r="A1250" s="46" t="s">
        <v>572</v>
      </c>
      <c r="B1250" s="28" t="s">
        <v>1637</v>
      </c>
      <c r="C1250" s="28" t="s">
        <v>2589</v>
      </c>
      <c r="D1250" s="31" t="s">
        <v>1160</v>
      </c>
      <c r="E1250" s="31" t="s">
        <v>1208</v>
      </c>
      <c r="F1250" s="35" t="s">
        <v>1004</v>
      </c>
      <c r="G1250" s="35" t="s">
        <v>1004</v>
      </c>
      <c r="H1250" s="35" t="s">
        <v>998</v>
      </c>
      <c r="I1250" s="28" t="e">
        <f>VLOOKUP(E1250,표준용어사전!$C$2:$D$494, 2, FALSE)</f>
        <v>#N/A</v>
      </c>
      <c r="J1250" s="33" t="s">
        <v>78</v>
      </c>
      <c r="K1250" s="29" t="s">
        <v>982</v>
      </c>
      <c r="L1250" s="55" t="s">
        <v>571</v>
      </c>
      <c r="M1250" s="29" t="s">
        <v>983</v>
      </c>
      <c r="N1250" s="32" t="s">
        <v>973</v>
      </c>
      <c r="O1250" s="31"/>
      <c r="P1250" s="31"/>
      <c r="Q1250" s="28" t="s">
        <v>76</v>
      </c>
      <c r="R1250" s="29"/>
      <c r="S1250" s="31"/>
      <c r="T1250" s="31"/>
      <c r="U1250" s="28" t="s">
        <v>75</v>
      </c>
      <c r="V1250" s="28" t="s">
        <v>75</v>
      </c>
      <c r="W1250" s="31"/>
    </row>
    <row r="1251" spans="1:23">
      <c r="A1251" s="46" t="s">
        <v>572</v>
      </c>
      <c r="B1251" s="28" t="s">
        <v>1637</v>
      </c>
      <c r="C1251" s="28" t="s">
        <v>2589</v>
      </c>
      <c r="D1251" s="31" t="s">
        <v>1160</v>
      </c>
      <c r="E1251" s="31" t="s">
        <v>1209</v>
      </c>
      <c r="F1251" s="35" t="s">
        <v>1507</v>
      </c>
      <c r="G1251" s="35" t="s">
        <v>1483</v>
      </c>
      <c r="H1251" s="35" t="s">
        <v>998</v>
      </c>
      <c r="I1251" s="28" t="e">
        <f>VLOOKUP(E1251,표준용어사전!$C$2:$D$494, 2, FALSE)</f>
        <v>#N/A</v>
      </c>
      <c r="J1251" s="33" t="s">
        <v>570</v>
      </c>
      <c r="K1251" s="29" t="s">
        <v>985</v>
      </c>
      <c r="L1251" s="55" t="s">
        <v>571</v>
      </c>
      <c r="M1251" s="29" t="s">
        <v>722</v>
      </c>
      <c r="N1251" s="32" t="s">
        <v>75</v>
      </c>
      <c r="O1251" s="31"/>
      <c r="P1251" s="31"/>
      <c r="Q1251" s="28" t="s">
        <v>76</v>
      </c>
      <c r="R1251" s="29"/>
      <c r="S1251" s="31"/>
      <c r="T1251" s="31"/>
      <c r="U1251" s="28" t="s">
        <v>75</v>
      </c>
      <c r="V1251" s="28" t="s">
        <v>75</v>
      </c>
      <c r="W1251" s="31"/>
    </row>
    <row r="1252" spans="1:23">
      <c r="A1252" s="46" t="s">
        <v>572</v>
      </c>
      <c r="B1252" s="28" t="s">
        <v>1637</v>
      </c>
      <c r="C1252" s="28" t="s">
        <v>2589</v>
      </c>
      <c r="D1252" s="31" t="s">
        <v>1160</v>
      </c>
      <c r="E1252" s="31" t="s">
        <v>1210</v>
      </c>
      <c r="F1252" s="35" t="s">
        <v>1413</v>
      </c>
      <c r="G1252" s="35" t="s">
        <v>1005</v>
      </c>
      <c r="H1252" s="35" t="s">
        <v>998</v>
      </c>
      <c r="I1252" s="28" t="e">
        <f>VLOOKUP(E1252,표준용어사전!$C$2:$D$494, 2, FALSE)</f>
        <v>#N/A</v>
      </c>
      <c r="J1252" s="33" t="s">
        <v>570</v>
      </c>
      <c r="K1252" s="29" t="s">
        <v>986</v>
      </c>
      <c r="L1252" s="55" t="s">
        <v>571</v>
      </c>
      <c r="M1252" s="29" t="s">
        <v>961</v>
      </c>
      <c r="N1252" s="32" t="s">
        <v>75</v>
      </c>
      <c r="O1252" s="31"/>
      <c r="P1252" s="31" t="s">
        <v>2741</v>
      </c>
      <c r="Q1252" s="28" t="s">
        <v>76</v>
      </c>
      <c r="R1252" s="29"/>
      <c r="S1252" s="31"/>
      <c r="T1252" s="31"/>
      <c r="U1252" s="28" t="s">
        <v>75</v>
      </c>
      <c r="V1252" s="28" t="s">
        <v>75</v>
      </c>
      <c r="W1252" s="31"/>
    </row>
    <row r="1253" spans="1:23">
      <c r="A1253" s="46" t="s">
        <v>572</v>
      </c>
      <c r="B1253" s="28" t="s">
        <v>1637</v>
      </c>
      <c r="C1253" s="28" t="s">
        <v>2589</v>
      </c>
      <c r="D1253" s="31" t="s">
        <v>1160</v>
      </c>
      <c r="E1253" s="31" t="s">
        <v>1211</v>
      </c>
      <c r="F1253" s="35" t="s">
        <v>1438</v>
      </c>
      <c r="G1253" s="35" t="s">
        <v>1006</v>
      </c>
      <c r="H1253" s="35" t="s">
        <v>998</v>
      </c>
      <c r="I1253" s="28" t="e">
        <f>VLOOKUP(E1253,표준용어사전!$C$2:$D$494, 2, FALSE)</f>
        <v>#N/A</v>
      </c>
      <c r="J1253" s="33" t="s">
        <v>719</v>
      </c>
      <c r="K1253" s="29" t="s">
        <v>927</v>
      </c>
      <c r="L1253" s="55" t="s">
        <v>571</v>
      </c>
      <c r="M1253" s="29" t="s">
        <v>726</v>
      </c>
      <c r="N1253" s="32" t="s">
        <v>75</v>
      </c>
      <c r="O1253" s="31"/>
      <c r="P1253" s="31"/>
      <c r="Q1253" s="28" t="s">
        <v>76</v>
      </c>
      <c r="R1253" s="29"/>
      <c r="S1253" s="31"/>
      <c r="T1253" s="28" t="s">
        <v>574</v>
      </c>
      <c r="U1253" s="28" t="s">
        <v>75</v>
      </c>
      <c r="V1253" s="28" t="s">
        <v>75</v>
      </c>
      <c r="W1253" s="31"/>
    </row>
    <row r="1254" spans="1:23">
      <c r="A1254" s="46" t="s">
        <v>572</v>
      </c>
      <c r="B1254" s="28" t="s">
        <v>1637</v>
      </c>
      <c r="C1254" s="28" t="s">
        <v>2589</v>
      </c>
      <c r="D1254" s="31" t="s">
        <v>1161</v>
      </c>
      <c r="E1254" s="31" t="s">
        <v>1212</v>
      </c>
      <c r="F1254" s="28" t="s">
        <v>1434</v>
      </c>
      <c r="G1254" s="28" t="s">
        <v>1434</v>
      </c>
      <c r="H1254" s="35" t="s">
        <v>1007</v>
      </c>
      <c r="I1254" s="28" t="e">
        <f>VLOOKUP(E1254,표준용어사전!$C$2:$D$494, 2, FALSE)</f>
        <v>#N/A</v>
      </c>
      <c r="J1254" s="33" t="s">
        <v>78</v>
      </c>
      <c r="K1254" s="29" t="s">
        <v>986</v>
      </c>
      <c r="L1254" s="55" t="s">
        <v>571</v>
      </c>
      <c r="M1254" s="29" t="s">
        <v>727</v>
      </c>
      <c r="N1254" s="32" t="s">
        <v>973</v>
      </c>
      <c r="O1254" s="28"/>
      <c r="P1254" s="31" t="s">
        <v>2742</v>
      </c>
      <c r="Q1254" s="28" t="s">
        <v>76</v>
      </c>
      <c r="R1254" s="29"/>
      <c r="S1254" s="31"/>
      <c r="T1254" s="31"/>
      <c r="U1254" s="28" t="s">
        <v>75</v>
      </c>
      <c r="V1254" s="28" t="s">
        <v>75</v>
      </c>
      <c r="W1254" s="31"/>
    </row>
    <row r="1255" spans="1:23">
      <c r="A1255" s="46" t="s">
        <v>572</v>
      </c>
      <c r="B1255" s="28" t="s">
        <v>1637</v>
      </c>
      <c r="C1255" s="28" t="s">
        <v>2589</v>
      </c>
      <c r="D1255" s="31" t="s">
        <v>1161</v>
      </c>
      <c r="E1255" s="31" t="s">
        <v>1213</v>
      </c>
      <c r="F1255" s="28" t="s">
        <v>1008</v>
      </c>
      <c r="G1255" s="28" t="s">
        <v>1008</v>
      </c>
      <c r="H1255" s="35" t="s">
        <v>1007</v>
      </c>
      <c r="I1255" s="28" t="e">
        <f>VLOOKUP(E1255,표준용어사전!$C$2:$D$494, 2, FALSE)</f>
        <v>#N/A</v>
      </c>
      <c r="J1255" s="33" t="s">
        <v>78</v>
      </c>
      <c r="K1255" s="29" t="s">
        <v>986</v>
      </c>
      <c r="L1255" s="55" t="s">
        <v>571</v>
      </c>
      <c r="M1255" s="29" t="s">
        <v>727</v>
      </c>
      <c r="N1255" s="32" t="s">
        <v>75</v>
      </c>
      <c r="O1255" s="31"/>
      <c r="P1255" s="31"/>
      <c r="Q1255" s="28" t="s">
        <v>76</v>
      </c>
      <c r="R1255" s="29"/>
      <c r="S1255" s="31"/>
      <c r="T1255" s="31"/>
      <c r="U1255" s="28" t="s">
        <v>75</v>
      </c>
      <c r="V1255" s="28" t="s">
        <v>75</v>
      </c>
      <c r="W1255" s="31"/>
    </row>
    <row r="1256" spans="1:23">
      <c r="A1256" s="46" t="s">
        <v>572</v>
      </c>
      <c r="B1256" s="28" t="s">
        <v>1637</v>
      </c>
      <c r="C1256" s="28" t="s">
        <v>2589</v>
      </c>
      <c r="D1256" s="31" t="s">
        <v>1161</v>
      </c>
      <c r="E1256" s="31" t="s">
        <v>1214</v>
      </c>
      <c r="F1256" s="28" t="s">
        <v>1508</v>
      </c>
      <c r="G1256" s="28" t="s">
        <v>1484</v>
      </c>
      <c r="H1256" s="35" t="s">
        <v>1007</v>
      </c>
      <c r="I1256" s="28" t="e">
        <f>VLOOKUP(E1256,표준용어사전!$C$2:$D$494, 2, FALSE)</f>
        <v>#N/A</v>
      </c>
      <c r="J1256" s="33" t="s">
        <v>709</v>
      </c>
      <c r="K1256" s="29" t="s">
        <v>985</v>
      </c>
      <c r="L1256" s="55" t="s">
        <v>571</v>
      </c>
      <c r="M1256" s="29" t="s">
        <v>722</v>
      </c>
      <c r="N1256" s="32" t="s">
        <v>75</v>
      </c>
      <c r="O1256" s="31"/>
      <c r="P1256" s="31"/>
      <c r="Q1256" s="28" t="s">
        <v>76</v>
      </c>
      <c r="R1256" s="29"/>
      <c r="S1256" s="31"/>
      <c r="T1256" s="31"/>
      <c r="U1256" s="28" t="s">
        <v>75</v>
      </c>
      <c r="V1256" s="28" t="s">
        <v>75</v>
      </c>
      <c r="W1256" s="31"/>
    </row>
    <row r="1257" spans="1:23">
      <c r="A1257" s="46" t="s">
        <v>572</v>
      </c>
      <c r="B1257" s="28" t="s">
        <v>1637</v>
      </c>
      <c r="C1257" s="28" t="s">
        <v>2589</v>
      </c>
      <c r="D1257" s="31" t="s">
        <v>1161</v>
      </c>
      <c r="E1257" s="31" t="s">
        <v>1348</v>
      </c>
      <c r="F1257" s="28" t="s">
        <v>1347</v>
      </c>
      <c r="G1257" s="28" t="s">
        <v>1347</v>
      </c>
      <c r="H1257" s="35" t="s">
        <v>1007</v>
      </c>
      <c r="I1257" s="28" t="e">
        <f>VLOOKUP(E1257,표준용어사전!$C$2:$D$494, 2, FALSE)</f>
        <v>#N/A</v>
      </c>
      <c r="J1257" s="33" t="s">
        <v>709</v>
      </c>
      <c r="K1257" s="29">
        <v>20</v>
      </c>
      <c r="L1257" s="55" t="s">
        <v>571</v>
      </c>
      <c r="M1257" s="29" t="s">
        <v>961</v>
      </c>
      <c r="N1257" s="32" t="s">
        <v>75</v>
      </c>
      <c r="O1257" s="31"/>
      <c r="P1257" s="31"/>
      <c r="Q1257" s="28" t="s">
        <v>76</v>
      </c>
      <c r="R1257" s="29"/>
      <c r="S1257" s="31"/>
      <c r="T1257" s="31"/>
      <c r="U1257" s="28" t="s">
        <v>75</v>
      </c>
      <c r="V1257" s="28" t="s">
        <v>75</v>
      </c>
      <c r="W1257" s="31"/>
    </row>
    <row r="1258" spans="1:23">
      <c r="A1258" s="46" t="s">
        <v>572</v>
      </c>
      <c r="B1258" s="28" t="s">
        <v>1637</v>
      </c>
      <c r="C1258" s="28" t="s">
        <v>2589</v>
      </c>
      <c r="D1258" s="31" t="s">
        <v>1161</v>
      </c>
      <c r="E1258" s="31" t="s">
        <v>1216</v>
      </c>
      <c r="F1258" s="28" t="s">
        <v>1010</v>
      </c>
      <c r="G1258" s="28" t="s">
        <v>1010</v>
      </c>
      <c r="H1258" s="35" t="s">
        <v>1007</v>
      </c>
      <c r="I1258" s="28" t="e">
        <f>VLOOKUP(E1258,표준용어사전!$C$2:$D$494, 2, FALSE)</f>
        <v>#N/A</v>
      </c>
      <c r="J1258" s="33" t="s">
        <v>78</v>
      </c>
      <c r="K1258" s="29" t="s">
        <v>986</v>
      </c>
      <c r="L1258" s="55" t="s">
        <v>571</v>
      </c>
      <c r="M1258" s="29" t="s">
        <v>727</v>
      </c>
      <c r="N1258" s="32" t="s">
        <v>75</v>
      </c>
      <c r="O1258" s="31"/>
      <c r="P1258" s="31"/>
      <c r="Q1258" s="28" t="s">
        <v>76</v>
      </c>
      <c r="R1258" s="29"/>
      <c r="S1258" s="31"/>
      <c r="T1258" s="31"/>
      <c r="U1258" s="28" t="s">
        <v>75</v>
      </c>
      <c r="V1258" s="28" t="s">
        <v>75</v>
      </c>
      <c r="W1258" s="31"/>
    </row>
    <row r="1259" spans="1:23">
      <c r="A1259" s="46" t="s">
        <v>572</v>
      </c>
      <c r="B1259" s="28" t="s">
        <v>1637</v>
      </c>
      <c r="C1259" s="28" t="s">
        <v>2589</v>
      </c>
      <c r="D1259" s="31" t="s">
        <v>1161</v>
      </c>
      <c r="E1259" s="31" t="s">
        <v>1217</v>
      </c>
      <c r="F1259" s="28" t="s">
        <v>1011</v>
      </c>
      <c r="G1259" s="28" t="s">
        <v>1011</v>
      </c>
      <c r="H1259" s="35" t="s">
        <v>1007</v>
      </c>
      <c r="I1259" s="28" t="e">
        <f>VLOOKUP(E1259,표준용어사전!$C$2:$D$494, 2, FALSE)</f>
        <v>#N/A</v>
      </c>
      <c r="J1259" s="33" t="s">
        <v>78</v>
      </c>
      <c r="K1259" s="29" t="s">
        <v>1002</v>
      </c>
      <c r="L1259" s="55" t="s">
        <v>571</v>
      </c>
      <c r="M1259" s="29" t="s">
        <v>720</v>
      </c>
      <c r="N1259" s="32" t="s">
        <v>75</v>
      </c>
      <c r="O1259" s="31"/>
      <c r="P1259" s="31"/>
      <c r="Q1259" s="28" t="s">
        <v>76</v>
      </c>
      <c r="R1259" s="29"/>
      <c r="S1259" s="31"/>
      <c r="T1259" s="31"/>
      <c r="U1259" s="28" t="s">
        <v>75</v>
      </c>
      <c r="V1259" s="28" t="s">
        <v>75</v>
      </c>
      <c r="W1259" s="31"/>
    </row>
    <row r="1260" spans="1:23">
      <c r="A1260" s="46" t="s">
        <v>572</v>
      </c>
      <c r="B1260" s="28" t="s">
        <v>1637</v>
      </c>
      <c r="C1260" s="28" t="s">
        <v>2589</v>
      </c>
      <c r="D1260" s="31" t="s">
        <v>1161</v>
      </c>
      <c r="E1260" s="31" t="s">
        <v>1218</v>
      </c>
      <c r="F1260" s="28" t="s">
        <v>1012</v>
      </c>
      <c r="G1260" s="28" t="s">
        <v>1012</v>
      </c>
      <c r="H1260" s="35" t="s">
        <v>1007</v>
      </c>
      <c r="I1260" s="28" t="str">
        <f>VLOOKUP(E1260,표준용어사전!$C$2:$D$494, 2, FALSE)</f>
        <v>명V20</v>
      </c>
      <c r="J1260" s="33" t="s">
        <v>570</v>
      </c>
      <c r="K1260" s="29" t="s">
        <v>986</v>
      </c>
      <c r="L1260" s="55" t="s">
        <v>571</v>
      </c>
      <c r="M1260" s="29" t="s">
        <v>961</v>
      </c>
      <c r="N1260" s="32" t="s">
        <v>75</v>
      </c>
      <c r="O1260" s="31"/>
      <c r="P1260" s="31"/>
      <c r="Q1260" s="28" t="s">
        <v>76</v>
      </c>
      <c r="R1260" s="29"/>
      <c r="S1260" s="31"/>
      <c r="T1260" s="31"/>
      <c r="U1260" s="28" t="s">
        <v>75</v>
      </c>
      <c r="V1260" s="28" t="s">
        <v>75</v>
      </c>
      <c r="W1260" s="31"/>
    </row>
    <row r="1261" spans="1:23">
      <c r="A1261" s="46" t="s">
        <v>572</v>
      </c>
      <c r="B1261" s="28" t="s">
        <v>1637</v>
      </c>
      <c r="C1261" s="28" t="s">
        <v>2589</v>
      </c>
      <c r="D1261" s="31" t="s">
        <v>1161</v>
      </c>
      <c r="E1261" s="31" t="s">
        <v>1219</v>
      </c>
      <c r="F1261" s="28" t="s">
        <v>1013</v>
      </c>
      <c r="G1261" s="28" t="s">
        <v>1013</v>
      </c>
      <c r="H1261" s="35" t="s">
        <v>1007</v>
      </c>
      <c r="I1261" s="28" t="e">
        <f>VLOOKUP(E1261,표준용어사전!$C$2:$D$494, 2, FALSE)</f>
        <v>#N/A</v>
      </c>
      <c r="J1261" s="33" t="s">
        <v>570</v>
      </c>
      <c r="K1261" s="29" t="s">
        <v>986</v>
      </c>
      <c r="L1261" s="55" t="s">
        <v>571</v>
      </c>
      <c r="M1261" s="29" t="s">
        <v>961</v>
      </c>
      <c r="N1261" s="32" t="s">
        <v>75</v>
      </c>
      <c r="O1261" s="31"/>
      <c r="P1261" s="31"/>
      <c r="Q1261" s="28" t="s">
        <v>76</v>
      </c>
      <c r="R1261" s="29"/>
      <c r="S1261" s="31"/>
      <c r="T1261" s="31"/>
      <c r="U1261" s="28" t="s">
        <v>75</v>
      </c>
      <c r="V1261" s="28" t="s">
        <v>75</v>
      </c>
      <c r="W1261" s="31"/>
    </row>
    <row r="1262" spans="1:23">
      <c r="A1262" s="46" t="s">
        <v>572</v>
      </c>
      <c r="B1262" s="28" t="s">
        <v>1637</v>
      </c>
      <c r="C1262" s="28" t="s">
        <v>2589</v>
      </c>
      <c r="D1262" s="31" t="s">
        <v>1161</v>
      </c>
      <c r="E1262" s="31" t="s">
        <v>1220</v>
      </c>
      <c r="F1262" s="28" t="s">
        <v>1530</v>
      </c>
      <c r="G1262" s="28" t="s">
        <v>1485</v>
      </c>
      <c r="H1262" s="35" t="s">
        <v>1007</v>
      </c>
      <c r="I1262" s="28" t="e">
        <f>VLOOKUP(E1262,표준용어사전!$C$2:$D$494, 2, FALSE)</f>
        <v>#N/A</v>
      </c>
      <c r="J1262" s="33" t="s">
        <v>570</v>
      </c>
      <c r="K1262" s="29" t="s">
        <v>985</v>
      </c>
      <c r="L1262" s="55" t="s">
        <v>571</v>
      </c>
      <c r="M1262" s="29" t="s">
        <v>722</v>
      </c>
      <c r="N1262" s="32" t="s">
        <v>75</v>
      </c>
      <c r="O1262" s="31"/>
      <c r="P1262" s="31"/>
      <c r="Q1262" s="28" t="s">
        <v>76</v>
      </c>
      <c r="R1262" s="29"/>
      <c r="S1262" s="31"/>
      <c r="T1262" s="31"/>
      <c r="U1262" s="28" t="s">
        <v>75</v>
      </c>
      <c r="V1262" s="28" t="s">
        <v>75</v>
      </c>
      <c r="W1262" s="31"/>
    </row>
    <row r="1263" spans="1:23">
      <c r="A1263" s="46" t="s">
        <v>572</v>
      </c>
      <c r="B1263" s="28" t="s">
        <v>1637</v>
      </c>
      <c r="C1263" s="28" t="s">
        <v>2589</v>
      </c>
      <c r="D1263" s="31" t="s">
        <v>1161</v>
      </c>
      <c r="E1263" s="31" t="s">
        <v>1221</v>
      </c>
      <c r="F1263" s="31" t="s">
        <v>1707</v>
      </c>
      <c r="G1263" s="31" t="s">
        <v>1707</v>
      </c>
      <c r="H1263" s="35" t="s">
        <v>1007</v>
      </c>
      <c r="I1263" s="28" t="str">
        <f>VLOOKUP(E1263,표준용어사전!$C$2:$D$494, 2, FALSE)</f>
        <v>명V20</v>
      </c>
      <c r="J1263" s="33" t="s">
        <v>570</v>
      </c>
      <c r="K1263" s="29" t="s">
        <v>986</v>
      </c>
      <c r="L1263" s="55" t="s">
        <v>571</v>
      </c>
      <c r="M1263" s="29" t="s">
        <v>961</v>
      </c>
      <c r="N1263" s="32" t="s">
        <v>973</v>
      </c>
      <c r="O1263" s="31" t="s">
        <v>641</v>
      </c>
      <c r="P1263" s="31"/>
      <c r="Q1263" s="28" t="s">
        <v>76</v>
      </c>
      <c r="R1263" s="29"/>
      <c r="S1263" s="31"/>
      <c r="T1263" s="31"/>
      <c r="U1263" s="28" t="s">
        <v>75</v>
      </c>
      <c r="V1263" s="28" t="s">
        <v>75</v>
      </c>
      <c r="W1263" s="31"/>
    </row>
    <row r="1264" spans="1:23">
      <c r="A1264" s="46" t="s">
        <v>572</v>
      </c>
      <c r="B1264" s="28" t="s">
        <v>1637</v>
      </c>
      <c r="C1264" s="28" t="s">
        <v>2589</v>
      </c>
      <c r="D1264" s="31" t="s">
        <v>1161</v>
      </c>
      <c r="E1264" s="31" t="s">
        <v>1222</v>
      </c>
      <c r="F1264" s="28" t="s">
        <v>1016</v>
      </c>
      <c r="G1264" s="28" t="s">
        <v>1016</v>
      </c>
      <c r="H1264" s="35" t="s">
        <v>1007</v>
      </c>
      <c r="I1264" s="28" t="e">
        <f>VLOOKUP(E1264,표준용어사전!$C$2:$D$494, 2, FALSE)</f>
        <v>#N/A</v>
      </c>
      <c r="J1264" s="33" t="s">
        <v>570</v>
      </c>
      <c r="K1264" s="29" t="s">
        <v>986</v>
      </c>
      <c r="L1264" s="55" t="s">
        <v>571</v>
      </c>
      <c r="M1264" s="29" t="s">
        <v>961</v>
      </c>
      <c r="N1264" s="32" t="s">
        <v>973</v>
      </c>
      <c r="O1264" s="31" t="s">
        <v>573</v>
      </c>
      <c r="P1264" s="31"/>
      <c r="Q1264" s="28" t="s">
        <v>76</v>
      </c>
      <c r="R1264" s="29"/>
      <c r="S1264" s="31"/>
      <c r="T1264" s="31"/>
      <c r="U1264" s="28" t="s">
        <v>75</v>
      </c>
      <c r="V1264" s="28" t="s">
        <v>75</v>
      </c>
      <c r="W1264" s="31"/>
    </row>
    <row r="1265" spans="1:23">
      <c r="A1265" s="46" t="s">
        <v>572</v>
      </c>
      <c r="B1265" s="28" t="s">
        <v>1637</v>
      </c>
      <c r="C1265" s="28" t="s">
        <v>2589</v>
      </c>
      <c r="D1265" s="31" t="s">
        <v>1162</v>
      </c>
      <c r="E1265" s="31" t="s">
        <v>1450</v>
      </c>
      <c r="F1265" s="35" t="s">
        <v>1052</v>
      </c>
      <c r="G1265" s="35" t="s">
        <v>1052</v>
      </c>
      <c r="H1265" s="35" t="s">
        <v>1017</v>
      </c>
      <c r="I1265" s="28" t="e">
        <f>VLOOKUP(E1265,표준용어사전!$C$2:$D$494, 2, FALSE)</f>
        <v>#N/A</v>
      </c>
      <c r="J1265" s="33" t="s">
        <v>78</v>
      </c>
      <c r="K1265" s="29" t="s">
        <v>986</v>
      </c>
      <c r="L1265" s="55" t="s">
        <v>571</v>
      </c>
      <c r="M1265" s="29" t="s">
        <v>727</v>
      </c>
      <c r="N1265" s="32" t="s">
        <v>75</v>
      </c>
      <c r="O1265" s="31" t="s">
        <v>2719</v>
      </c>
      <c r="P1265" s="31"/>
      <c r="Q1265" s="28" t="s">
        <v>76</v>
      </c>
      <c r="R1265" s="29"/>
      <c r="S1265" s="31"/>
      <c r="T1265" s="31"/>
      <c r="U1265" s="28" t="s">
        <v>75</v>
      </c>
      <c r="V1265" s="28" t="s">
        <v>75</v>
      </c>
      <c r="W1265" s="31"/>
    </row>
    <row r="1266" spans="1:23">
      <c r="A1266" s="46" t="s">
        <v>572</v>
      </c>
      <c r="B1266" s="28" t="s">
        <v>1637</v>
      </c>
      <c r="C1266" s="28" t="s">
        <v>2589</v>
      </c>
      <c r="D1266" s="31" t="s">
        <v>1162</v>
      </c>
      <c r="E1266" s="31" t="s">
        <v>1224</v>
      </c>
      <c r="F1266" s="28" t="s">
        <v>1509</v>
      </c>
      <c r="G1266" s="28" t="s">
        <v>1486</v>
      </c>
      <c r="H1266" s="35" t="s">
        <v>1017</v>
      </c>
      <c r="I1266" s="28" t="e">
        <f>VLOOKUP(E1266,표준용어사전!$C$2:$D$494, 2, FALSE)</f>
        <v>#N/A</v>
      </c>
      <c r="J1266" s="33" t="s">
        <v>78</v>
      </c>
      <c r="K1266" s="29" t="s">
        <v>996</v>
      </c>
      <c r="L1266" s="55" t="s">
        <v>571</v>
      </c>
      <c r="M1266" s="29" t="s">
        <v>1018</v>
      </c>
      <c r="N1266" s="32" t="s">
        <v>2718</v>
      </c>
      <c r="O1266" s="31"/>
      <c r="P1266" s="31"/>
      <c r="Q1266" s="28" t="s">
        <v>76</v>
      </c>
      <c r="R1266" s="29"/>
      <c r="S1266" s="31"/>
      <c r="T1266" s="31"/>
      <c r="U1266" s="28" t="s">
        <v>75</v>
      </c>
      <c r="V1266" s="28" t="s">
        <v>75</v>
      </c>
      <c r="W1266" s="31"/>
    </row>
    <row r="1267" spans="1:23">
      <c r="A1267" s="46" t="s">
        <v>572</v>
      </c>
      <c r="B1267" s="28" t="s">
        <v>1637</v>
      </c>
      <c r="C1267" s="28" t="s">
        <v>2589</v>
      </c>
      <c r="D1267" s="31" t="s">
        <v>1162</v>
      </c>
      <c r="E1267" s="31" t="s">
        <v>1221</v>
      </c>
      <c r="F1267" s="31" t="s">
        <v>1707</v>
      </c>
      <c r="G1267" s="31" t="s">
        <v>1707</v>
      </c>
      <c r="H1267" s="35" t="s">
        <v>1017</v>
      </c>
      <c r="I1267" s="28" t="str">
        <f>VLOOKUP(E1267,표준용어사전!$C$2:$D$494, 2, FALSE)</f>
        <v>명V20</v>
      </c>
      <c r="J1267" s="33" t="s">
        <v>570</v>
      </c>
      <c r="K1267" s="29" t="s">
        <v>986</v>
      </c>
      <c r="L1267" s="55" t="s">
        <v>571</v>
      </c>
      <c r="M1267" s="29" t="s">
        <v>961</v>
      </c>
      <c r="N1267" s="32" t="s">
        <v>75</v>
      </c>
      <c r="O1267" s="31"/>
      <c r="P1267" s="31"/>
      <c r="Q1267" s="28" t="s">
        <v>76</v>
      </c>
      <c r="R1267" s="29"/>
      <c r="S1267" s="31"/>
      <c r="T1267" s="31"/>
      <c r="U1267" s="28" t="s">
        <v>75</v>
      </c>
      <c r="V1267" s="28" t="s">
        <v>75</v>
      </c>
      <c r="W1267" s="31"/>
    </row>
    <row r="1268" spans="1:23">
      <c r="A1268" s="46" t="s">
        <v>572</v>
      </c>
      <c r="B1268" s="28" t="s">
        <v>1637</v>
      </c>
      <c r="C1268" s="28" t="s">
        <v>2589</v>
      </c>
      <c r="D1268" s="31" t="s">
        <v>1162</v>
      </c>
      <c r="E1268" s="31" t="s">
        <v>1225</v>
      </c>
      <c r="F1268" s="35" t="s">
        <v>1019</v>
      </c>
      <c r="G1268" s="35" t="s">
        <v>1019</v>
      </c>
      <c r="H1268" s="35" t="s">
        <v>1017</v>
      </c>
      <c r="I1268" s="28" t="e">
        <f>VLOOKUP(E1268,표준용어사전!$C$2:$D$494, 2, FALSE)</f>
        <v>#N/A</v>
      </c>
      <c r="J1268" s="33" t="s">
        <v>16</v>
      </c>
      <c r="K1268" s="29" t="s">
        <v>927</v>
      </c>
      <c r="L1268" s="55" t="s">
        <v>571</v>
      </c>
      <c r="M1268" s="29" t="s">
        <v>726</v>
      </c>
      <c r="N1268" s="32" t="s">
        <v>973</v>
      </c>
      <c r="O1268" s="31"/>
      <c r="P1268" s="31"/>
      <c r="Q1268" s="28" t="s">
        <v>76</v>
      </c>
      <c r="R1268" s="29"/>
      <c r="S1268" s="31"/>
      <c r="T1268" s="28" t="s">
        <v>1020</v>
      </c>
      <c r="U1268" s="28" t="s">
        <v>75</v>
      </c>
      <c r="V1268" s="28" t="s">
        <v>75</v>
      </c>
      <c r="W1268" s="31"/>
    </row>
    <row r="1269" spans="1:23">
      <c r="A1269" s="46" t="s">
        <v>572</v>
      </c>
      <c r="B1269" s="28" t="s">
        <v>1637</v>
      </c>
      <c r="C1269" s="28" t="s">
        <v>2589</v>
      </c>
      <c r="D1269" s="31" t="s">
        <v>1162</v>
      </c>
      <c r="E1269" s="31" t="s">
        <v>1226</v>
      </c>
      <c r="F1269" s="35" t="s">
        <v>1536</v>
      </c>
      <c r="G1269" s="35" t="s">
        <v>1021</v>
      </c>
      <c r="H1269" s="35" t="s">
        <v>1017</v>
      </c>
      <c r="I1269" s="28" t="e">
        <f>VLOOKUP(E1269,표준용어사전!$C$2:$D$494, 2, FALSE)</f>
        <v>#N/A</v>
      </c>
      <c r="J1269" s="33" t="s">
        <v>570</v>
      </c>
      <c r="K1269" s="29" t="s">
        <v>985</v>
      </c>
      <c r="L1269" s="55" t="s">
        <v>571</v>
      </c>
      <c r="M1269" s="29" t="s">
        <v>722</v>
      </c>
      <c r="N1269" s="32" t="s">
        <v>75</v>
      </c>
      <c r="O1269" s="31"/>
      <c r="P1269" s="31"/>
      <c r="Q1269" s="28" t="s">
        <v>76</v>
      </c>
      <c r="R1269" s="29"/>
      <c r="S1269" s="31"/>
      <c r="T1269" s="31"/>
      <c r="U1269" s="28" t="s">
        <v>75</v>
      </c>
      <c r="V1269" s="28" t="s">
        <v>75</v>
      </c>
      <c r="W1269" s="31"/>
    </row>
    <row r="1270" spans="1:23">
      <c r="A1270" s="46" t="s">
        <v>572</v>
      </c>
      <c r="B1270" s="28" t="s">
        <v>1637</v>
      </c>
      <c r="C1270" s="28" t="s">
        <v>2589</v>
      </c>
      <c r="D1270" s="31" t="s">
        <v>1163</v>
      </c>
      <c r="E1270" s="31" t="s">
        <v>1218</v>
      </c>
      <c r="F1270" s="28" t="s">
        <v>1012</v>
      </c>
      <c r="G1270" s="28" t="s">
        <v>1012</v>
      </c>
      <c r="H1270" s="35" t="s">
        <v>1022</v>
      </c>
      <c r="I1270" s="28" t="str">
        <f>VLOOKUP(E1270,표준용어사전!$C$2:$D$494, 2, FALSE)</f>
        <v>명V20</v>
      </c>
      <c r="J1270" s="33" t="s">
        <v>570</v>
      </c>
      <c r="K1270" s="29" t="s">
        <v>986</v>
      </c>
      <c r="L1270" s="55" t="s">
        <v>571</v>
      </c>
      <c r="M1270" s="29" t="s">
        <v>961</v>
      </c>
      <c r="N1270" s="32" t="s">
        <v>973</v>
      </c>
      <c r="O1270" s="31" t="s">
        <v>641</v>
      </c>
      <c r="P1270" s="31"/>
      <c r="Q1270" s="28" t="s">
        <v>76</v>
      </c>
      <c r="R1270" s="29"/>
      <c r="S1270" s="31"/>
      <c r="T1270" s="31"/>
      <c r="U1270" s="28" t="s">
        <v>75</v>
      </c>
      <c r="V1270" s="28" t="s">
        <v>75</v>
      </c>
      <c r="W1270" s="28"/>
    </row>
    <row r="1271" spans="1:23">
      <c r="A1271" s="46" t="s">
        <v>572</v>
      </c>
      <c r="B1271" s="28" t="s">
        <v>1637</v>
      </c>
      <c r="C1271" s="28" t="s">
        <v>2589</v>
      </c>
      <c r="D1271" s="31" t="s">
        <v>1163</v>
      </c>
      <c r="E1271" s="31" t="s">
        <v>1227</v>
      </c>
      <c r="F1271" s="28" t="s">
        <v>1023</v>
      </c>
      <c r="G1271" s="28" t="s">
        <v>1023</v>
      </c>
      <c r="H1271" s="35" t="s">
        <v>1022</v>
      </c>
      <c r="I1271" s="28" t="e">
        <f>VLOOKUP(E1271,표준용어사전!$C$2:$D$494, 2, FALSE)</f>
        <v>#N/A</v>
      </c>
      <c r="J1271" s="33" t="s">
        <v>78</v>
      </c>
      <c r="K1271" s="29" t="s">
        <v>982</v>
      </c>
      <c r="L1271" s="55" t="s">
        <v>571</v>
      </c>
      <c r="M1271" s="29" t="s">
        <v>983</v>
      </c>
      <c r="N1271" s="32" t="s">
        <v>973</v>
      </c>
      <c r="O1271" s="31"/>
      <c r="P1271" s="31"/>
      <c r="Q1271" s="28" t="s">
        <v>76</v>
      </c>
      <c r="R1271" s="29"/>
      <c r="S1271" s="31"/>
      <c r="T1271" s="31"/>
      <c r="U1271" s="28" t="s">
        <v>75</v>
      </c>
      <c r="V1271" s="28" t="s">
        <v>75</v>
      </c>
      <c r="W1271" s="28"/>
    </row>
    <row r="1272" spans="1:23">
      <c r="A1272" s="46" t="s">
        <v>572</v>
      </c>
      <c r="B1272" s="28" t="s">
        <v>1637</v>
      </c>
      <c r="C1272" s="28" t="s">
        <v>2589</v>
      </c>
      <c r="D1272" s="31" t="s">
        <v>1163</v>
      </c>
      <c r="E1272" s="31" t="s">
        <v>1228</v>
      </c>
      <c r="F1272" s="28" t="s">
        <v>1443</v>
      </c>
      <c r="G1272" s="28" t="s">
        <v>1024</v>
      </c>
      <c r="H1272" s="35" t="s">
        <v>1022</v>
      </c>
      <c r="I1272" s="28" t="e">
        <f>VLOOKUP(E1272,표준용어사전!$C$2:$D$494, 2, FALSE)</f>
        <v>#N/A</v>
      </c>
      <c r="J1272" s="33" t="s">
        <v>16</v>
      </c>
      <c r="K1272" s="29" t="s">
        <v>927</v>
      </c>
      <c r="L1272" s="55" t="s">
        <v>571</v>
      </c>
      <c r="M1272" s="29" t="s">
        <v>726</v>
      </c>
      <c r="N1272" s="32" t="s">
        <v>973</v>
      </c>
      <c r="O1272" s="31"/>
      <c r="P1272" s="31"/>
      <c r="Q1272" s="28" t="s">
        <v>76</v>
      </c>
      <c r="R1272" s="29"/>
      <c r="S1272" s="31"/>
      <c r="T1272" s="28" t="s">
        <v>574</v>
      </c>
      <c r="U1272" s="28" t="s">
        <v>75</v>
      </c>
      <c r="V1272" s="28" t="s">
        <v>75</v>
      </c>
      <c r="W1272" s="28"/>
    </row>
    <row r="1273" spans="1:23">
      <c r="A1273" s="46" t="s">
        <v>572</v>
      </c>
      <c r="B1273" s="28" t="s">
        <v>1637</v>
      </c>
      <c r="C1273" s="28" t="s">
        <v>2589</v>
      </c>
      <c r="D1273" s="31" t="s">
        <v>1163</v>
      </c>
      <c r="E1273" s="31" t="s">
        <v>1229</v>
      </c>
      <c r="F1273" s="28" t="s">
        <v>1025</v>
      </c>
      <c r="G1273" s="28" t="s">
        <v>1025</v>
      </c>
      <c r="H1273" s="35" t="s">
        <v>1022</v>
      </c>
      <c r="I1273" s="28" t="e">
        <f>VLOOKUP(E1273,표준용어사전!$C$2:$D$494, 2, FALSE)</f>
        <v>#N/A</v>
      </c>
      <c r="J1273" s="33" t="s">
        <v>78</v>
      </c>
      <c r="K1273" s="29" t="s">
        <v>1026</v>
      </c>
      <c r="L1273" s="55" t="s">
        <v>571</v>
      </c>
      <c r="M1273" s="29" t="s">
        <v>729</v>
      </c>
      <c r="N1273" s="32" t="s">
        <v>75</v>
      </c>
      <c r="O1273" s="31"/>
      <c r="P1273" s="31"/>
      <c r="Q1273" s="28" t="s">
        <v>76</v>
      </c>
      <c r="R1273" s="29"/>
      <c r="S1273" s="31"/>
      <c r="T1273" s="31"/>
      <c r="U1273" s="28" t="s">
        <v>75</v>
      </c>
      <c r="V1273" s="28" t="s">
        <v>75</v>
      </c>
      <c r="W1273" s="28"/>
    </row>
    <row r="1274" spans="1:23">
      <c r="A1274" s="46" t="s">
        <v>572</v>
      </c>
      <c r="B1274" s="28" t="s">
        <v>1637</v>
      </c>
      <c r="C1274" s="28" t="s">
        <v>2589</v>
      </c>
      <c r="D1274" s="31" t="s">
        <v>1164</v>
      </c>
      <c r="E1274" s="31" t="s">
        <v>1224</v>
      </c>
      <c r="F1274" s="28" t="s">
        <v>1509</v>
      </c>
      <c r="G1274" s="28" t="s">
        <v>1486</v>
      </c>
      <c r="H1274" s="35" t="s">
        <v>1027</v>
      </c>
      <c r="I1274" s="28" t="e">
        <f>VLOOKUP(E1274,표준용어사전!$C$2:$D$494, 2, FALSE)</f>
        <v>#N/A</v>
      </c>
      <c r="J1274" s="33" t="s">
        <v>78</v>
      </c>
      <c r="K1274" s="29" t="s">
        <v>996</v>
      </c>
      <c r="L1274" s="55" t="s">
        <v>571</v>
      </c>
      <c r="M1274" s="29" t="s">
        <v>1018</v>
      </c>
      <c r="N1274" s="32" t="s">
        <v>973</v>
      </c>
      <c r="O1274" s="31" t="s">
        <v>641</v>
      </c>
      <c r="P1274" s="31"/>
      <c r="Q1274" s="28" t="s">
        <v>76</v>
      </c>
      <c r="R1274" s="29"/>
      <c r="S1274" s="31"/>
      <c r="T1274" s="31"/>
      <c r="U1274" s="28" t="s">
        <v>75</v>
      </c>
      <c r="V1274" s="28" t="s">
        <v>75</v>
      </c>
      <c r="W1274" s="31"/>
    </row>
    <row r="1275" spans="1:23">
      <c r="A1275" s="46" t="s">
        <v>572</v>
      </c>
      <c r="B1275" s="28" t="s">
        <v>1637</v>
      </c>
      <c r="C1275" s="28" t="s">
        <v>2589</v>
      </c>
      <c r="D1275" s="31" t="s">
        <v>1164</v>
      </c>
      <c r="E1275" s="31" t="s">
        <v>1230</v>
      </c>
      <c r="F1275" s="28" t="s">
        <v>1028</v>
      </c>
      <c r="G1275" s="28" t="s">
        <v>1028</v>
      </c>
      <c r="H1275" s="35" t="s">
        <v>1027</v>
      </c>
      <c r="I1275" s="28" t="e">
        <f>VLOOKUP(E1275,표준용어사전!$C$2:$D$494, 2, FALSE)</f>
        <v>#N/A</v>
      </c>
      <c r="J1275" s="33" t="s">
        <v>78</v>
      </c>
      <c r="K1275" s="29" t="s">
        <v>982</v>
      </c>
      <c r="L1275" s="55" t="s">
        <v>571</v>
      </c>
      <c r="M1275" s="29" t="s">
        <v>983</v>
      </c>
      <c r="N1275" s="32" t="s">
        <v>973</v>
      </c>
      <c r="O1275" s="31"/>
      <c r="P1275" s="31"/>
      <c r="Q1275" s="28" t="s">
        <v>76</v>
      </c>
      <c r="R1275" s="29"/>
      <c r="S1275" s="31"/>
      <c r="T1275" s="31"/>
      <c r="U1275" s="28" t="s">
        <v>75</v>
      </c>
      <c r="V1275" s="28" t="s">
        <v>75</v>
      </c>
      <c r="W1275" s="31"/>
    </row>
    <row r="1276" spans="1:23">
      <c r="A1276" s="46" t="s">
        <v>572</v>
      </c>
      <c r="B1276" s="28" t="s">
        <v>1637</v>
      </c>
      <c r="C1276" s="28" t="s">
        <v>2589</v>
      </c>
      <c r="D1276" s="31" t="s">
        <v>1164</v>
      </c>
      <c r="E1276" s="31" t="s">
        <v>1231</v>
      </c>
      <c r="F1276" s="28" t="s">
        <v>1029</v>
      </c>
      <c r="G1276" s="28" t="s">
        <v>1029</v>
      </c>
      <c r="H1276" s="35" t="s">
        <v>1027</v>
      </c>
      <c r="I1276" s="28" t="e">
        <f>VLOOKUP(E1276,표준용어사전!$C$2:$D$494, 2, FALSE)</f>
        <v>#N/A</v>
      </c>
      <c r="J1276" s="33" t="s">
        <v>78</v>
      </c>
      <c r="K1276" s="29" t="s">
        <v>984</v>
      </c>
      <c r="L1276" s="55" t="s">
        <v>571</v>
      </c>
      <c r="M1276" s="29" t="s">
        <v>715</v>
      </c>
      <c r="N1276" s="32" t="s">
        <v>75</v>
      </c>
      <c r="O1276" s="31"/>
      <c r="P1276" s="31"/>
      <c r="Q1276" s="28" t="s">
        <v>76</v>
      </c>
      <c r="R1276" s="29"/>
      <c r="S1276" s="31"/>
      <c r="T1276" s="31"/>
      <c r="U1276" s="28" t="s">
        <v>75</v>
      </c>
      <c r="V1276" s="28" t="s">
        <v>75</v>
      </c>
      <c r="W1276" s="31"/>
    </row>
    <row r="1277" spans="1:23">
      <c r="A1277" s="46" t="s">
        <v>572</v>
      </c>
      <c r="B1277" s="28" t="s">
        <v>1637</v>
      </c>
      <c r="C1277" s="28" t="s">
        <v>2589</v>
      </c>
      <c r="D1277" s="31" t="s">
        <v>1164</v>
      </c>
      <c r="E1277" s="31" t="s">
        <v>1232</v>
      </c>
      <c r="F1277" s="28" t="s">
        <v>1444</v>
      </c>
      <c r="G1277" s="28" t="s">
        <v>1030</v>
      </c>
      <c r="H1277" s="35" t="s">
        <v>1027</v>
      </c>
      <c r="I1277" s="28" t="e">
        <f>VLOOKUP(E1277,표준용어사전!$C$2:$D$494, 2, FALSE)</f>
        <v>#N/A</v>
      </c>
      <c r="J1277" s="33" t="s">
        <v>16</v>
      </c>
      <c r="K1277" s="29" t="s">
        <v>927</v>
      </c>
      <c r="L1277" s="55" t="s">
        <v>571</v>
      </c>
      <c r="M1277" s="29" t="s">
        <v>726</v>
      </c>
      <c r="N1277" s="32" t="s">
        <v>973</v>
      </c>
      <c r="O1277" s="31"/>
      <c r="P1277" s="31"/>
      <c r="Q1277" s="28" t="s">
        <v>76</v>
      </c>
      <c r="R1277" s="29"/>
      <c r="S1277" s="31"/>
      <c r="T1277" s="28" t="s">
        <v>574</v>
      </c>
      <c r="U1277" s="28" t="s">
        <v>75</v>
      </c>
      <c r="V1277" s="28" t="s">
        <v>75</v>
      </c>
      <c r="W1277" s="31"/>
    </row>
    <row r="1278" spans="1:23">
      <c r="A1278" s="46" t="s">
        <v>572</v>
      </c>
      <c r="B1278" s="28" t="s">
        <v>1637</v>
      </c>
      <c r="C1278" s="28" t="s">
        <v>2589</v>
      </c>
      <c r="D1278" s="31" t="s">
        <v>1165</v>
      </c>
      <c r="E1278" s="31" t="s">
        <v>1224</v>
      </c>
      <c r="F1278" s="28" t="s">
        <v>1509</v>
      </c>
      <c r="G1278" s="28" t="s">
        <v>1486</v>
      </c>
      <c r="H1278" s="35" t="s">
        <v>1031</v>
      </c>
      <c r="I1278" s="28" t="e">
        <f>VLOOKUP(E1278,표준용어사전!$C$2:$D$494, 2, FALSE)</f>
        <v>#N/A</v>
      </c>
      <c r="J1278" s="33" t="s">
        <v>78</v>
      </c>
      <c r="K1278" s="29" t="s">
        <v>996</v>
      </c>
      <c r="L1278" s="55" t="s">
        <v>571</v>
      </c>
      <c r="M1278" s="29" t="s">
        <v>1018</v>
      </c>
      <c r="N1278" s="32" t="s">
        <v>973</v>
      </c>
      <c r="O1278" s="31" t="s">
        <v>641</v>
      </c>
      <c r="P1278" s="31" t="s">
        <v>2743</v>
      </c>
      <c r="Q1278" s="28" t="s">
        <v>76</v>
      </c>
      <c r="R1278" s="29"/>
      <c r="S1278" s="31"/>
      <c r="T1278" s="31"/>
      <c r="U1278" s="28" t="s">
        <v>75</v>
      </c>
      <c r="V1278" s="28" t="s">
        <v>75</v>
      </c>
      <c r="W1278" s="31"/>
    </row>
    <row r="1279" spans="1:23">
      <c r="A1279" s="46" t="s">
        <v>572</v>
      </c>
      <c r="B1279" s="28" t="s">
        <v>1637</v>
      </c>
      <c r="C1279" s="28" t="s">
        <v>2589</v>
      </c>
      <c r="D1279" s="31" t="s">
        <v>1165</v>
      </c>
      <c r="E1279" s="31" t="s">
        <v>1233</v>
      </c>
      <c r="F1279" s="31" t="s">
        <v>1510</v>
      </c>
      <c r="G1279" s="31" t="s">
        <v>1487</v>
      </c>
      <c r="H1279" s="33" t="s">
        <v>1031</v>
      </c>
      <c r="I1279" s="28" t="e">
        <f>VLOOKUP(E1279,표준용어사전!$C$2:$D$494, 2, FALSE)</f>
        <v>#N/A</v>
      </c>
      <c r="J1279" s="33" t="s">
        <v>78</v>
      </c>
      <c r="K1279" s="29" t="s">
        <v>1002</v>
      </c>
      <c r="L1279" s="55" t="s">
        <v>571</v>
      </c>
      <c r="M1279" s="29" t="s">
        <v>720</v>
      </c>
      <c r="N1279" s="32" t="s">
        <v>973</v>
      </c>
      <c r="O1279" s="31" t="s">
        <v>573</v>
      </c>
      <c r="P1279" s="31" t="s">
        <v>2744</v>
      </c>
      <c r="Q1279" s="28" t="s">
        <v>76</v>
      </c>
      <c r="R1279" s="29"/>
      <c r="S1279" s="31"/>
      <c r="T1279" s="31"/>
      <c r="U1279" s="28" t="s">
        <v>75</v>
      </c>
      <c r="V1279" s="28" t="s">
        <v>75</v>
      </c>
      <c r="W1279" s="31"/>
    </row>
    <row r="1280" spans="1:23">
      <c r="A1280" s="46" t="s">
        <v>572</v>
      </c>
      <c r="B1280" s="28" t="s">
        <v>1637</v>
      </c>
      <c r="C1280" s="28" t="s">
        <v>2589</v>
      </c>
      <c r="D1280" s="31" t="s">
        <v>1165</v>
      </c>
      <c r="E1280" s="31" t="s">
        <v>1234</v>
      </c>
      <c r="F1280" s="31" t="s">
        <v>1032</v>
      </c>
      <c r="G1280" s="31" t="s">
        <v>1032</v>
      </c>
      <c r="H1280" s="33" t="s">
        <v>1031</v>
      </c>
      <c r="I1280" s="28" t="e">
        <f>VLOOKUP(E1280,표준용어사전!$C$2:$D$494, 2, FALSE)</f>
        <v>#N/A</v>
      </c>
      <c r="J1280" s="33" t="s">
        <v>16</v>
      </c>
      <c r="K1280" s="29" t="s">
        <v>927</v>
      </c>
      <c r="L1280" s="55" t="s">
        <v>571</v>
      </c>
      <c r="M1280" s="29" t="s">
        <v>726</v>
      </c>
      <c r="N1280" s="32" t="s">
        <v>75</v>
      </c>
      <c r="O1280" s="31"/>
      <c r="P1280" s="31"/>
      <c r="Q1280" s="28" t="s">
        <v>76</v>
      </c>
      <c r="R1280" s="29"/>
      <c r="S1280" s="31"/>
      <c r="T1280" s="28" t="s">
        <v>574</v>
      </c>
      <c r="U1280" s="28" t="s">
        <v>75</v>
      </c>
      <c r="V1280" s="28" t="s">
        <v>75</v>
      </c>
      <c r="W1280" s="31"/>
    </row>
    <row r="1281" spans="1:23">
      <c r="A1281" s="46" t="s">
        <v>572</v>
      </c>
      <c r="B1281" s="28" t="s">
        <v>1637</v>
      </c>
      <c r="C1281" s="28" t="s">
        <v>2589</v>
      </c>
      <c r="D1281" s="31" t="s">
        <v>1166</v>
      </c>
      <c r="E1281" s="31" t="s">
        <v>1212</v>
      </c>
      <c r="F1281" s="31" t="s">
        <v>1434</v>
      </c>
      <c r="G1281" s="31" t="s">
        <v>1434</v>
      </c>
      <c r="H1281" s="33" t="s">
        <v>1033</v>
      </c>
      <c r="I1281" s="28" t="e">
        <f>VLOOKUP(E1281,표준용어사전!$C$2:$D$494, 2, FALSE)</f>
        <v>#N/A</v>
      </c>
      <c r="J1281" s="33" t="s">
        <v>78</v>
      </c>
      <c r="K1281" s="29" t="s">
        <v>986</v>
      </c>
      <c r="L1281" s="55" t="s">
        <v>571</v>
      </c>
      <c r="M1281" s="29" t="s">
        <v>727</v>
      </c>
      <c r="N1281" s="32" t="s">
        <v>973</v>
      </c>
      <c r="O1281" s="31" t="s">
        <v>641</v>
      </c>
      <c r="P1281" s="31"/>
      <c r="Q1281" s="28" t="s">
        <v>76</v>
      </c>
      <c r="R1281" s="29"/>
      <c r="S1281" s="31"/>
      <c r="T1281" s="31"/>
      <c r="U1281" s="28" t="s">
        <v>75</v>
      </c>
      <c r="V1281" s="28" t="s">
        <v>75</v>
      </c>
      <c r="W1281" s="31"/>
    </row>
    <row r="1282" spans="1:23">
      <c r="A1282" s="46" t="s">
        <v>572</v>
      </c>
      <c r="B1282" s="28" t="s">
        <v>1637</v>
      </c>
      <c r="C1282" s="28" t="s">
        <v>2589</v>
      </c>
      <c r="D1282" s="31" t="s">
        <v>1166</v>
      </c>
      <c r="E1282" s="31" t="s">
        <v>1219</v>
      </c>
      <c r="F1282" s="31" t="s">
        <v>1013</v>
      </c>
      <c r="G1282" s="31" t="s">
        <v>1013</v>
      </c>
      <c r="H1282" s="33" t="s">
        <v>1033</v>
      </c>
      <c r="I1282" s="28" t="e">
        <f>VLOOKUP(E1282,표준용어사전!$C$2:$D$494, 2, FALSE)</f>
        <v>#N/A</v>
      </c>
      <c r="J1282" s="33" t="s">
        <v>570</v>
      </c>
      <c r="K1282" s="29" t="s">
        <v>986</v>
      </c>
      <c r="L1282" s="55" t="s">
        <v>571</v>
      </c>
      <c r="M1282" s="29" t="s">
        <v>961</v>
      </c>
      <c r="N1282" s="32" t="s">
        <v>75</v>
      </c>
      <c r="O1282" s="31"/>
      <c r="P1282" s="31" t="s">
        <v>2745</v>
      </c>
      <c r="Q1282" s="28" t="s">
        <v>76</v>
      </c>
      <c r="R1282" s="29"/>
      <c r="S1282" s="31"/>
      <c r="T1282" s="31"/>
      <c r="U1282" s="28" t="s">
        <v>75</v>
      </c>
      <c r="V1282" s="28" t="s">
        <v>75</v>
      </c>
      <c r="W1282" s="31"/>
    </row>
    <row r="1283" spans="1:23">
      <c r="A1283" s="46" t="s">
        <v>572</v>
      </c>
      <c r="B1283" s="28" t="s">
        <v>1637</v>
      </c>
      <c r="C1283" s="28" t="s">
        <v>2589</v>
      </c>
      <c r="D1283" s="31" t="s">
        <v>1166</v>
      </c>
      <c r="E1283" s="31" t="s">
        <v>1235</v>
      </c>
      <c r="F1283" s="31" t="s">
        <v>1034</v>
      </c>
      <c r="G1283" s="31" t="s">
        <v>1034</v>
      </c>
      <c r="H1283" s="33" t="s">
        <v>1033</v>
      </c>
      <c r="I1283" s="28" t="str">
        <f>VLOOKUP(E1283,표준용어사전!$C$2:$D$494, 2, FALSE)</f>
        <v>명V40</v>
      </c>
      <c r="J1283" s="33" t="s">
        <v>78</v>
      </c>
      <c r="K1283" s="29" t="s">
        <v>982</v>
      </c>
      <c r="L1283" s="55" t="s">
        <v>571</v>
      </c>
      <c r="M1283" s="29" t="s">
        <v>983</v>
      </c>
      <c r="N1283" s="32" t="s">
        <v>973</v>
      </c>
      <c r="O1283" s="31"/>
      <c r="P1283" s="31"/>
      <c r="Q1283" s="28" t="s">
        <v>76</v>
      </c>
      <c r="R1283" s="29"/>
      <c r="S1283" s="31"/>
      <c r="T1283" s="31"/>
      <c r="U1283" s="28" t="s">
        <v>75</v>
      </c>
      <c r="V1283" s="28" t="s">
        <v>75</v>
      </c>
      <c r="W1283" s="31"/>
    </row>
    <row r="1284" spans="1:23">
      <c r="A1284" s="46" t="s">
        <v>572</v>
      </c>
      <c r="B1284" s="28" t="s">
        <v>1637</v>
      </c>
      <c r="C1284" s="28" t="s">
        <v>2589</v>
      </c>
      <c r="D1284" s="31" t="s">
        <v>1166</v>
      </c>
      <c r="E1284" s="31" t="s">
        <v>1236</v>
      </c>
      <c r="F1284" s="31" t="s">
        <v>1035</v>
      </c>
      <c r="G1284" s="31" t="s">
        <v>1035</v>
      </c>
      <c r="H1284" s="33" t="s">
        <v>1033</v>
      </c>
      <c r="I1284" s="28" t="e">
        <f>VLOOKUP(E1284,표준용어사전!$C$2:$D$494, 2, FALSE)</f>
        <v>#N/A</v>
      </c>
      <c r="J1284" s="33" t="s">
        <v>78</v>
      </c>
      <c r="K1284" s="29" t="s">
        <v>984</v>
      </c>
      <c r="L1284" s="55" t="s">
        <v>571</v>
      </c>
      <c r="M1284" s="29" t="s">
        <v>715</v>
      </c>
      <c r="N1284" s="32" t="s">
        <v>973</v>
      </c>
      <c r="O1284" s="31"/>
      <c r="P1284" s="31"/>
      <c r="Q1284" s="28" t="s">
        <v>76</v>
      </c>
      <c r="R1284" s="29"/>
      <c r="S1284" s="31"/>
      <c r="T1284" s="31"/>
      <c r="U1284" s="28" t="s">
        <v>75</v>
      </c>
      <c r="V1284" s="28" t="s">
        <v>75</v>
      </c>
      <c r="W1284" s="31"/>
    </row>
    <row r="1285" spans="1:23">
      <c r="A1285" s="46" t="s">
        <v>572</v>
      </c>
      <c r="B1285" s="28" t="s">
        <v>1637</v>
      </c>
      <c r="C1285" s="28" t="s">
        <v>2589</v>
      </c>
      <c r="D1285" s="31" t="s">
        <v>1166</v>
      </c>
      <c r="E1285" s="31" t="s">
        <v>1213</v>
      </c>
      <c r="F1285" s="31" t="s">
        <v>1008</v>
      </c>
      <c r="G1285" s="31" t="s">
        <v>1008</v>
      </c>
      <c r="H1285" s="33" t="s">
        <v>1033</v>
      </c>
      <c r="I1285" s="28" t="e">
        <f>VLOOKUP(E1285,표준용어사전!$C$2:$D$494, 2, FALSE)</f>
        <v>#N/A</v>
      </c>
      <c r="J1285" s="33" t="s">
        <v>78</v>
      </c>
      <c r="K1285" s="29" t="s">
        <v>986</v>
      </c>
      <c r="L1285" s="55" t="s">
        <v>571</v>
      </c>
      <c r="M1285" s="29" t="s">
        <v>727</v>
      </c>
      <c r="N1285" s="32" t="s">
        <v>75</v>
      </c>
      <c r="O1285" s="31"/>
      <c r="P1285" s="31"/>
      <c r="Q1285" s="28" t="s">
        <v>76</v>
      </c>
      <c r="R1285" s="29"/>
      <c r="S1285" s="31"/>
      <c r="T1285" s="31"/>
      <c r="U1285" s="28" t="s">
        <v>75</v>
      </c>
      <c r="V1285" s="28" t="s">
        <v>75</v>
      </c>
      <c r="W1285" s="31"/>
    </row>
    <row r="1286" spans="1:23">
      <c r="A1286" s="46" t="s">
        <v>572</v>
      </c>
      <c r="B1286" s="28" t="s">
        <v>1637</v>
      </c>
      <c r="C1286" s="28" t="s">
        <v>2589</v>
      </c>
      <c r="D1286" s="31" t="s">
        <v>1166</v>
      </c>
      <c r="E1286" s="31" t="s">
        <v>1237</v>
      </c>
      <c r="F1286" s="31" t="s">
        <v>1036</v>
      </c>
      <c r="G1286" s="31" t="s">
        <v>1036</v>
      </c>
      <c r="H1286" s="33" t="s">
        <v>1033</v>
      </c>
      <c r="I1286" s="28" t="e">
        <f>VLOOKUP(E1286,표준용어사전!$C$2:$D$494, 2, FALSE)</f>
        <v>#N/A</v>
      </c>
      <c r="J1286" s="33" t="s">
        <v>78</v>
      </c>
      <c r="K1286" s="29" t="s">
        <v>984</v>
      </c>
      <c r="L1286" s="55" t="s">
        <v>571</v>
      </c>
      <c r="M1286" s="29" t="s">
        <v>715</v>
      </c>
      <c r="N1286" s="32" t="s">
        <v>75</v>
      </c>
      <c r="O1286" s="31"/>
      <c r="P1286" s="31"/>
      <c r="Q1286" s="28" t="s">
        <v>76</v>
      </c>
      <c r="R1286" s="29"/>
      <c r="S1286" s="31"/>
      <c r="T1286" s="31"/>
      <c r="U1286" s="28" t="s">
        <v>75</v>
      </c>
      <c r="V1286" s="28" t="s">
        <v>75</v>
      </c>
      <c r="W1286" s="31"/>
    </row>
    <row r="1287" spans="1:23">
      <c r="A1287" s="46" t="s">
        <v>572</v>
      </c>
      <c r="B1287" s="28" t="s">
        <v>1637</v>
      </c>
      <c r="C1287" s="28" t="s">
        <v>2589</v>
      </c>
      <c r="D1287" s="31" t="s">
        <v>1166</v>
      </c>
      <c r="E1287" s="31" t="s">
        <v>1214</v>
      </c>
      <c r="F1287" s="31" t="s">
        <v>1508</v>
      </c>
      <c r="G1287" s="31" t="s">
        <v>1484</v>
      </c>
      <c r="H1287" s="33" t="s">
        <v>1033</v>
      </c>
      <c r="I1287" s="28" t="e">
        <f>VLOOKUP(E1287,표준용어사전!$C$2:$D$494, 2, FALSE)</f>
        <v>#N/A</v>
      </c>
      <c r="J1287" s="33" t="s">
        <v>570</v>
      </c>
      <c r="K1287" s="29" t="s">
        <v>985</v>
      </c>
      <c r="L1287" s="55" t="s">
        <v>571</v>
      </c>
      <c r="M1287" s="29" t="s">
        <v>722</v>
      </c>
      <c r="N1287" s="32" t="s">
        <v>75</v>
      </c>
      <c r="O1287" s="31"/>
      <c r="P1287" s="31"/>
      <c r="Q1287" s="28" t="s">
        <v>76</v>
      </c>
      <c r="R1287" s="29"/>
      <c r="S1287" s="31"/>
      <c r="T1287" s="31"/>
      <c r="U1287" s="28" t="s">
        <v>75</v>
      </c>
      <c r="V1287" s="28" t="s">
        <v>75</v>
      </c>
      <c r="W1287" s="31"/>
    </row>
    <row r="1288" spans="1:23">
      <c r="A1288" s="46" t="s">
        <v>572</v>
      </c>
      <c r="B1288" s="28" t="s">
        <v>1637</v>
      </c>
      <c r="C1288" s="28" t="s">
        <v>2589</v>
      </c>
      <c r="D1288" s="31" t="s">
        <v>1166</v>
      </c>
      <c r="E1288" s="31" t="s">
        <v>1215</v>
      </c>
      <c r="F1288" s="31" t="s">
        <v>1009</v>
      </c>
      <c r="G1288" s="31" t="s">
        <v>1009</v>
      </c>
      <c r="H1288" s="33" t="s">
        <v>1033</v>
      </c>
      <c r="I1288" s="28" t="e">
        <f>VLOOKUP(E1288,표준용어사전!$C$2:$D$494, 2, FALSE)</f>
        <v>#N/A</v>
      </c>
      <c r="J1288" s="33" t="s">
        <v>570</v>
      </c>
      <c r="K1288" s="29" t="s">
        <v>986</v>
      </c>
      <c r="L1288" s="55" t="s">
        <v>571</v>
      </c>
      <c r="M1288" s="29" t="s">
        <v>961</v>
      </c>
      <c r="N1288" s="32" t="s">
        <v>75</v>
      </c>
      <c r="O1288" s="31"/>
      <c r="P1288" s="31"/>
      <c r="Q1288" s="28" t="s">
        <v>76</v>
      </c>
      <c r="R1288" s="29"/>
      <c r="S1288" s="31"/>
      <c r="T1288" s="31"/>
      <c r="U1288" s="28" t="s">
        <v>75</v>
      </c>
      <c r="V1288" s="28" t="s">
        <v>75</v>
      </c>
      <c r="W1288" s="31"/>
    </row>
    <row r="1289" spans="1:23">
      <c r="A1289" s="46" t="s">
        <v>572</v>
      </c>
      <c r="B1289" s="28" t="s">
        <v>1637</v>
      </c>
      <c r="C1289" s="28" t="s">
        <v>2589</v>
      </c>
      <c r="D1289" s="31" t="s">
        <v>1166</v>
      </c>
      <c r="E1289" s="31" t="s">
        <v>1238</v>
      </c>
      <c r="F1289" s="31" t="s">
        <v>1037</v>
      </c>
      <c r="G1289" s="31" t="s">
        <v>1037</v>
      </c>
      <c r="H1289" s="33" t="s">
        <v>1033</v>
      </c>
      <c r="I1289" s="28" t="e">
        <f>VLOOKUP(E1289,표준용어사전!$C$2:$D$494, 2, FALSE)</f>
        <v>#N/A</v>
      </c>
      <c r="J1289" s="33" t="s">
        <v>78</v>
      </c>
      <c r="K1289" s="29" t="s">
        <v>1026</v>
      </c>
      <c r="L1289" s="55" t="s">
        <v>571</v>
      </c>
      <c r="M1289" s="29" t="s">
        <v>729</v>
      </c>
      <c r="N1289" s="32" t="s">
        <v>75</v>
      </c>
      <c r="O1289" s="31"/>
      <c r="P1289" s="31"/>
      <c r="Q1289" s="28" t="s">
        <v>76</v>
      </c>
      <c r="R1289" s="29"/>
      <c r="S1289" s="31"/>
      <c r="T1289" s="31"/>
      <c r="U1289" s="28" t="s">
        <v>75</v>
      </c>
      <c r="V1289" s="28" t="s">
        <v>75</v>
      </c>
      <c r="W1289" s="31"/>
    </row>
    <row r="1290" spans="1:23">
      <c r="A1290" s="46" t="s">
        <v>572</v>
      </c>
      <c r="B1290" s="28" t="s">
        <v>1637</v>
      </c>
      <c r="C1290" s="28" t="s">
        <v>2589</v>
      </c>
      <c r="D1290" s="31" t="s">
        <v>1166</v>
      </c>
      <c r="E1290" s="31" t="s">
        <v>1239</v>
      </c>
      <c r="F1290" s="31" t="s">
        <v>1038</v>
      </c>
      <c r="G1290" s="31" t="s">
        <v>1038</v>
      </c>
      <c r="H1290" s="33" t="s">
        <v>1033</v>
      </c>
      <c r="I1290" s="28" t="e">
        <f>VLOOKUP(E1290,표준용어사전!$C$2:$D$494, 2, FALSE)</f>
        <v>#N/A</v>
      </c>
      <c r="J1290" s="33" t="s">
        <v>78</v>
      </c>
      <c r="K1290" s="29" t="s">
        <v>1026</v>
      </c>
      <c r="L1290" s="55" t="s">
        <v>571</v>
      </c>
      <c r="M1290" s="29" t="s">
        <v>729</v>
      </c>
      <c r="N1290" s="32" t="s">
        <v>75</v>
      </c>
      <c r="O1290" s="31"/>
      <c r="P1290" s="31"/>
      <c r="Q1290" s="28" t="s">
        <v>76</v>
      </c>
      <c r="R1290" s="29"/>
      <c r="S1290" s="31"/>
      <c r="T1290" s="31"/>
      <c r="U1290" s="28" t="s">
        <v>75</v>
      </c>
      <c r="V1290" s="28" t="s">
        <v>75</v>
      </c>
      <c r="W1290" s="31"/>
    </row>
    <row r="1291" spans="1:23">
      <c r="A1291" s="46" t="s">
        <v>572</v>
      </c>
      <c r="B1291" s="28" t="s">
        <v>1637</v>
      </c>
      <c r="C1291" s="28" t="s">
        <v>2589</v>
      </c>
      <c r="D1291" s="31" t="s">
        <v>1166</v>
      </c>
      <c r="E1291" s="31" t="s">
        <v>1216</v>
      </c>
      <c r="F1291" s="31" t="s">
        <v>1010</v>
      </c>
      <c r="G1291" s="31" t="s">
        <v>1010</v>
      </c>
      <c r="H1291" s="33" t="s">
        <v>1033</v>
      </c>
      <c r="I1291" s="28" t="e">
        <f>VLOOKUP(E1291,표준용어사전!$C$2:$D$494, 2, FALSE)</f>
        <v>#N/A</v>
      </c>
      <c r="J1291" s="33" t="s">
        <v>78</v>
      </c>
      <c r="K1291" s="29" t="s">
        <v>986</v>
      </c>
      <c r="L1291" s="55" t="s">
        <v>571</v>
      </c>
      <c r="M1291" s="29" t="s">
        <v>727</v>
      </c>
      <c r="N1291" s="32" t="s">
        <v>75</v>
      </c>
      <c r="O1291" s="31"/>
      <c r="P1291" s="31"/>
      <c r="Q1291" s="28" t="s">
        <v>76</v>
      </c>
      <c r="R1291" s="29"/>
      <c r="S1291" s="31"/>
      <c r="T1291" s="31"/>
      <c r="U1291" s="28" t="s">
        <v>75</v>
      </c>
      <c r="V1291" s="28" t="s">
        <v>75</v>
      </c>
      <c r="W1291" s="31"/>
    </row>
    <row r="1292" spans="1:23">
      <c r="A1292" s="46" t="s">
        <v>572</v>
      </c>
      <c r="B1292" s="28" t="s">
        <v>1637</v>
      </c>
      <c r="C1292" s="28" t="s">
        <v>2589</v>
      </c>
      <c r="D1292" s="31" t="s">
        <v>1166</v>
      </c>
      <c r="E1292" s="31" t="s">
        <v>1217</v>
      </c>
      <c r="F1292" s="31" t="s">
        <v>1011</v>
      </c>
      <c r="G1292" s="31" t="s">
        <v>1011</v>
      </c>
      <c r="H1292" s="33" t="s">
        <v>1033</v>
      </c>
      <c r="I1292" s="28" t="e">
        <f>VLOOKUP(E1292,표준용어사전!$C$2:$D$494, 2, FALSE)</f>
        <v>#N/A</v>
      </c>
      <c r="J1292" s="33" t="s">
        <v>78</v>
      </c>
      <c r="K1292" s="29" t="s">
        <v>1002</v>
      </c>
      <c r="L1292" s="55" t="s">
        <v>571</v>
      </c>
      <c r="M1292" s="29" t="s">
        <v>720</v>
      </c>
      <c r="N1292" s="32" t="s">
        <v>973</v>
      </c>
      <c r="O1292" s="31"/>
      <c r="P1292" s="31"/>
      <c r="Q1292" s="28" t="s">
        <v>76</v>
      </c>
      <c r="R1292" s="29"/>
      <c r="S1292" s="31"/>
      <c r="T1292" s="31"/>
      <c r="U1292" s="28" t="s">
        <v>75</v>
      </c>
      <c r="V1292" s="28" t="s">
        <v>75</v>
      </c>
      <c r="W1292" s="31"/>
    </row>
    <row r="1293" spans="1:23">
      <c r="A1293" s="46" t="s">
        <v>572</v>
      </c>
      <c r="B1293" s="28" t="s">
        <v>1637</v>
      </c>
      <c r="C1293" s="28" t="s">
        <v>2589</v>
      </c>
      <c r="D1293" s="31" t="s">
        <v>1166</v>
      </c>
      <c r="E1293" s="31" t="s">
        <v>1218</v>
      </c>
      <c r="F1293" s="31" t="s">
        <v>1039</v>
      </c>
      <c r="G1293" s="31" t="s">
        <v>1039</v>
      </c>
      <c r="H1293" s="33" t="s">
        <v>1033</v>
      </c>
      <c r="I1293" s="28" t="str">
        <f>VLOOKUP(E1293,표준용어사전!$C$2:$D$494, 2, FALSE)</f>
        <v>명V20</v>
      </c>
      <c r="J1293" s="33" t="s">
        <v>570</v>
      </c>
      <c r="K1293" s="29" t="s">
        <v>986</v>
      </c>
      <c r="L1293" s="55" t="s">
        <v>571</v>
      </c>
      <c r="M1293" s="29" t="s">
        <v>961</v>
      </c>
      <c r="N1293" s="32" t="s">
        <v>973</v>
      </c>
      <c r="O1293" s="31"/>
      <c r="P1293" s="31" t="s">
        <v>2746</v>
      </c>
      <c r="Q1293" s="28" t="s">
        <v>76</v>
      </c>
      <c r="R1293" s="29"/>
      <c r="S1293" s="31"/>
      <c r="T1293" s="31"/>
      <c r="U1293" s="28" t="s">
        <v>75</v>
      </c>
      <c r="V1293" s="28" t="s">
        <v>75</v>
      </c>
      <c r="W1293" s="31"/>
    </row>
    <row r="1294" spans="1:23">
      <c r="A1294" s="46" t="s">
        <v>572</v>
      </c>
      <c r="B1294" s="28" t="s">
        <v>1637</v>
      </c>
      <c r="C1294" s="28" t="s">
        <v>2589</v>
      </c>
      <c r="D1294" s="31" t="s">
        <v>1166</v>
      </c>
      <c r="E1294" s="31" t="s">
        <v>1220</v>
      </c>
      <c r="F1294" s="31" t="s">
        <v>1530</v>
      </c>
      <c r="G1294" s="31" t="s">
        <v>1485</v>
      </c>
      <c r="H1294" s="33" t="s">
        <v>1033</v>
      </c>
      <c r="I1294" s="28" t="e">
        <f>VLOOKUP(E1294,표준용어사전!$C$2:$D$494, 2, FALSE)</f>
        <v>#N/A</v>
      </c>
      <c r="J1294" s="33" t="s">
        <v>570</v>
      </c>
      <c r="K1294" s="29" t="s">
        <v>985</v>
      </c>
      <c r="L1294" s="55" t="s">
        <v>571</v>
      </c>
      <c r="M1294" s="29" t="s">
        <v>722</v>
      </c>
      <c r="N1294" s="32" t="s">
        <v>973</v>
      </c>
      <c r="O1294" s="31"/>
      <c r="P1294" s="31"/>
      <c r="Q1294" s="28" t="s">
        <v>76</v>
      </c>
      <c r="R1294" s="29"/>
      <c r="S1294" s="31"/>
      <c r="T1294" s="31"/>
      <c r="U1294" s="28" t="s">
        <v>75</v>
      </c>
      <c r="V1294" s="28" t="s">
        <v>75</v>
      </c>
      <c r="W1294" s="31"/>
    </row>
    <row r="1295" spans="1:23">
      <c r="A1295" s="46" t="s">
        <v>572</v>
      </c>
      <c r="B1295" s="28" t="s">
        <v>1637</v>
      </c>
      <c r="C1295" s="28" t="s">
        <v>2589</v>
      </c>
      <c r="D1295" s="31" t="s">
        <v>1166</v>
      </c>
      <c r="E1295" s="31" t="s">
        <v>1221</v>
      </c>
      <c r="F1295" s="31" t="s">
        <v>1707</v>
      </c>
      <c r="G1295" s="31" t="s">
        <v>1707</v>
      </c>
      <c r="H1295" s="33" t="s">
        <v>1033</v>
      </c>
      <c r="I1295" s="28" t="str">
        <f>VLOOKUP(E1295,표준용어사전!$C$2:$D$494, 2, FALSE)</f>
        <v>명V20</v>
      </c>
      <c r="J1295" s="33" t="s">
        <v>570</v>
      </c>
      <c r="K1295" s="29" t="s">
        <v>986</v>
      </c>
      <c r="L1295" s="55" t="s">
        <v>571</v>
      </c>
      <c r="M1295" s="29" t="s">
        <v>961</v>
      </c>
      <c r="N1295" s="32" t="s">
        <v>973</v>
      </c>
      <c r="O1295" s="31"/>
      <c r="P1295" s="31"/>
      <c r="Q1295" s="28" t="s">
        <v>76</v>
      </c>
      <c r="R1295" s="29"/>
      <c r="S1295" s="31"/>
      <c r="T1295" s="31"/>
      <c r="U1295" s="28" t="s">
        <v>75</v>
      </c>
      <c r="V1295" s="28" t="s">
        <v>75</v>
      </c>
      <c r="W1295" s="31"/>
    </row>
    <row r="1296" spans="1:23">
      <c r="A1296" s="46" t="s">
        <v>572</v>
      </c>
      <c r="B1296" s="28" t="s">
        <v>1637</v>
      </c>
      <c r="C1296" s="28" t="s">
        <v>2589</v>
      </c>
      <c r="D1296" s="31" t="s">
        <v>1166</v>
      </c>
      <c r="E1296" s="31" t="s">
        <v>1240</v>
      </c>
      <c r="F1296" s="31" t="s">
        <v>1041</v>
      </c>
      <c r="G1296" s="31" t="s">
        <v>1041</v>
      </c>
      <c r="H1296" s="33" t="s">
        <v>1033</v>
      </c>
      <c r="I1296" s="28" t="e">
        <f>VLOOKUP(E1296,표준용어사전!$C$2:$D$494, 2, FALSE)</f>
        <v>#N/A</v>
      </c>
      <c r="J1296" s="33" t="s">
        <v>78</v>
      </c>
      <c r="K1296" s="29" t="s">
        <v>1026</v>
      </c>
      <c r="L1296" s="55" t="s">
        <v>571</v>
      </c>
      <c r="M1296" s="29" t="s">
        <v>729</v>
      </c>
      <c r="N1296" s="32" t="s">
        <v>75</v>
      </c>
      <c r="O1296" s="31"/>
      <c r="P1296" s="31"/>
      <c r="Q1296" s="28" t="s">
        <v>76</v>
      </c>
      <c r="R1296" s="29"/>
      <c r="S1296" s="31"/>
      <c r="T1296" s="31"/>
      <c r="U1296" s="28" t="s">
        <v>75</v>
      </c>
      <c r="V1296" s="28" t="s">
        <v>75</v>
      </c>
      <c r="W1296" s="31"/>
    </row>
    <row r="1297" spans="1:23">
      <c r="A1297" s="46" t="s">
        <v>572</v>
      </c>
      <c r="B1297" s="28" t="s">
        <v>1637</v>
      </c>
      <c r="C1297" s="28" t="s">
        <v>2589</v>
      </c>
      <c r="D1297" s="31" t="s">
        <v>1166</v>
      </c>
      <c r="E1297" s="31" t="s">
        <v>1241</v>
      </c>
      <c r="F1297" s="31" t="s">
        <v>1511</v>
      </c>
      <c r="G1297" s="31" t="s">
        <v>1455</v>
      </c>
      <c r="H1297" s="33" t="s">
        <v>1033</v>
      </c>
      <c r="I1297" s="28" t="e">
        <f>VLOOKUP(E1297,표준용어사전!$C$2:$D$494, 2, FALSE)</f>
        <v>#N/A</v>
      </c>
      <c r="J1297" s="33" t="s">
        <v>570</v>
      </c>
      <c r="K1297" s="29" t="s">
        <v>985</v>
      </c>
      <c r="L1297" s="55" t="s">
        <v>571</v>
      </c>
      <c r="M1297" s="29" t="s">
        <v>722</v>
      </c>
      <c r="N1297" s="32" t="s">
        <v>75</v>
      </c>
      <c r="O1297" s="31"/>
      <c r="P1297" s="31"/>
      <c r="Q1297" s="28" t="s">
        <v>76</v>
      </c>
      <c r="R1297" s="29"/>
      <c r="S1297" s="31"/>
      <c r="T1297" s="31"/>
      <c r="U1297" s="28" t="s">
        <v>75</v>
      </c>
      <c r="V1297" s="28" t="s">
        <v>75</v>
      </c>
      <c r="W1297" s="31"/>
    </row>
    <row r="1298" spans="1:23">
      <c r="A1298" s="46" t="s">
        <v>572</v>
      </c>
      <c r="B1298" s="28" t="s">
        <v>1637</v>
      </c>
      <c r="C1298" s="28" t="s">
        <v>2589</v>
      </c>
      <c r="D1298" s="31" t="s">
        <v>1166</v>
      </c>
      <c r="E1298" s="31" t="s">
        <v>1242</v>
      </c>
      <c r="F1298" s="31" t="s">
        <v>1042</v>
      </c>
      <c r="G1298" s="31" t="s">
        <v>1042</v>
      </c>
      <c r="H1298" s="33" t="s">
        <v>1033</v>
      </c>
      <c r="I1298" s="28" t="e">
        <f>VLOOKUP(E1298,표준용어사전!$C$2:$D$494, 2, FALSE)</f>
        <v>#N/A</v>
      </c>
      <c r="J1298" s="33" t="s">
        <v>63</v>
      </c>
      <c r="K1298" s="29" t="s">
        <v>980</v>
      </c>
      <c r="L1298" s="55" t="s">
        <v>571</v>
      </c>
      <c r="M1298" s="29">
        <v>9999999999</v>
      </c>
      <c r="N1298" s="32" t="s">
        <v>75</v>
      </c>
      <c r="O1298" s="31"/>
      <c r="P1298" s="31"/>
      <c r="Q1298" s="28" t="s">
        <v>76</v>
      </c>
      <c r="R1298" s="29"/>
      <c r="S1298" s="31"/>
      <c r="T1298" s="31"/>
      <c r="U1298" s="28" t="s">
        <v>75</v>
      </c>
      <c r="V1298" s="28" t="s">
        <v>75</v>
      </c>
      <c r="W1298" s="31"/>
    </row>
    <row r="1299" spans="1:23">
      <c r="A1299" s="46" t="s">
        <v>572</v>
      </c>
      <c r="B1299" s="28" t="s">
        <v>1637</v>
      </c>
      <c r="C1299" s="28" t="s">
        <v>2589</v>
      </c>
      <c r="D1299" s="31" t="s">
        <v>1166</v>
      </c>
      <c r="E1299" s="31" t="s">
        <v>1243</v>
      </c>
      <c r="F1299" s="31" t="s">
        <v>1449</v>
      </c>
      <c r="G1299" s="31" t="s">
        <v>1043</v>
      </c>
      <c r="H1299" s="33" t="s">
        <v>1033</v>
      </c>
      <c r="I1299" s="28" t="e">
        <f>VLOOKUP(E1299,표준용어사전!$C$2:$D$494, 2, FALSE)</f>
        <v>#N/A</v>
      </c>
      <c r="J1299" s="33" t="s">
        <v>16</v>
      </c>
      <c r="K1299" s="29" t="s">
        <v>927</v>
      </c>
      <c r="L1299" s="55" t="s">
        <v>571</v>
      </c>
      <c r="M1299" s="29" t="s">
        <v>726</v>
      </c>
      <c r="N1299" s="32" t="s">
        <v>75</v>
      </c>
      <c r="O1299" s="31"/>
      <c r="P1299" s="31"/>
      <c r="Q1299" s="28" t="s">
        <v>76</v>
      </c>
      <c r="R1299" s="29"/>
      <c r="S1299" s="31"/>
      <c r="T1299" s="28" t="s">
        <v>574</v>
      </c>
      <c r="U1299" s="28" t="s">
        <v>75</v>
      </c>
      <c r="V1299" s="28" t="s">
        <v>75</v>
      </c>
      <c r="W1299" s="31"/>
    </row>
    <row r="1300" spans="1:23">
      <c r="A1300" s="46" t="s">
        <v>572</v>
      </c>
      <c r="B1300" s="28" t="s">
        <v>1637</v>
      </c>
      <c r="C1300" s="28" t="s">
        <v>2589</v>
      </c>
      <c r="D1300" s="31" t="s">
        <v>1166</v>
      </c>
      <c r="E1300" s="31" t="s">
        <v>1244</v>
      </c>
      <c r="F1300" s="28" t="s">
        <v>1445</v>
      </c>
      <c r="G1300" s="28" t="s">
        <v>1044</v>
      </c>
      <c r="H1300" s="35" t="s">
        <v>1033</v>
      </c>
      <c r="I1300" s="28" t="e">
        <f>VLOOKUP(E1300,표준용어사전!$C$2:$D$494, 2, FALSE)</f>
        <v>#N/A</v>
      </c>
      <c r="J1300" s="33" t="s">
        <v>16</v>
      </c>
      <c r="K1300" s="29" t="s">
        <v>927</v>
      </c>
      <c r="L1300" s="55" t="s">
        <v>571</v>
      </c>
      <c r="M1300" s="29" t="s">
        <v>726</v>
      </c>
      <c r="N1300" s="32" t="s">
        <v>973</v>
      </c>
      <c r="O1300" s="31"/>
      <c r="P1300" s="31"/>
      <c r="Q1300" s="28" t="s">
        <v>76</v>
      </c>
      <c r="R1300" s="29"/>
      <c r="S1300" s="31"/>
      <c r="T1300" s="28" t="s">
        <v>574</v>
      </c>
      <c r="U1300" s="28" t="s">
        <v>75</v>
      </c>
      <c r="V1300" s="28" t="s">
        <v>75</v>
      </c>
      <c r="W1300" s="31"/>
    </row>
    <row r="1301" spans="1:23">
      <c r="A1301" s="46" t="s">
        <v>572</v>
      </c>
      <c r="B1301" s="28" t="s">
        <v>1637</v>
      </c>
      <c r="C1301" s="28" t="s">
        <v>2589</v>
      </c>
      <c r="D1301" s="31" t="s">
        <v>1166</v>
      </c>
      <c r="E1301" s="31" t="s">
        <v>1245</v>
      </c>
      <c r="F1301" s="31" t="s">
        <v>2714</v>
      </c>
      <c r="G1301" s="31" t="s">
        <v>2714</v>
      </c>
      <c r="H1301" s="35" t="s">
        <v>1033</v>
      </c>
      <c r="I1301" s="28" t="e">
        <f>VLOOKUP(E1301,표준용어사전!$C$2:$D$494, 2, FALSE)</f>
        <v>#N/A</v>
      </c>
      <c r="J1301" s="33" t="s">
        <v>1046</v>
      </c>
      <c r="K1301" s="29" t="s">
        <v>927</v>
      </c>
      <c r="L1301" s="55" t="s">
        <v>571</v>
      </c>
      <c r="M1301" s="29" t="s">
        <v>1353</v>
      </c>
      <c r="N1301" s="32" t="s">
        <v>75</v>
      </c>
      <c r="O1301" s="31"/>
      <c r="P1301" s="31"/>
      <c r="Q1301" s="28" t="s">
        <v>76</v>
      </c>
      <c r="R1301" s="29"/>
      <c r="S1301" s="31"/>
      <c r="T1301" s="31"/>
      <c r="U1301" s="28" t="s">
        <v>75</v>
      </c>
      <c r="V1301" s="28" t="s">
        <v>75</v>
      </c>
      <c r="W1301" s="31"/>
    </row>
    <row r="1302" spans="1:23">
      <c r="A1302" s="46" t="s">
        <v>572</v>
      </c>
      <c r="B1302" s="28" t="s">
        <v>1637</v>
      </c>
      <c r="C1302" s="28" t="s">
        <v>2589</v>
      </c>
      <c r="D1302" s="31" t="s">
        <v>1166</v>
      </c>
      <c r="E1302" s="31" t="s">
        <v>1246</v>
      </c>
      <c r="F1302" s="28" t="s">
        <v>1535</v>
      </c>
      <c r="G1302" s="28" t="s">
        <v>1456</v>
      </c>
      <c r="H1302" s="35" t="s">
        <v>1033</v>
      </c>
      <c r="I1302" s="28" t="e">
        <f>VLOOKUP(E1302,표준용어사전!$C$2:$D$494, 2, FALSE)</f>
        <v>#N/A</v>
      </c>
      <c r="J1302" s="33" t="s">
        <v>78</v>
      </c>
      <c r="K1302" s="29" t="s">
        <v>985</v>
      </c>
      <c r="L1302" s="55" t="s">
        <v>571</v>
      </c>
      <c r="M1302" s="29" t="s">
        <v>1047</v>
      </c>
      <c r="N1302" s="32" t="s">
        <v>75</v>
      </c>
      <c r="O1302" s="31"/>
      <c r="P1302" s="31"/>
      <c r="Q1302" s="28" t="s">
        <v>76</v>
      </c>
      <c r="R1302" s="29"/>
      <c r="S1302" s="31"/>
      <c r="T1302" s="31"/>
      <c r="U1302" s="28" t="s">
        <v>75</v>
      </c>
      <c r="V1302" s="28" t="s">
        <v>75</v>
      </c>
      <c r="W1302" s="31"/>
    </row>
    <row r="1303" spans="1:23">
      <c r="A1303" s="46" t="s">
        <v>572</v>
      </c>
      <c r="B1303" s="28" t="s">
        <v>1637</v>
      </c>
      <c r="C1303" s="28" t="s">
        <v>2589</v>
      </c>
      <c r="D1303" s="31" t="s">
        <v>1166</v>
      </c>
      <c r="E1303" s="31" t="s">
        <v>1247</v>
      </c>
      <c r="F1303" s="31" t="s">
        <v>2715</v>
      </c>
      <c r="G1303" s="31" t="s">
        <v>2715</v>
      </c>
      <c r="H1303" s="35" t="s">
        <v>1033</v>
      </c>
      <c r="I1303" s="28" t="e">
        <f>VLOOKUP(E1303,표준용어사전!$C$2:$D$494, 2, FALSE)</f>
        <v>#N/A</v>
      </c>
      <c r="J1303" s="33" t="s">
        <v>16</v>
      </c>
      <c r="K1303" s="29" t="s">
        <v>927</v>
      </c>
      <c r="L1303" s="55" t="s">
        <v>571</v>
      </c>
      <c r="M1303" s="29" t="s">
        <v>726</v>
      </c>
      <c r="N1303" s="32" t="s">
        <v>973</v>
      </c>
      <c r="O1303" s="36"/>
      <c r="P1303" s="31"/>
      <c r="Q1303" s="28" t="s">
        <v>76</v>
      </c>
      <c r="R1303" s="29"/>
      <c r="S1303" s="31"/>
      <c r="T1303" s="31"/>
      <c r="U1303" s="28" t="s">
        <v>75</v>
      </c>
      <c r="V1303" s="28" t="s">
        <v>75</v>
      </c>
      <c r="W1303" s="31"/>
    </row>
    <row r="1304" spans="1:23">
      <c r="A1304" s="46" t="s">
        <v>572</v>
      </c>
      <c r="B1304" s="28" t="s">
        <v>1637</v>
      </c>
      <c r="C1304" s="28" t="s">
        <v>2589</v>
      </c>
      <c r="D1304" s="31" t="s">
        <v>1166</v>
      </c>
      <c r="E1304" s="31" t="s">
        <v>1248</v>
      </c>
      <c r="F1304" s="28" t="s">
        <v>1049</v>
      </c>
      <c r="G1304" s="28" t="s">
        <v>1049</v>
      </c>
      <c r="H1304" s="35" t="s">
        <v>1033</v>
      </c>
      <c r="I1304" s="28" t="e">
        <f>VLOOKUP(E1304,표준용어사전!$C$2:$D$494, 2, FALSE)</f>
        <v>#N/A</v>
      </c>
      <c r="J1304" s="33" t="s">
        <v>78</v>
      </c>
      <c r="K1304" s="29" t="s">
        <v>1050</v>
      </c>
      <c r="L1304" s="55" t="s">
        <v>571</v>
      </c>
      <c r="M1304" s="29" t="s">
        <v>1051</v>
      </c>
      <c r="N1304" s="32" t="s">
        <v>75</v>
      </c>
      <c r="O1304" s="31"/>
      <c r="P1304" s="31"/>
      <c r="Q1304" s="28" t="s">
        <v>76</v>
      </c>
      <c r="R1304" s="29"/>
      <c r="S1304" s="31"/>
      <c r="T1304" s="31"/>
      <c r="U1304" s="28" t="s">
        <v>75</v>
      </c>
      <c r="V1304" s="28" t="s">
        <v>75</v>
      </c>
      <c r="W1304" s="31"/>
    </row>
    <row r="1305" spans="1:23">
      <c r="A1305" s="46" t="s">
        <v>572</v>
      </c>
      <c r="B1305" s="28" t="s">
        <v>1637</v>
      </c>
      <c r="C1305" s="28" t="s">
        <v>2589</v>
      </c>
      <c r="D1305" s="31" t="s">
        <v>1167</v>
      </c>
      <c r="E1305" s="31" t="s">
        <v>1223</v>
      </c>
      <c r="F1305" s="28" t="s">
        <v>1052</v>
      </c>
      <c r="G1305" s="28" t="s">
        <v>1052</v>
      </c>
      <c r="H1305" s="35" t="s">
        <v>1053</v>
      </c>
      <c r="I1305" s="28" t="e">
        <f>VLOOKUP(E1305,표준용어사전!$C$2:$D$494, 2, FALSE)</f>
        <v>#N/A</v>
      </c>
      <c r="J1305" s="33" t="s">
        <v>78</v>
      </c>
      <c r="K1305" s="29" t="s">
        <v>986</v>
      </c>
      <c r="L1305" s="55" t="s">
        <v>571</v>
      </c>
      <c r="M1305" s="29" t="s">
        <v>727</v>
      </c>
      <c r="N1305" s="32" t="s">
        <v>973</v>
      </c>
      <c r="O1305" s="31" t="s">
        <v>2719</v>
      </c>
      <c r="P1305" s="31"/>
      <c r="Q1305" s="28" t="s">
        <v>76</v>
      </c>
      <c r="R1305" s="29"/>
      <c r="S1305" s="31"/>
      <c r="T1305" s="31"/>
      <c r="U1305" s="28" t="s">
        <v>75</v>
      </c>
      <c r="V1305" s="28" t="s">
        <v>75</v>
      </c>
      <c r="W1305" s="31"/>
    </row>
    <row r="1306" spans="1:23">
      <c r="A1306" s="46" t="s">
        <v>572</v>
      </c>
      <c r="B1306" s="28" t="s">
        <v>1637</v>
      </c>
      <c r="C1306" s="28" t="s">
        <v>2589</v>
      </c>
      <c r="D1306" s="31" t="s">
        <v>1167</v>
      </c>
      <c r="E1306" s="31" t="s">
        <v>1249</v>
      </c>
      <c r="F1306" s="28" t="s">
        <v>1512</v>
      </c>
      <c r="G1306" s="28" t="s">
        <v>1488</v>
      </c>
      <c r="H1306" s="35" t="s">
        <v>1053</v>
      </c>
      <c r="I1306" s="28" t="e">
        <f>VLOOKUP(E1306,표준용어사전!$C$2:$D$494, 2, FALSE)</f>
        <v>#N/A</v>
      </c>
      <c r="J1306" s="33" t="s">
        <v>570</v>
      </c>
      <c r="K1306" s="29" t="s">
        <v>1054</v>
      </c>
      <c r="L1306" s="55" t="s">
        <v>571</v>
      </c>
      <c r="M1306" s="29" t="s">
        <v>1055</v>
      </c>
      <c r="N1306" s="32" t="s">
        <v>75</v>
      </c>
      <c r="O1306" s="31"/>
      <c r="P1306" s="31"/>
      <c r="Q1306" s="28" t="s">
        <v>76</v>
      </c>
      <c r="R1306" s="29"/>
      <c r="S1306" s="31"/>
      <c r="T1306" s="31"/>
      <c r="U1306" s="28" t="s">
        <v>75</v>
      </c>
      <c r="V1306" s="28" t="s">
        <v>75</v>
      </c>
      <c r="W1306" s="31"/>
    </row>
    <row r="1307" spans="1:23">
      <c r="A1307" s="46" t="s">
        <v>572</v>
      </c>
      <c r="B1307" s="28" t="s">
        <v>1637</v>
      </c>
      <c r="C1307" s="28" t="s">
        <v>2589</v>
      </c>
      <c r="D1307" s="31" t="s">
        <v>1167</v>
      </c>
      <c r="E1307" s="31" t="s">
        <v>1224</v>
      </c>
      <c r="F1307" s="28" t="s">
        <v>1509</v>
      </c>
      <c r="G1307" s="28" t="s">
        <v>1486</v>
      </c>
      <c r="H1307" s="35" t="s">
        <v>1053</v>
      </c>
      <c r="I1307" s="28" t="e">
        <f>VLOOKUP(E1307,표준용어사전!$C$2:$D$494, 2, FALSE)</f>
        <v>#N/A</v>
      </c>
      <c r="J1307" s="33" t="s">
        <v>78</v>
      </c>
      <c r="K1307" s="29" t="s">
        <v>996</v>
      </c>
      <c r="L1307" s="55" t="s">
        <v>571</v>
      </c>
      <c r="M1307" s="29" t="s">
        <v>1018</v>
      </c>
      <c r="N1307" s="32" t="s">
        <v>973</v>
      </c>
      <c r="O1307" s="31" t="s">
        <v>2720</v>
      </c>
      <c r="P1307" s="31"/>
      <c r="Q1307" s="28" t="s">
        <v>76</v>
      </c>
      <c r="R1307" s="29"/>
      <c r="S1307" s="31"/>
      <c r="T1307" s="31"/>
      <c r="U1307" s="28" t="s">
        <v>75</v>
      </c>
      <c r="V1307" s="28" t="s">
        <v>75</v>
      </c>
      <c r="W1307" s="31"/>
    </row>
    <row r="1308" spans="1:23">
      <c r="A1308" s="46" t="s">
        <v>572</v>
      </c>
      <c r="B1308" s="28" t="s">
        <v>1637</v>
      </c>
      <c r="C1308" s="28" t="s">
        <v>2589</v>
      </c>
      <c r="D1308" s="31" t="s">
        <v>1168</v>
      </c>
      <c r="E1308" s="31" t="s">
        <v>1210</v>
      </c>
      <c r="F1308" s="28" t="s">
        <v>1413</v>
      </c>
      <c r="G1308" s="28" t="s">
        <v>1005</v>
      </c>
      <c r="H1308" s="35" t="s">
        <v>1056</v>
      </c>
      <c r="I1308" s="28" t="e">
        <f>VLOOKUP(E1308,표준용어사전!$C$2:$D$494, 2, FALSE)</f>
        <v>#N/A</v>
      </c>
      <c r="J1308" s="33" t="s">
        <v>570</v>
      </c>
      <c r="K1308" s="29" t="s">
        <v>986</v>
      </c>
      <c r="L1308" s="55" t="s">
        <v>571</v>
      </c>
      <c r="M1308" s="29" t="s">
        <v>961</v>
      </c>
      <c r="N1308" s="32" t="s">
        <v>973</v>
      </c>
      <c r="O1308" s="31" t="s">
        <v>641</v>
      </c>
      <c r="P1308" s="31"/>
      <c r="Q1308" s="28" t="s">
        <v>76</v>
      </c>
      <c r="R1308" s="29"/>
      <c r="S1308" s="31"/>
      <c r="T1308" s="31"/>
      <c r="U1308" s="28" t="s">
        <v>75</v>
      </c>
      <c r="V1308" s="28" t="s">
        <v>75</v>
      </c>
      <c r="W1308" s="31"/>
    </row>
    <row r="1309" spans="1:23">
      <c r="A1309" s="46" t="s">
        <v>572</v>
      </c>
      <c r="B1309" s="28" t="s">
        <v>1637</v>
      </c>
      <c r="C1309" s="28" t="s">
        <v>2589</v>
      </c>
      <c r="D1309" s="31" t="s">
        <v>1168</v>
      </c>
      <c r="E1309" s="31" t="s">
        <v>1234</v>
      </c>
      <c r="F1309" s="28" t="s">
        <v>1032</v>
      </c>
      <c r="G1309" s="28" t="s">
        <v>1032</v>
      </c>
      <c r="H1309" s="35" t="s">
        <v>1056</v>
      </c>
      <c r="I1309" s="28" t="e">
        <f>VLOOKUP(E1309,표준용어사전!$C$2:$D$494, 2, FALSE)</f>
        <v>#N/A</v>
      </c>
      <c r="J1309" s="33" t="s">
        <v>16</v>
      </c>
      <c r="K1309" s="29" t="s">
        <v>927</v>
      </c>
      <c r="L1309" s="55" t="s">
        <v>571</v>
      </c>
      <c r="M1309" s="29" t="s">
        <v>726</v>
      </c>
      <c r="N1309" s="32" t="s">
        <v>973</v>
      </c>
      <c r="O1309" s="31"/>
      <c r="P1309" s="31"/>
      <c r="Q1309" s="28" t="s">
        <v>76</v>
      </c>
      <c r="R1309" s="29"/>
      <c r="S1309" s="31"/>
      <c r="T1309" s="28" t="s">
        <v>574</v>
      </c>
      <c r="U1309" s="28" t="s">
        <v>75</v>
      </c>
      <c r="V1309" s="28" t="s">
        <v>75</v>
      </c>
      <c r="W1309" s="31"/>
    </row>
    <row r="1310" spans="1:23">
      <c r="A1310" s="46" t="s">
        <v>572</v>
      </c>
      <c r="B1310" s="28" t="s">
        <v>1637</v>
      </c>
      <c r="C1310" s="28" t="s">
        <v>2589</v>
      </c>
      <c r="D1310" s="31" t="s">
        <v>1168</v>
      </c>
      <c r="E1310" s="31" t="s">
        <v>1194</v>
      </c>
      <c r="F1310" s="28" t="s">
        <v>1501</v>
      </c>
      <c r="G1310" s="31" t="s">
        <v>1714</v>
      </c>
      <c r="H1310" s="35" t="s">
        <v>1056</v>
      </c>
      <c r="I1310" s="28" t="e">
        <f>VLOOKUP(E1310,표준용어사전!$C$2:$D$494, 2, FALSE)</f>
        <v>#N/A</v>
      </c>
      <c r="J1310" s="33" t="s">
        <v>570</v>
      </c>
      <c r="K1310" s="29" t="s">
        <v>985</v>
      </c>
      <c r="L1310" s="55" t="s">
        <v>571</v>
      </c>
      <c r="M1310" s="29" t="s">
        <v>722</v>
      </c>
      <c r="N1310" s="32" t="s">
        <v>75</v>
      </c>
      <c r="O1310" s="31"/>
      <c r="P1310" s="31"/>
      <c r="Q1310" s="28" t="s">
        <v>76</v>
      </c>
      <c r="R1310" s="29"/>
      <c r="S1310" s="31"/>
      <c r="T1310" s="31"/>
      <c r="U1310" s="28" t="s">
        <v>75</v>
      </c>
      <c r="V1310" s="28" t="s">
        <v>75</v>
      </c>
      <c r="W1310" s="31"/>
    </row>
    <row r="1311" spans="1:23">
      <c r="A1311" s="46" t="s">
        <v>572</v>
      </c>
      <c r="B1311" s="28" t="s">
        <v>1637</v>
      </c>
      <c r="C1311" s="28" t="s">
        <v>2589</v>
      </c>
      <c r="D1311" s="31" t="s">
        <v>1168</v>
      </c>
      <c r="E1311" s="31" t="s">
        <v>1250</v>
      </c>
      <c r="F1311" s="28" t="s">
        <v>1057</v>
      </c>
      <c r="G1311" s="28" t="s">
        <v>1057</v>
      </c>
      <c r="H1311" s="35" t="s">
        <v>1056</v>
      </c>
      <c r="I1311" s="28" t="e">
        <f>VLOOKUP(E1311,표준용어사전!$C$2:$D$494, 2, FALSE)</f>
        <v>#N/A</v>
      </c>
      <c r="J1311" s="33" t="s">
        <v>570</v>
      </c>
      <c r="K1311" s="29" t="s">
        <v>985</v>
      </c>
      <c r="L1311" s="55" t="s">
        <v>571</v>
      </c>
      <c r="M1311" s="29" t="s">
        <v>722</v>
      </c>
      <c r="N1311" s="32" t="s">
        <v>75</v>
      </c>
      <c r="O1311" s="31"/>
      <c r="P1311" s="31"/>
      <c r="Q1311" s="28" t="s">
        <v>76</v>
      </c>
      <c r="R1311" s="29"/>
      <c r="S1311" s="31"/>
      <c r="T1311" s="31"/>
      <c r="U1311" s="28" t="s">
        <v>75</v>
      </c>
      <c r="V1311" s="28" t="s">
        <v>75</v>
      </c>
      <c r="W1311" s="31"/>
    </row>
    <row r="1312" spans="1:23">
      <c r="A1312" s="46" t="s">
        <v>572</v>
      </c>
      <c r="B1312" s="28" t="s">
        <v>1637</v>
      </c>
      <c r="C1312" s="28" t="s">
        <v>2589</v>
      </c>
      <c r="D1312" s="31" t="s">
        <v>1169</v>
      </c>
      <c r="E1312" s="31" t="s">
        <v>1210</v>
      </c>
      <c r="F1312" s="28" t="s">
        <v>1413</v>
      </c>
      <c r="G1312" s="28" t="s">
        <v>1058</v>
      </c>
      <c r="H1312" s="35" t="s">
        <v>1059</v>
      </c>
      <c r="I1312" s="28" t="e">
        <f>VLOOKUP(E1312,표준용어사전!$C$2:$D$494, 2, FALSE)</f>
        <v>#N/A</v>
      </c>
      <c r="J1312" s="33" t="s">
        <v>570</v>
      </c>
      <c r="K1312" s="29" t="s">
        <v>986</v>
      </c>
      <c r="L1312" s="55" t="s">
        <v>571</v>
      </c>
      <c r="M1312" s="29" t="s">
        <v>961</v>
      </c>
      <c r="N1312" s="32" t="s">
        <v>973</v>
      </c>
      <c r="O1312" s="31" t="s">
        <v>641</v>
      </c>
      <c r="P1312" s="31" t="s">
        <v>2741</v>
      </c>
      <c r="Q1312" s="28" t="s">
        <v>76</v>
      </c>
      <c r="R1312" s="29"/>
      <c r="S1312" s="31"/>
      <c r="T1312" s="31"/>
      <c r="U1312" s="28" t="s">
        <v>75</v>
      </c>
      <c r="V1312" s="28" t="s">
        <v>75</v>
      </c>
      <c r="W1312" s="31"/>
    </row>
    <row r="1313" spans="1:23">
      <c r="A1313" s="46" t="s">
        <v>572</v>
      </c>
      <c r="B1313" s="28" t="s">
        <v>1637</v>
      </c>
      <c r="C1313" s="28" t="s">
        <v>2589</v>
      </c>
      <c r="D1313" s="31" t="s">
        <v>1169</v>
      </c>
      <c r="E1313" s="31" t="s">
        <v>1251</v>
      </c>
      <c r="F1313" s="28" t="s">
        <v>1060</v>
      </c>
      <c r="G1313" s="28" t="s">
        <v>1060</v>
      </c>
      <c r="H1313" s="35" t="s">
        <v>1059</v>
      </c>
      <c r="I1313" s="28" t="e">
        <f>VLOOKUP(E1313,표준용어사전!$C$2:$D$494, 2, FALSE)</f>
        <v>#N/A</v>
      </c>
      <c r="J1313" s="33" t="s">
        <v>63</v>
      </c>
      <c r="K1313" s="29" t="s">
        <v>1061</v>
      </c>
      <c r="L1313" s="55" t="s">
        <v>571</v>
      </c>
      <c r="M1313" s="29">
        <v>9999999999</v>
      </c>
      <c r="N1313" s="32" t="s">
        <v>973</v>
      </c>
      <c r="O1313" s="31" t="s">
        <v>573</v>
      </c>
      <c r="P1313" s="31"/>
      <c r="Q1313" s="28" t="s">
        <v>76</v>
      </c>
      <c r="R1313" s="29"/>
      <c r="S1313" s="31"/>
      <c r="T1313" s="31"/>
      <c r="U1313" s="28" t="s">
        <v>75</v>
      </c>
      <c r="V1313" s="28" t="s">
        <v>75</v>
      </c>
      <c r="W1313" s="31"/>
    </row>
    <row r="1314" spans="1:23">
      <c r="A1314" s="46" t="s">
        <v>572</v>
      </c>
      <c r="B1314" s="28" t="s">
        <v>1637</v>
      </c>
      <c r="C1314" s="28" t="s">
        <v>2589</v>
      </c>
      <c r="D1314" s="31" t="s">
        <v>1169</v>
      </c>
      <c r="E1314" s="31" t="s">
        <v>1252</v>
      </c>
      <c r="F1314" s="28" t="s">
        <v>956</v>
      </c>
      <c r="G1314" s="28" t="s">
        <v>956</v>
      </c>
      <c r="H1314" s="35" t="s">
        <v>1059</v>
      </c>
      <c r="I1314" s="28" t="e">
        <f>VLOOKUP(E1314,표준용어사전!$C$2:$D$494, 2, FALSE)</f>
        <v>#N/A</v>
      </c>
      <c r="J1314" s="33" t="s">
        <v>78</v>
      </c>
      <c r="K1314" s="29" t="s">
        <v>1062</v>
      </c>
      <c r="L1314" s="55" t="s">
        <v>571</v>
      </c>
      <c r="M1314" s="29" t="s">
        <v>728</v>
      </c>
      <c r="N1314" s="32" t="s">
        <v>973</v>
      </c>
      <c r="O1314" s="31"/>
      <c r="P1314" s="31"/>
      <c r="Q1314" s="28" t="s">
        <v>76</v>
      </c>
      <c r="R1314" s="29"/>
      <c r="S1314" s="31"/>
      <c r="T1314" s="31"/>
      <c r="U1314" s="28" t="s">
        <v>75</v>
      </c>
      <c r="V1314" s="28" t="s">
        <v>75</v>
      </c>
      <c r="W1314" s="31"/>
    </row>
    <row r="1315" spans="1:23">
      <c r="A1315" s="46" t="s">
        <v>572</v>
      </c>
      <c r="B1315" s="28" t="s">
        <v>1637</v>
      </c>
      <c r="C1315" s="28" t="s">
        <v>2589</v>
      </c>
      <c r="D1315" s="31" t="s">
        <v>1169</v>
      </c>
      <c r="E1315" s="31" t="s">
        <v>1253</v>
      </c>
      <c r="F1315" s="28" t="s">
        <v>1063</v>
      </c>
      <c r="G1315" s="28" t="s">
        <v>1063</v>
      </c>
      <c r="H1315" s="35" t="s">
        <v>1059</v>
      </c>
      <c r="I1315" s="28" t="e">
        <f>VLOOKUP(E1315,표준용어사전!$C$2:$D$494, 2, FALSE)</f>
        <v>#N/A</v>
      </c>
      <c r="J1315" s="33" t="s">
        <v>78</v>
      </c>
      <c r="K1315" s="29" t="s">
        <v>1064</v>
      </c>
      <c r="L1315" s="55" t="s">
        <v>571</v>
      </c>
      <c r="M1315" s="29" t="s">
        <v>732</v>
      </c>
      <c r="N1315" s="32" t="s">
        <v>973</v>
      </c>
      <c r="O1315" s="31"/>
      <c r="P1315" s="31"/>
      <c r="Q1315" s="28" t="s">
        <v>76</v>
      </c>
      <c r="R1315" s="29"/>
      <c r="S1315" s="31"/>
      <c r="T1315" s="31"/>
      <c r="U1315" s="28" t="s">
        <v>75</v>
      </c>
      <c r="V1315" s="28" t="s">
        <v>75</v>
      </c>
      <c r="W1315" s="31"/>
    </row>
    <row r="1316" spans="1:23">
      <c r="A1316" s="46" t="s">
        <v>572</v>
      </c>
      <c r="B1316" s="28" t="s">
        <v>1637</v>
      </c>
      <c r="C1316" s="28" t="s">
        <v>2589</v>
      </c>
      <c r="D1316" s="31" t="s">
        <v>1169</v>
      </c>
      <c r="E1316" s="31" t="s">
        <v>1254</v>
      </c>
      <c r="F1316" s="28" t="s">
        <v>1065</v>
      </c>
      <c r="G1316" s="28" t="s">
        <v>1065</v>
      </c>
      <c r="H1316" s="35" t="s">
        <v>1059</v>
      </c>
      <c r="I1316" s="28" t="e">
        <f>VLOOKUP(E1316,표준용어사전!$C$2:$D$494, 2, FALSE)</f>
        <v>#N/A</v>
      </c>
      <c r="J1316" s="33" t="s">
        <v>78</v>
      </c>
      <c r="K1316" s="29" t="s">
        <v>1064</v>
      </c>
      <c r="L1316" s="55" t="s">
        <v>571</v>
      </c>
      <c r="M1316" s="29" t="s">
        <v>732</v>
      </c>
      <c r="N1316" s="32" t="s">
        <v>75</v>
      </c>
      <c r="O1316" s="31"/>
      <c r="P1316" s="31"/>
      <c r="Q1316" s="28" t="s">
        <v>76</v>
      </c>
      <c r="R1316" s="29"/>
      <c r="S1316" s="31"/>
      <c r="T1316" s="31"/>
      <c r="U1316" s="28" t="s">
        <v>75</v>
      </c>
      <c r="V1316" s="28" t="s">
        <v>75</v>
      </c>
      <c r="W1316" s="31"/>
    </row>
    <row r="1317" spans="1:23">
      <c r="A1317" s="46" t="s">
        <v>572</v>
      </c>
      <c r="B1317" s="28" t="s">
        <v>1637</v>
      </c>
      <c r="C1317" s="28" t="s">
        <v>2589</v>
      </c>
      <c r="D1317" s="31" t="s">
        <v>1169</v>
      </c>
      <c r="E1317" s="31" t="s">
        <v>1255</v>
      </c>
      <c r="F1317" s="28" t="s">
        <v>1066</v>
      </c>
      <c r="G1317" s="28" t="s">
        <v>1066</v>
      </c>
      <c r="H1317" s="35" t="s">
        <v>1059</v>
      </c>
      <c r="I1317" s="28" t="e">
        <f>VLOOKUP(E1317,표준용어사전!$C$2:$D$494, 2, FALSE)</f>
        <v>#N/A</v>
      </c>
      <c r="J1317" s="33" t="s">
        <v>78</v>
      </c>
      <c r="K1317" s="29" t="s">
        <v>986</v>
      </c>
      <c r="L1317" s="55" t="s">
        <v>571</v>
      </c>
      <c r="M1317" s="29" t="s">
        <v>727</v>
      </c>
      <c r="N1317" s="32" t="s">
        <v>973</v>
      </c>
      <c r="O1317" s="31"/>
      <c r="P1317" s="31"/>
      <c r="Q1317" s="28" t="s">
        <v>76</v>
      </c>
      <c r="R1317" s="29"/>
      <c r="S1317" s="31"/>
      <c r="T1317" s="31"/>
      <c r="U1317" s="28" t="s">
        <v>75</v>
      </c>
      <c r="V1317" s="28" t="s">
        <v>75</v>
      </c>
      <c r="W1317" s="31"/>
    </row>
    <row r="1318" spans="1:23">
      <c r="A1318" s="46" t="s">
        <v>572</v>
      </c>
      <c r="B1318" s="28" t="s">
        <v>1637</v>
      </c>
      <c r="C1318" s="28" t="s">
        <v>2589</v>
      </c>
      <c r="D1318" s="31" t="s">
        <v>1169</v>
      </c>
      <c r="E1318" s="31" t="s">
        <v>1256</v>
      </c>
      <c r="F1318" s="28" t="s">
        <v>1067</v>
      </c>
      <c r="G1318" s="28" t="s">
        <v>1067</v>
      </c>
      <c r="H1318" s="35" t="s">
        <v>1059</v>
      </c>
      <c r="I1318" s="28" t="e">
        <f>VLOOKUP(E1318,표준용어사전!$C$2:$D$494, 2, FALSE)</f>
        <v>#N/A</v>
      </c>
      <c r="J1318" s="33" t="s">
        <v>1000</v>
      </c>
      <c r="K1318" s="29" t="s">
        <v>927</v>
      </c>
      <c r="L1318" s="55" t="s">
        <v>571</v>
      </c>
      <c r="M1318" s="29"/>
      <c r="N1318" s="32" t="s">
        <v>75</v>
      </c>
      <c r="O1318" s="31"/>
      <c r="P1318" s="31"/>
      <c r="Q1318" s="28" t="s">
        <v>76</v>
      </c>
      <c r="R1318" s="29"/>
      <c r="S1318" s="31"/>
      <c r="T1318" s="31"/>
      <c r="U1318" s="28" t="s">
        <v>75</v>
      </c>
      <c r="V1318" s="28" t="s">
        <v>75</v>
      </c>
      <c r="W1318" s="31"/>
    </row>
    <row r="1319" spans="1:23">
      <c r="A1319" s="46" t="s">
        <v>572</v>
      </c>
      <c r="B1319" s="28" t="s">
        <v>1637</v>
      </c>
      <c r="C1319" s="28" t="s">
        <v>2589</v>
      </c>
      <c r="D1319" s="31" t="s">
        <v>1169</v>
      </c>
      <c r="E1319" s="31" t="s">
        <v>1257</v>
      </c>
      <c r="F1319" s="28" t="s">
        <v>1068</v>
      </c>
      <c r="G1319" s="28" t="s">
        <v>1068</v>
      </c>
      <c r="H1319" s="35" t="s">
        <v>1059</v>
      </c>
      <c r="I1319" s="28" t="e">
        <f>VLOOKUP(E1319,표준용어사전!$C$2:$D$494, 2, FALSE)</f>
        <v>#N/A</v>
      </c>
      <c r="J1319" s="33" t="s">
        <v>63</v>
      </c>
      <c r="K1319" s="29" t="s">
        <v>1061</v>
      </c>
      <c r="L1319" s="55" t="s">
        <v>571</v>
      </c>
      <c r="M1319" s="29">
        <v>9999999999</v>
      </c>
      <c r="N1319" s="32" t="s">
        <v>75</v>
      </c>
      <c r="O1319" s="31"/>
      <c r="P1319" s="31"/>
      <c r="Q1319" s="28" t="s">
        <v>76</v>
      </c>
      <c r="R1319" s="29"/>
      <c r="S1319" s="31"/>
      <c r="T1319" s="31"/>
      <c r="U1319" s="28" t="s">
        <v>75</v>
      </c>
      <c r="V1319" s="28" t="s">
        <v>75</v>
      </c>
      <c r="W1319" s="31"/>
    </row>
    <row r="1320" spans="1:23">
      <c r="A1320" s="46" t="s">
        <v>572</v>
      </c>
      <c r="B1320" s="28" t="s">
        <v>1637</v>
      </c>
      <c r="C1320" s="28" t="s">
        <v>2589</v>
      </c>
      <c r="D1320" s="31" t="s">
        <v>1169</v>
      </c>
      <c r="E1320" s="31" t="s">
        <v>1258</v>
      </c>
      <c r="F1320" s="28" t="s">
        <v>1453</v>
      </c>
      <c r="G1320" s="28" t="s">
        <v>1453</v>
      </c>
      <c r="H1320" s="35" t="s">
        <v>1059</v>
      </c>
      <c r="I1320" s="28" t="e">
        <f>VLOOKUP(E1320,표준용어사전!$C$2:$D$494, 2, FALSE)</f>
        <v>#N/A</v>
      </c>
      <c r="J1320" s="33" t="s">
        <v>78</v>
      </c>
      <c r="K1320" s="29" t="s">
        <v>1061</v>
      </c>
      <c r="L1320" s="55" t="s">
        <v>571</v>
      </c>
      <c r="M1320" s="29" t="s">
        <v>1119</v>
      </c>
      <c r="N1320" s="32" t="s">
        <v>75</v>
      </c>
      <c r="O1320" s="31"/>
      <c r="P1320" s="31"/>
      <c r="Q1320" s="28" t="s">
        <v>76</v>
      </c>
      <c r="R1320" s="29"/>
      <c r="S1320" s="31"/>
      <c r="T1320" s="31"/>
      <c r="U1320" s="28" t="s">
        <v>75</v>
      </c>
      <c r="V1320" s="28" t="s">
        <v>75</v>
      </c>
      <c r="W1320" s="31"/>
    </row>
    <row r="1321" spans="1:23">
      <c r="A1321" s="46" t="s">
        <v>572</v>
      </c>
      <c r="B1321" s="28" t="s">
        <v>1637</v>
      </c>
      <c r="C1321" s="28" t="s">
        <v>2589</v>
      </c>
      <c r="D1321" s="31" t="s">
        <v>1169</v>
      </c>
      <c r="E1321" s="31" t="s">
        <v>1259</v>
      </c>
      <c r="F1321" s="28" t="s">
        <v>1069</v>
      </c>
      <c r="G1321" s="28" t="s">
        <v>1069</v>
      </c>
      <c r="H1321" s="35" t="s">
        <v>1059</v>
      </c>
      <c r="I1321" s="28" t="e">
        <f>VLOOKUP(E1321,표준용어사전!$C$2:$D$494, 2, FALSE)</f>
        <v>#N/A</v>
      </c>
      <c r="J1321" s="33" t="s">
        <v>78</v>
      </c>
      <c r="K1321" s="29" t="s">
        <v>1061</v>
      </c>
      <c r="L1321" s="55" t="s">
        <v>571</v>
      </c>
      <c r="M1321" s="29" t="s">
        <v>1119</v>
      </c>
      <c r="N1321" s="32" t="s">
        <v>75</v>
      </c>
      <c r="O1321" s="31"/>
      <c r="P1321" s="31"/>
      <c r="Q1321" s="28" t="s">
        <v>76</v>
      </c>
      <c r="R1321" s="29"/>
      <c r="S1321" s="31"/>
      <c r="T1321" s="31"/>
      <c r="U1321" s="28" t="s">
        <v>75</v>
      </c>
      <c r="V1321" s="28" t="s">
        <v>75</v>
      </c>
      <c r="W1321" s="31"/>
    </row>
    <row r="1322" spans="1:23">
      <c r="A1322" s="46" t="s">
        <v>572</v>
      </c>
      <c r="B1322" s="28" t="s">
        <v>1637</v>
      </c>
      <c r="C1322" s="28" t="s">
        <v>2589</v>
      </c>
      <c r="D1322" s="31" t="s">
        <v>1170</v>
      </c>
      <c r="E1322" s="31" t="s">
        <v>1260</v>
      </c>
      <c r="F1322" s="28" t="s">
        <v>1070</v>
      </c>
      <c r="G1322" s="28" t="s">
        <v>1070</v>
      </c>
      <c r="H1322" s="35" t="s">
        <v>1071</v>
      </c>
      <c r="I1322" s="28" t="e">
        <f>VLOOKUP(E1322,표준용어사전!$C$2:$D$494, 2, FALSE)</f>
        <v>#N/A</v>
      </c>
      <c r="J1322" s="33" t="s">
        <v>570</v>
      </c>
      <c r="K1322" s="29" t="s">
        <v>986</v>
      </c>
      <c r="L1322" s="55" t="s">
        <v>571</v>
      </c>
      <c r="M1322" s="29" t="s">
        <v>961</v>
      </c>
      <c r="N1322" s="32" t="s">
        <v>973</v>
      </c>
      <c r="O1322" s="31" t="s">
        <v>641</v>
      </c>
      <c r="P1322" s="31"/>
      <c r="Q1322" s="28" t="s">
        <v>76</v>
      </c>
      <c r="R1322" s="29"/>
      <c r="S1322" s="31"/>
      <c r="T1322" s="31"/>
      <c r="U1322" s="28" t="s">
        <v>75</v>
      </c>
      <c r="V1322" s="28" t="s">
        <v>75</v>
      </c>
      <c r="W1322" s="31"/>
    </row>
    <row r="1323" spans="1:23">
      <c r="A1323" s="46" t="s">
        <v>572</v>
      </c>
      <c r="B1323" s="28" t="s">
        <v>1637</v>
      </c>
      <c r="C1323" s="28" t="s">
        <v>2589</v>
      </c>
      <c r="D1323" s="31" t="s">
        <v>1170</v>
      </c>
      <c r="E1323" s="31" t="s">
        <v>1261</v>
      </c>
      <c r="F1323" s="28" t="s">
        <v>1072</v>
      </c>
      <c r="G1323" s="28" t="s">
        <v>1072</v>
      </c>
      <c r="H1323" s="35" t="s">
        <v>1071</v>
      </c>
      <c r="I1323" s="28" t="e">
        <f>VLOOKUP(E1323,표준용어사전!$C$2:$D$494, 2, FALSE)</f>
        <v>#N/A</v>
      </c>
      <c r="J1323" s="33" t="s">
        <v>78</v>
      </c>
      <c r="K1323" s="29" t="s">
        <v>986</v>
      </c>
      <c r="L1323" s="55" t="s">
        <v>571</v>
      </c>
      <c r="M1323" s="29" t="s">
        <v>727</v>
      </c>
      <c r="N1323" s="32" t="s">
        <v>75</v>
      </c>
      <c r="O1323" s="31"/>
      <c r="P1323" s="31"/>
      <c r="Q1323" s="28" t="s">
        <v>76</v>
      </c>
      <c r="R1323" s="29"/>
      <c r="S1323" s="31"/>
      <c r="T1323" s="31"/>
      <c r="U1323" s="28" t="s">
        <v>75</v>
      </c>
      <c r="V1323" s="28" t="s">
        <v>75</v>
      </c>
      <c r="W1323" s="31"/>
    </row>
    <row r="1324" spans="1:23">
      <c r="A1324" s="46" t="s">
        <v>572</v>
      </c>
      <c r="B1324" s="28" t="s">
        <v>1637</v>
      </c>
      <c r="C1324" s="28" t="s">
        <v>2589</v>
      </c>
      <c r="D1324" s="31" t="s">
        <v>1170</v>
      </c>
      <c r="E1324" s="31" t="s">
        <v>1262</v>
      </c>
      <c r="F1324" s="28" t="s">
        <v>1627</v>
      </c>
      <c r="G1324" s="28" t="s">
        <v>1627</v>
      </c>
      <c r="H1324" s="35" t="s">
        <v>1071</v>
      </c>
      <c r="I1324" s="28" t="e">
        <f>VLOOKUP(E1324,표준용어사전!$C$2:$D$494, 2, FALSE)</f>
        <v>#N/A</v>
      </c>
      <c r="J1324" s="33" t="s">
        <v>78</v>
      </c>
      <c r="K1324" s="29" t="s">
        <v>1073</v>
      </c>
      <c r="L1324" s="55" t="s">
        <v>571</v>
      </c>
      <c r="M1324" s="29" t="s">
        <v>788</v>
      </c>
      <c r="N1324" s="32" t="s">
        <v>75</v>
      </c>
      <c r="O1324" s="31"/>
      <c r="P1324" s="31"/>
      <c r="Q1324" s="28" t="s">
        <v>76</v>
      </c>
      <c r="R1324" s="29"/>
      <c r="S1324" s="31"/>
      <c r="T1324" s="31"/>
      <c r="U1324" s="28" t="s">
        <v>75</v>
      </c>
      <c r="V1324" s="28" t="s">
        <v>75</v>
      </c>
      <c r="W1324" s="31"/>
    </row>
    <row r="1325" spans="1:23">
      <c r="A1325" s="46" t="s">
        <v>572</v>
      </c>
      <c r="B1325" s="28" t="s">
        <v>1637</v>
      </c>
      <c r="C1325" s="28" t="s">
        <v>2589</v>
      </c>
      <c r="D1325" s="31" t="s">
        <v>1170</v>
      </c>
      <c r="E1325" s="31" t="s">
        <v>1263</v>
      </c>
      <c r="F1325" s="28" t="s">
        <v>1074</v>
      </c>
      <c r="G1325" s="28" t="s">
        <v>1074</v>
      </c>
      <c r="H1325" s="35" t="s">
        <v>1071</v>
      </c>
      <c r="I1325" s="28" t="e">
        <f>VLOOKUP(E1325,표준용어사전!$C$2:$D$494, 2, FALSE)</f>
        <v>#N/A</v>
      </c>
      <c r="J1325" s="33" t="s">
        <v>78</v>
      </c>
      <c r="K1325" s="29" t="s">
        <v>1002</v>
      </c>
      <c r="L1325" s="55" t="s">
        <v>571</v>
      </c>
      <c r="M1325" s="29" t="s">
        <v>720</v>
      </c>
      <c r="N1325" s="32" t="s">
        <v>75</v>
      </c>
      <c r="O1325" s="31"/>
      <c r="P1325" s="31"/>
      <c r="Q1325" s="28" t="s">
        <v>76</v>
      </c>
      <c r="R1325" s="29"/>
      <c r="S1325" s="31"/>
      <c r="T1325" s="31"/>
      <c r="U1325" s="28" t="s">
        <v>75</v>
      </c>
      <c r="V1325" s="28" t="s">
        <v>75</v>
      </c>
      <c r="W1325" s="31"/>
    </row>
    <row r="1326" spans="1:23">
      <c r="A1326" s="46" t="s">
        <v>572</v>
      </c>
      <c r="B1326" s="28" t="s">
        <v>1637</v>
      </c>
      <c r="C1326" s="28" t="s">
        <v>2589</v>
      </c>
      <c r="D1326" s="31" t="s">
        <v>1170</v>
      </c>
      <c r="E1326" s="31" t="s">
        <v>1264</v>
      </c>
      <c r="F1326" s="28" t="s">
        <v>1075</v>
      </c>
      <c r="G1326" s="28" t="s">
        <v>1075</v>
      </c>
      <c r="H1326" s="35" t="s">
        <v>1071</v>
      </c>
      <c r="I1326" s="28" t="e">
        <f>VLOOKUP(E1326,표준용어사전!$C$2:$D$494, 2, FALSE)</f>
        <v>#N/A</v>
      </c>
      <c r="J1326" s="33" t="s">
        <v>78</v>
      </c>
      <c r="K1326" s="29" t="s">
        <v>1002</v>
      </c>
      <c r="L1326" s="55" t="s">
        <v>571</v>
      </c>
      <c r="M1326" s="29" t="s">
        <v>720</v>
      </c>
      <c r="N1326" s="32" t="s">
        <v>75</v>
      </c>
      <c r="O1326" s="31"/>
      <c r="P1326" s="31"/>
      <c r="Q1326" s="28" t="s">
        <v>76</v>
      </c>
      <c r="R1326" s="29"/>
      <c r="S1326" s="31"/>
      <c r="T1326" s="31"/>
      <c r="U1326" s="28" t="s">
        <v>75</v>
      </c>
      <c r="V1326" s="28" t="s">
        <v>75</v>
      </c>
      <c r="W1326" s="31"/>
    </row>
    <row r="1327" spans="1:23">
      <c r="A1327" s="46" t="s">
        <v>572</v>
      </c>
      <c r="B1327" s="28" t="s">
        <v>1637</v>
      </c>
      <c r="C1327" s="28" t="s">
        <v>2589</v>
      </c>
      <c r="D1327" s="31" t="s">
        <v>1170</v>
      </c>
      <c r="E1327" s="31" t="s">
        <v>1265</v>
      </c>
      <c r="F1327" s="28" t="s">
        <v>1076</v>
      </c>
      <c r="G1327" s="28" t="s">
        <v>1076</v>
      </c>
      <c r="H1327" s="35" t="s">
        <v>1071</v>
      </c>
      <c r="I1327" s="28" t="e">
        <f>VLOOKUP(E1327,표준용어사전!$C$2:$D$494, 2, FALSE)</f>
        <v>#N/A</v>
      </c>
      <c r="J1327" s="33" t="s">
        <v>78</v>
      </c>
      <c r="K1327" s="29" t="s">
        <v>996</v>
      </c>
      <c r="L1327" s="55" t="s">
        <v>571</v>
      </c>
      <c r="M1327" s="29" t="s">
        <v>1018</v>
      </c>
      <c r="N1327" s="32" t="s">
        <v>75</v>
      </c>
      <c r="O1327" s="31"/>
      <c r="P1327" s="31"/>
      <c r="Q1327" s="28" t="s">
        <v>76</v>
      </c>
      <c r="R1327" s="29"/>
      <c r="S1327" s="31"/>
      <c r="T1327" s="31"/>
      <c r="U1327" s="28" t="s">
        <v>75</v>
      </c>
      <c r="V1327" s="28" t="s">
        <v>75</v>
      </c>
      <c r="W1327" s="31"/>
    </row>
    <row r="1328" spans="1:23">
      <c r="A1328" s="46" t="s">
        <v>572</v>
      </c>
      <c r="B1328" s="28" t="s">
        <v>1637</v>
      </c>
      <c r="C1328" s="28" t="s">
        <v>2589</v>
      </c>
      <c r="D1328" s="31" t="s">
        <v>1170</v>
      </c>
      <c r="E1328" s="31" t="s">
        <v>1266</v>
      </c>
      <c r="F1328" s="28" t="s">
        <v>1077</v>
      </c>
      <c r="G1328" s="28" t="s">
        <v>1077</v>
      </c>
      <c r="H1328" s="35" t="s">
        <v>1071</v>
      </c>
      <c r="I1328" s="28" t="e">
        <f>VLOOKUP(E1328,표준용어사전!$C$2:$D$494, 2, FALSE)</f>
        <v>#N/A</v>
      </c>
      <c r="J1328" s="33" t="s">
        <v>570</v>
      </c>
      <c r="K1328" s="29" t="s">
        <v>985</v>
      </c>
      <c r="L1328" s="55" t="s">
        <v>571</v>
      </c>
      <c r="M1328" s="29" t="s">
        <v>722</v>
      </c>
      <c r="N1328" s="32" t="s">
        <v>75</v>
      </c>
      <c r="O1328" s="31"/>
      <c r="P1328" s="31"/>
      <c r="Q1328" s="28" t="s">
        <v>76</v>
      </c>
      <c r="R1328" s="29"/>
      <c r="S1328" s="31"/>
      <c r="T1328" s="31"/>
      <c r="U1328" s="28" t="s">
        <v>75</v>
      </c>
      <c r="V1328" s="28" t="s">
        <v>75</v>
      </c>
      <c r="W1328" s="31"/>
    </row>
    <row r="1329" spans="1:23">
      <c r="A1329" s="46" t="s">
        <v>572</v>
      </c>
      <c r="B1329" s="28" t="s">
        <v>1637</v>
      </c>
      <c r="C1329" s="28" t="s">
        <v>2589</v>
      </c>
      <c r="D1329" s="31" t="s">
        <v>1170</v>
      </c>
      <c r="E1329" s="31" t="s">
        <v>1267</v>
      </c>
      <c r="F1329" s="28" t="s">
        <v>1541</v>
      </c>
      <c r="G1329" s="28" t="s">
        <v>1457</v>
      </c>
      <c r="H1329" s="35" t="s">
        <v>1071</v>
      </c>
      <c r="I1329" s="28" t="e">
        <f>VLOOKUP(E1329,표준용어사전!$C$2:$D$494, 2, FALSE)</f>
        <v>#N/A</v>
      </c>
      <c r="J1329" s="33" t="s">
        <v>570</v>
      </c>
      <c r="K1329" s="29" t="s">
        <v>985</v>
      </c>
      <c r="L1329" s="55" t="s">
        <v>571</v>
      </c>
      <c r="M1329" s="29" t="s">
        <v>722</v>
      </c>
      <c r="N1329" s="32" t="s">
        <v>75</v>
      </c>
      <c r="O1329" s="31"/>
      <c r="P1329" s="31"/>
      <c r="Q1329" s="28" t="s">
        <v>76</v>
      </c>
      <c r="R1329" s="29"/>
      <c r="S1329" s="31"/>
      <c r="T1329" s="31"/>
      <c r="U1329" s="28" t="s">
        <v>75</v>
      </c>
      <c r="V1329" s="28" t="s">
        <v>75</v>
      </c>
      <c r="W1329" s="31"/>
    </row>
    <row r="1330" spans="1:23">
      <c r="A1330" s="46" t="s">
        <v>572</v>
      </c>
      <c r="B1330" s="28" t="s">
        <v>1637</v>
      </c>
      <c r="C1330" s="28" t="s">
        <v>2589</v>
      </c>
      <c r="D1330" s="31" t="s">
        <v>1170</v>
      </c>
      <c r="E1330" s="31" t="s">
        <v>1463</v>
      </c>
      <c r="F1330" s="28" t="s">
        <v>1534</v>
      </c>
      <c r="G1330" s="28" t="s">
        <v>1489</v>
      </c>
      <c r="H1330" s="35" t="s">
        <v>1071</v>
      </c>
      <c r="I1330" s="28" t="e">
        <f>VLOOKUP(E1330,표준용어사전!$C$2:$D$494, 2, FALSE)</f>
        <v>#N/A</v>
      </c>
      <c r="J1330" s="33" t="s">
        <v>570</v>
      </c>
      <c r="K1330" s="29" t="s">
        <v>980</v>
      </c>
      <c r="L1330" s="55" t="s">
        <v>571</v>
      </c>
      <c r="M1330" s="29" t="s">
        <v>981</v>
      </c>
      <c r="N1330" s="32" t="s">
        <v>75</v>
      </c>
      <c r="O1330" s="31"/>
      <c r="P1330" s="31"/>
      <c r="Q1330" s="28" t="s">
        <v>76</v>
      </c>
      <c r="R1330" s="29"/>
      <c r="S1330" s="31"/>
      <c r="T1330" s="31"/>
      <c r="U1330" s="28" t="s">
        <v>75</v>
      </c>
      <c r="V1330" s="28" t="s">
        <v>75</v>
      </c>
      <c r="W1330" s="31"/>
    </row>
    <row r="1331" spans="1:23">
      <c r="A1331" s="46" t="s">
        <v>572</v>
      </c>
      <c r="B1331" s="28" t="s">
        <v>1637</v>
      </c>
      <c r="C1331" s="28" t="s">
        <v>2589</v>
      </c>
      <c r="D1331" s="31" t="s">
        <v>1170</v>
      </c>
      <c r="E1331" s="31" t="s">
        <v>1234</v>
      </c>
      <c r="F1331" s="28" t="s">
        <v>1032</v>
      </c>
      <c r="G1331" s="28" t="s">
        <v>1032</v>
      </c>
      <c r="H1331" s="35" t="s">
        <v>1071</v>
      </c>
      <c r="I1331" s="28" t="e">
        <f>VLOOKUP(E1331,표준용어사전!$C$2:$D$494, 2, FALSE)</f>
        <v>#N/A</v>
      </c>
      <c r="J1331" s="33" t="s">
        <v>16</v>
      </c>
      <c r="K1331" s="29" t="s">
        <v>927</v>
      </c>
      <c r="L1331" s="55" t="s">
        <v>571</v>
      </c>
      <c r="M1331" s="29" t="s">
        <v>726</v>
      </c>
      <c r="N1331" s="32" t="s">
        <v>75</v>
      </c>
      <c r="O1331" s="31"/>
      <c r="P1331" s="31"/>
      <c r="Q1331" s="28" t="s">
        <v>76</v>
      </c>
      <c r="R1331" s="29"/>
      <c r="S1331" s="31"/>
      <c r="T1331" s="28" t="s">
        <v>574</v>
      </c>
      <c r="U1331" s="28" t="s">
        <v>75</v>
      </c>
      <c r="V1331" s="28" t="s">
        <v>75</v>
      </c>
      <c r="W1331" s="31"/>
    </row>
    <row r="1332" spans="1:23">
      <c r="A1332" s="46" t="s">
        <v>572</v>
      </c>
      <c r="B1332" s="28" t="s">
        <v>1637</v>
      </c>
      <c r="C1332" s="28" t="s">
        <v>2589</v>
      </c>
      <c r="D1332" s="31" t="s">
        <v>1171</v>
      </c>
      <c r="E1332" s="31" t="s">
        <v>1212</v>
      </c>
      <c r="F1332" s="28" t="s">
        <v>1434</v>
      </c>
      <c r="G1332" s="28" t="s">
        <v>1434</v>
      </c>
      <c r="H1332" s="35" t="s">
        <v>1078</v>
      </c>
      <c r="I1332" s="28" t="e">
        <f>VLOOKUP(E1332,표준용어사전!$C$2:$D$494, 2, FALSE)</f>
        <v>#N/A</v>
      </c>
      <c r="J1332" s="33" t="s">
        <v>78</v>
      </c>
      <c r="K1332" s="29" t="s">
        <v>986</v>
      </c>
      <c r="L1332" s="55" t="s">
        <v>571</v>
      </c>
      <c r="M1332" s="29" t="s">
        <v>727</v>
      </c>
      <c r="N1332" s="32" t="s">
        <v>973</v>
      </c>
      <c r="O1332" s="31" t="s">
        <v>641</v>
      </c>
      <c r="P1332" s="31"/>
      <c r="Q1332" s="28" t="s">
        <v>76</v>
      </c>
      <c r="R1332" s="29"/>
      <c r="S1332" s="31"/>
      <c r="T1332" s="31"/>
      <c r="U1332" s="28" t="s">
        <v>75</v>
      </c>
      <c r="V1332" s="28" t="s">
        <v>75</v>
      </c>
      <c r="W1332" s="31"/>
    </row>
    <row r="1333" spans="1:23">
      <c r="A1333" s="46" t="s">
        <v>572</v>
      </c>
      <c r="B1333" s="28" t="s">
        <v>1637</v>
      </c>
      <c r="C1333" s="28" t="s">
        <v>2589</v>
      </c>
      <c r="D1333" s="31" t="s">
        <v>1171</v>
      </c>
      <c r="E1333" s="31" t="s">
        <v>1269</v>
      </c>
      <c r="F1333" s="28" t="s">
        <v>1628</v>
      </c>
      <c r="G1333" s="28" t="s">
        <v>1628</v>
      </c>
      <c r="H1333" s="35" t="s">
        <v>1078</v>
      </c>
      <c r="I1333" s="28" t="e">
        <f>VLOOKUP(E1333,표준용어사전!$C$2:$D$494, 2, FALSE)</f>
        <v>#N/A</v>
      </c>
      <c r="J1333" s="33" t="s">
        <v>78</v>
      </c>
      <c r="K1333" s="29" t="s">
        <v>1073</v>
      </c>
      <c r="L1333" s="55" t="s">
        <v>571</v>
      </c>
      <c r="M1333" s="29" t="s">
        <v>788</v>
      </c>
      <c r="N1333" s="32" t="s">
        <v>973</v>
      </c>
      <c r="O1333" s="31"/>
      <c r="P1333" s="31"/>
      <c r="Q1333" s="28" t="s">
        <v>76</v>
      </c>
      <c r="R1333" s="29"/>
      <c r="S1333" s="31"/>
      <c r="T1333" s="31"/>
      <c r="U1333" s="28" t="s">
        <v>75</v>
      </c>
      <c r="V1333" s="28" t="s">
        <v>75</v>
      </c>
      <c r="W1333" s="31"/>
    </row>
    <row r="1334" spans="1:23">
      <c r="A1334" s="46" t="s">
        <v>572</v>
      </c>
      <c r="B1334" s="28" t="s">
        <v>1637</v>
      </c>
      <c r="C1334" s="28" t="s">
        <v>2589</v>
      </c>
      <c r="D1334" s="31" t="s">
        <v>1171</v>
      </c>
      <c r="E1334" s="31" t="s">
        <v>1270</v>
      </c>
      <c r="F1334" s="28" t="s">
        <v>1513</v>
      </c>
      <c r="G1334" s="28" t="s">
        <v>1458</v>
      </c>
      <c r="H1334" s="35" t="s">
        <v>1078</v>
      </c>
      <c r="I1334" s="28" t="e">
        <f>VLOOKUP(E1334,표준용어사전!$C$2:$D$494, 2, FALSE)</f>
        <v>#N/A</v>
      </c>
      <c r="J1334" s="33" t="s">
        <v>570</v>
      </c>
      <c r="K1334" s="29" t="s">
        <v>985</v>
      </c>
      <c r="L1334" s="55" t="s">
        <v>571</v>
      </c>
      <c r="M1334" s="29" t="s">
        <v>722</v>
      </c>
      <c r="N1334" s="32" t="s">
        <v>973</v>
      </c>
      <c r="O1334" s="31"/>
      <c r="P1334" s="31"/>
      <c r="Q1334" s="28" t="s">
        <v>76</v>
      </c>
      <c r="R1334" s="29"/>
      <c r="S1334" s="31"/>
      <c r="T1334" s="31"/>
      <c r="U1334" s="28" t="s">
        <v>75</v>
      </c>
      <c r="V1334" s="28" t="s">
        <v>75</v>
      </c>
      <c r="W1334" s="31"/>
    </row>
    <row r="1335" spans="1:23">
      <c r="A1335" s="46" t="s">
        <v>572</v>
      </c>
      <c r="B1335" s="28" t="s">
        <v>1637</v>
      </c>
      <c r="C1335" s="28" t="s">
        <v>2589</v>
      </c>
      <c r="D1335" s="31" t="s">
        <v>1171</v>
      </c>
      <c r="E1335" s="31" t="s">
        <v>1271</v>
      </c>
      <c r="F1335" s="28" t="s">
        <v>1514</v>
      </c>
      <c r="G1335" s="28" t="s">
        <v>1459</v>
      </c>
      <c r="H1335" s="35" t="s">
        <v>1078</v>
      </c>
      <c r="I1335" s="28" t="e">
        <f>VLOOKUP(E1335,표준용어사전!$C$2:$D$494, 2, FALSE)</f>
        <v>#N/A</v>
      </c>
      <c r="J1335" s="33" t="s">
        <v>570</v>
      </c>
      <c r="K1335" s="29" t="s">
        <v>985</v>
      </c>
      <c r="L1335" s="55" t="s">
        <v>571</v>
      </c>
      <c r="M1335" s="29" t="s">
        <v>722</v>
      </c>
      <c r="N1335" s="32" t="s">
        <v>973</v>
      </c>
      <c r="O1335" s="31"/>
      <c r="P1335" s="31"/>
      <c r="Q1335" s="28" t="s">
        <v>76</v>
      </c>
      <c r="R1335" s="29"/>
      <c r="S1335" s="31"/>
      <c r="T1335" s="31"/>
      <c r="U1335" s="28" t="s">
        <v>75</v>
      </c>
      <c r="V1335" s="28" t="s">
        <v>75</v>
      </c>
      <c r="W1335" s="31"/>
    </row>
    <row r="1336" spans="1:23">
      <c r="A1336" s="46" t="s">
        <v>572</v>
      </c>
      <c r="B1336" s="28" t="s">
        <v>1637</v>
      </c>
      <c r="C1336" s="28" t="s">
        <v>2589</v>
      </c>
      <c r="D1336" s="31" t="s">
        <v>1171</v>
      </c>
      <c r="E1336" s="31" t="s">
        <v>947</v>
      </c>
      <c r="F1336" s="28" t="s">
        <v>964</v>
      </c>
      <c r="G1336" s="28" t="s">
        <v>964</v>
      </c>
      <c r="H1336" s="35" t="s">
        <v>1078</v>
      </c>
      <c r="I1336" s="28" t="e">
        <f>VLOOKUP(E1336,표준용어사전!$C$2:$D$494, 2, FALSE)</f>
        <v>#N/A</v>
      </c>
      <c r="J1336" s="33" t="s">
        <v>78</v>
      </c>
      <c r="K1336" s="29" t="s">
        <v>986</v>
      </c>
      <c r="L1336" s="55" t="s">
        <v>571</v>
      </c>
      <c r="M1336" s="29" t="s">
        <v>727</v>
      </c>
      <c r="N1336" s="32" t="s">
        <v>75</v>
      </c>
      <c r="O1336" s="31"/>
      <c r="P1336" s="31"/>
      <c r="Q1336" s="28" t="s">
        <v>76</v>
      </c>
      <c r="R1336" s="29"/>
      <c r="S1336" s="31"/>
      <c r="T1336" s="31"/>
      <c r="U1336" s="28" t="s">
        <v>75</v>
      </c>
      <c r="V1336" s="28" t="s">
        <v>75</v>
      </c>
      <c r="W1336" s="31"/>
    </row>
    <row r="1337" spans="1:23">
      <c r="A1337" s="46" t="s">
        <v>572</v>
      </c>
      <c r="B1337" s="28" t="s">
        <v>1637</v>
      </c>
      <c r="C1337" s="28" t="s">
        <v>2589</v>
      </c>
      <c r="D1337" s="31" t="s">
        <v>1171</v>
      </c>
      <c r="E1337" s="31" t="s">
        <v>946</v>
      </c>
      <c r="F1337" s="28" t="s">
        <v>959</v>
      </c>
      <c r="G1337" s="28" t="s">
        <v>1451</v>
      </c>
      <c r="H1337" s="35" t="s">
        <v>1078</v>
      </c>
      <c r="I1337" s="28" t="e">
        <f>VLOOKUP(E1337,표준용어사전!$C$2:$D$494, 2, FALSE)</f>
        <v>#N/A</v>
      </c>
      <c r="J1337" s="33" t="s">
        <v>16</v>
      </c>
      <c r="K1337" s="29" t="s">
        <v>927</v>
      </c>
      <c r="L1337" s="55" t="s">
        <v>571</v>
      </c>
      <c r="M1337" s="29" t="s">
        <v>726</v>
      </c>
      <c r="N1337" s="32" t="s">
        <v>75</v>
      </c>
      <c r="O1337" s="31"/>
      <c r="P1337" s="31"/>
      <c r="Q1337" s="28" t="s">
        <v>76</v>
      </c>
      <c r="R1337" s="29"/>
      <c r="S1337" s="31"/>
      <c r="T1337" s="28" t="s">
        <v>574</v>
      </c>
      <c r="U1337" s="28" t="s">
        <v>75</v>
      </c>
      <c r="V1337" s="28" t="s">
        <v>75</v>
      </c>
      <c r="W1337" s="31"/>
    </row>
    <row r="1338" spans="1:23">
      <c r="A1338" s="46" t="s">
        <v>572</v>
      </c>
      <c r="B1338" s="28" t="s">
        <v>1637</v>
      </c>
      <c r="C1338" s="28" t="s">
        <v>2589</v>
      </c>
      <c r="D1338" s="31" t="s">
        <v>1171</v>
      </c>
      <c r="E1338" s="31" t="s">
        <v>949</v>
      </c>
      <c r="F1338" s="28" t="s">
        <v>965</v>
      </c>
      <c r="G1338" s="28" t="s">
        <v>965</v>
      </c>
      <c r="H1338" s="35" t="s">
        <v>1078</v>
      </c>
      <c r="I1338" s="28" t="e">
        <f>VLOOKUP(E1338,표준용어사전!$C$2:$D$494, 2, FALSE)</f>
        <v>#N/A</v>
      </c>
      <c r="J1338" s="33" t="s">
        <v>78</v>
      </c>
      <c r="K1338" s="29" t="s">
        <v>986</v>
      </c>
      <c r="L1338" s="55" t="s">
        <v>571</v>
      </c>
      <c r="M1338" s="29" t="s">
        <v>727</v>
      </c>
      <c r="N1338" s="32" t="s">
        <v>75</v>
      </c>
      <c r="O1338" s="31"/>
      <c r="P1338" s="31"/>
      <c r="Q1338" s="28" t="s">
        <v>76</v>
      </c>
      <c r="R1338" s="29"/>
      <c r="S1338" s="31"/>
      <c r="T1338" s="31"/>
      <c r="U1338" s="28" t="s">
        <v>75</v>
      </c>
      <c r="V1338" s="28" t="s">
        <v>75</v>
      </c>
      <c r="W1338" s="31"/>
    </row>
    <row r="1339" spans="1:23">
      <c r="A1339" s="46" t="s">
        <v>572</v>
      </c>
      <c r="B1339" s="28" t="s">
        <v>1637</v>
      </c>
      <c r="C1339" s="28" t="s">
        <v>2589</v>
      </c>
      <c r="D1339" s="31" t="s">
        <v>1171</v>
      </c>
      <c r="E1339" s="31" t="s">
        <v>948</v>
      </c>
      <c r="F1339" s="28" t="s">
        <v>960</v>
      </c>
      <c r="G1339" s="35" t="s">
        <v>1452</v>
      </c>
      <c r="H1339" s="35" t="s">
        <v>1078</v>
      </c>
      <c r="I1339" s="28" t="e">
        <f>VLOOKUP(E1339,표준용어사전!$C$2:$D$494, 2, FALSE)</f>
        <v>#N/A</v>
      </c>
      <c r="J1339" s="33" t="s">
        <v>16</v>
      </c>
      <c r="K1339" s="29" t="s">
        <v>927</v>
      </c>
      <c r="L1339" s="55" t="s">
        <v>571</v>
      </c>
      <c r="M1339" s="29" t="s">
        <v>726</v>
      </c>
      <c r="N1339" s="32" t="s">
        <v>75</v>
      </c>
      <c r="O1339" s="31"/>
      <c r="P1339" s="31"/>
      <c r="Q1339" s="28" t="s">
        <v>76</v>
      </c>
      <c r="R1339" s="29"/>
      <c r="S1339" s="31"/>
      <c r="T1339" s="28" t="s">
        <v>574</v>
      </c>
      <c r="U1339" s="28" t="s">
        <v>75</v>
      </c>
      <c r="V1339" s="28" t="s">
        <v>75</v>
      </c>
      <c r="W1339" s="31"/>
    </row>
    <row r="1340" spans="1:23">
      <c r="A1340" s="46" t="s">
        <v>572</v>
      </c>
      <c r="B1340" s="28" t="s">
        <v>1637</v>
      </c>
      <c r="C1340" s="28" t="s">
        <v>2589</v>
      </c>
      <c r="D1340" s="31" t="s">
        <v>1172</v>
      </c>
      <c r="E1340" s="31" t="s">
        <v>1272</v>
      </c>
      <c r="F1340" s="28" t="s">
        <v>1515</v>
      </c>
      <c r="G1340" s="28" t="s">
        <v>1466</v>
      </c>
      <c r="H1340" s="28" t="s">
        <v>1079</v>
      </c>
      <c r="I1340" s="28" t="e">
        <f>VLOOKUP(E1340,표준용어사전!$C$2:$D$494, 2, FALSE)</f>
        <v>#N/A</v>
      </c>
      <c r="J1340" s="33" t="s">
        <v>570</v>
      </c>
      <c r="K1340" s="29" t="s">
        <v>986</v>
      </c>
      <c r="L1340" s="55" t="s">
        <v>571</v>
      </c>
      <c r="M1340" s="29" t="s">
        <v>961</v>
      </c>
      <c r="N1340" s="32" t="s">
        <v>973</v>
      </c>
      <c r="O1340" s="31" t="s">
        <v>641</v>
      </c>
      <c r="P1340" s="31"/>
      <c r="Q1340" s="28" t="s">
        <v>76</v>
      </c>
      <c r="R1340" s="29"/>
      <c r="S1340" s="31"/>
      <c r="T1340" s="31"/>
      <c r="U1340" s="28" t="s">
        <v>75</v>
      </c>
      <c r="V1340" s="28" t="s">
        <v>75</v>
      </c>
      <c r="W1340" s="31"/>
    </row>
    <row r="1341" spans="1:23">
      <c r="A1341" s="46" t="s">
        <v>572</v>
      </c>
      <c r="B1341" s="28" t="s">
        <v>1637</v>
      </c>
      <c r="C1341" s="28" t="s">
        <v>2589</v>
      </c>
      <c r="D1341" s="31" t="s">
        <v>1172</v>
      </c>
      <c r="E1341" s="31" t="s">
        <v>1273</v>
      </c>
      <c r="F1341" s="28" t="s">
        <v>1516</v>
      </c>
      <c r="G1341" s="28" t="s">
        <v>1467</v>
      </c>
      <c r="H1341" s="28" t="s">
        <v>1079</v>
      </c>
      <c r="I1341" s="28" t="e">
        <f>VLOOKUP(E1341,표준용어사전!$C$2:$D$494, 2, FALSE)</f>
        <v>#N/A</v>
      </c>
      <c r="J1341" s="33" t="s">
        <v>78</v>
      </c>
      <c r="K1341" s="29" t="s">
        <v>986</v>
      </c>
      <c r="L1341" s="55" t="s">
        <v>571</v>
      </c>
      <c r="M1341" s="29" t="s">
        <v>727</v>
      </c>
      <c r="N1341" s="32" t="s">
        <v>973</v>
      </c>
      <c r="O1341" s="31"/>
      <c r="P1341" s="31"/>
      <c r="Q1341" s="28" t="s">
        <v>76</v>
      </c>
      <c r="R1341" s="29"/>
      <c r="S1341" s="31"/>
      <c r="T1341" s="31"/>
      <c r="U1341" s="28" t="s">
        <v>75</v>
      </c>
      <c r="V1341" s="28" t="s">
        <v>75</v>
      </c>
      <c r="W1341" s="31"/>
    </row>
    <row r="1342" spans="1:23">
      <c r="A1342" s="46" t="s">
        <v>572</v>
      </c>
      <c r="B1342" s="28" t="s">
        <v>1637</v>
      </c>
      <c r="C1342" s="28" t="s">
        <v>2589</v>
      </c>
      <c r="D1342" s="31" t="s">
        <v>1172</v>
      </c>
      <c r="E1342" s="31" t="s">
        <v>1274</v>
      </c>
      <c r="F1342" s="28" t="s">
        <v>1517</v>
      </c>
      <c r="G1342" s="28" t="s">
        <v>1460</v>
      </c>
      <c r="H1342" s="28" t="s">
        <v>1079</v>
      </c>
      <c r="I1342" s="28" t="e">
        <f>VLOOKUP(E1342,표준용어사전!$C$2:$D$494, 2, FALSE)</f>
        <v>#N/A</v>
      </c>
      <c r="J1342" s="33" t="s">
        <v>570</v>
      </c>
      <c r="K1342" s="29" t="s">
        <v>985</v>
      </c>
      <c r="L1342" s="55" t="s">
        <v>571</v>
      </c>
      <c r="M1342" s="29" t="s">
        <v>722</v>
      </c>
      <c r="N1342" s="32" t="s">
        <v>973</v>
      </c>
      <c r="O1342" s="31"/>
      <c r="P1342" s="31"/>
      <c r="Q1342" s="28" t="s">
        <v>76</v>
      </c>
      <c r="R1342" s="29"/>
      <c r="S1342" s="31"/>
      <c r="T1342" s="31"/>
      <c r="U1342" s="28" t="s">
        <v>75</v>
      </c>
      <c r="V1342" s="28" t="s">
        <v>75</v>
      </c>
      <c r="W1342" s="31"/>
    </row>
    <row r="1343" spans="1:23">
      <c r="A1343" s="46" t="s">
        <v>572</v>
      </c>
      <c r="B1343" s="28" t="s">
        <v>1637</v>
      </c>
      <c r="C1343" s="28" t="s">
        <v>2589</v>
      </c>
      <c r="D1343" s="31" t="s">
        <v>1172</v>
      </c>
      <c r="E1343" s="31" t="s">
        <v>1275</v>
      </c>
      <c r="F1343" s="28" t="s">
        <v>1518</v>
      </c>
      <c r="G1343" s="28" t="s">
        <v>1468</v>
      </c>
      <c r="H1343" s="28" t="s">
        <v>1079</v>
      </c>
      <c r="I1343" s="28" t="e">
        <f>VLOOKUP(E1343,표준용어사전!$C$2:$D$494, 2, FALSE)</f>
        <v>#N/A</v>
      </c>
      <c r="J1343" s="33" t="s">
        <v>78</v>
      </c>
      <c r="K1343" s="29" t="s">
        <v>982</v>
      </c>
      <c r="L1343" s="55" t="s">
        <v>571</v>
      </c>
      <c r="M1343" s="29" t="s">
        <v>983</v>
      </c>
      <c r="N1343" s="32" t="s">
        <v>973</v>
      </c>
      <c r="O1343" s="31"/>
      <c r="P1343" s="31"/>
      <c r="Q1343" s="28" t="s">
        <v>76</v>
      </c>
      <c r="R1343" s="29"/>
      <c r="S1343" s="31"/>
      <c r="T1343" s="31"/>
      <c r="U1343" s="28" t="s">
        <v>75</v>
      </c>
      <c r="V1343" s="28" t="s">
        <v>75</v>
      </c>
      <c r="W1343" s="31"/>
    </row>
    <row r="1344" spans="1:23">
      <c r="A1344" s="46" t="s">
        <v>572</v>
      </c>
      <c r="B1344" s="28" t="s">
        <v>1637</v>
      </c>
      <c r="C1344" s="28" t="s">
        <v>2589</v>
      </c>
      <c r="D1344" s="31" t="s">
        <v>1172</v>
      </c>
      <c r="E1344" s="31" t="s">
        <v>1276</v>
      </c>
      <c r="F1344" s="28" t="s">
        <v>1519</v>
      </c>
      <c r="G1344" s="28" t="s">
        <v>1472</v>
      </c>
      <c r="H1344" s="28" t="s">
        <v>1079</v>
      </c>
      <c r="I1344" s="28" t="e">
        <f>VLOOKUP(E1344,표준용어사전!$C$2:$D$494, 2, FALSE)</f>
        <v>#N/A</v>
      </c>
      <c r="J1344" s="33" t="s">
        <v>78</v>
      </c>
      <c r="K1344" s="29" t="s">
        <v>984</v>
      </c>
      <c r="L1344" s="55" t="s">
        <v>571</v>
      </c>
      <c r="M1344" s="29" t="s">
        <v>715</v>
      </c>
      <c r="N1344" s="32" t="s">
        <v>75</v>
      </c>
      <c r="O1344" s="31"/>
      <c r="P1344" s="31"/>
      <c r="Q1344" s="28" t="s">
        <v>76</v>
      </c>
      <c r="R1344" s="29"/>
      <c r="S1344" s="31"/>
      <c r="T1344" s="31"/>
      <c r="U1344" s="28" t="s">
        <v>75</v>
      </c>
      <c r="V1344" s="28" t="s">
        <v>75</v>
      </c>
      <c r="W1344" s="31"/>
    </row>
    <row r="1345" spans="1:23">
      <c r="A1345" s="46" t="s">
        <v>572</v>
      </c>
      <c r="B1345" s="28" t="s">
        <v>1637</v>
      </c>
      <c r="C1345" s="28" t="s">
        <v>2589</v>
      </c>
      <c r="D1345" s="31" t="s">
        <v>1172</v>
      </c>
      <c r="E1345" s="31" t="s">
        <v>947</v>
      </c>
      <c r="F1345" s="28" t="s">
        <v>964</v>
      </c>
      <c r="G1345" s="28" t="s">
        <v>964</v>
      </c>
      <c r="H1345" s="28" t="s">
        <v>1079</v>
      </c>
      <c r="I1345" s="28" t="e">
        <f>VLOOKUP(E1345,표준용어사전!$C$2:$D$494, 2, FALSE)</f>
        <v>#N/A</v>
      </c>
      <c r="J1345" s="33" t="s">
        <v>78</v>
      </c>
      <c r="K1345" s="29" t="s">
        <v>986</v>
      </c>
      <c r="L1345" s="55" t="s">
        <v>571</v>
      </c>
      <c r="M1345" s="29" t="s">
        <v>727</v>
      </c>
      <c r="N1345" s="32" t="s">
        <v>75</v>
      </c>
      <c r="O1345" s="31"/>
      <c r="P1345" s="31"/>
      <c r="Q1345" s="28" t="s">
        <v>76</v>
      </c>
      <c r="R1345" s="29"/>
      <c r="S1345" s="31"/>
      <c r="T1345" s="31"/>
      <c r="U1345" s="28" t="s">
        <v>75</v>
      </c>
      <c r="V1345" s="28" t="s">
        <v>75</v>
      </c>
      <c r="W1345" s="31"/>
    </row>
    <row r="1346" spans="1:23">
      <c r="A1346" s="46" t="s">
        <v>572</v>
      </c>
      <c r="B1346" s="28" t="s">
        <v>1637</v>
      </c>
      <c r="C1346" s="28" t="s">
        <v>2589</v>
      </c>
      <c r="D1346" s="31" t="s">
        <v>1172</v>
      </c>
      <c r="E1346" s="31" t="s">
        <v>946</v>
      </c>
      <c r="F1346" s="28" t="s">
        <v>959</v>
      </c>
      <c r="G1346" s="28" t="s">
        <v>1451</v>
      </c>
      <c r="H1346" s="28" t="s">
        <v>1079</v>
      </c>
      <c r="I1346" s="28" t="e">
        <f>VLOOKUP(E1346,표준용어사전!$C$2:$D$494, 2, FALSE)</f>
        <v>#N/A</v>
      </c>
      <c r="J1346" s="33" t="s">
        <v>16</v>
      </c>
      <c r="K1346" s="29" t="s">
        <v>927</v>
      </c>
      <c r="L1346" s="55" t="s">
        <v>571</v>
      </c>
      <c r="M1346" s="29" t="s">
        <v>726</v>
      </c>
      <c r="N1346" s="32" t="s">
        <v>75</v>
      </c>
      <c r="O1346" s="31"/>
      <c r="P1346" s="31"/>
      <c r="Q1346" s="28" t="s">
        <v>76</v>
      </c>
      <c r="R1346" s="29"/>
      <c r="S1346" s="31"/>
      <c r="T1346" s="28" t="s">
        <v>574</v>
      </c>
      <c r="U1346" s="28" t="s">
        <v>75</v>
      </c>
      <c r="V1346" s="28" t="s">
        <v>75</v>
      </c>
      <c r="W1346" s="31"/>
    </row>
    <row r="1347" spans="1:23">
      <c r="A1347" s="46" t="s">
        <v>572</v>
      </c>
      <c r="B1347" s="28" t="s">
        <v>1637</v>
      </c>
      <c r="C1347" s="28" t="s">
        <v>2589</v>
      </c>
      <c r="D1347" s="31" t="s">
        <v>1172</v>
      </c>
      <c r="E1347" s="31" t="s">
        <v>949</v>
      </c>
      <c r="F1347" s="28" t="s">
        <v>965</v>
      </c>
      <c r="G1347" s="28" t="s">
        <v>965</v>
      </c>
      <c r="H1347" s="28" t="s">
        <v>1079</v>
      </c>
      <c r="I1347" s="28" t="e">
        <f>VLOOKUP(E1347,표준용어사전!$C$2:$D$494, 2, FALSE)</f>
        <v>#N/A</v>
      </c>
      <c r="J1347" s="33" t="s">
        <v>78</v>
      </c>
      <c r="K1347" s="29" t="s">
        <v>986</v>
      </c>
      <c r="L1347" s="55" t="s">
        <v>571</v>
      </c>
      <c r="M1347" s="29" t="s">
        <v>727</v>
      </c>
      <c r="N1347" s="32" t="s">
        <v>75</v>
      </c>
      <c r="O1347" s="31"/>
      <c r="P1347" s="31"/>
      <c r="Q1347" s="28" t="s">
        <v>76</v>
      </c>
      <c r="R1347" s="29"/>
      <c r="S1347" s="31"/>
      <c r="T1347" s="31"/>
      <c r="U1347" s="28" t="s">
        <v>75</v>
      </c>
      <c r="V1347" s="28" t="s">
        <v>75</v>
      </c>
      <c r="W1347" s="31"/>
    </row>
    <row r="1348" spans="1:23">
      <c r="A1348" s="46" t="s">
        <v>572</v>
      </c>
      <c r="B1348" s="28" t="s">
        <v>1637</v>
      </c>
      <c r="C1348" s="28" t="s">
        <v>2589</v>
      </c>
      <c r="D1348" s="31" t="s">
        <v>1172</v>
      </c>
      <c r="E1348" s="31" t="s">
        <v>948</v>
      </c>
      <c r="F1348" s="28" t="s">
        <v>960</v>
      </c>
      <c r="G1348" s="35" t="s">
        <v>1452</v>
      </c>
      <c r="H1348" s="28" t="s">
        <v>1079</v>
      </c>
      <c r="I1348" s="28" t="e">
        <f>VLOOKUP(E1348,표준용어사전!$C$2:$D$494, 2, FALSE)</f>
        <v>#N/A</v>
      </c>
      <c r="J1348" s="33" t="s">
        <v>16</v>
      </c>
      <c r="K1348" s="29" t="s">
        <v>927</v>
      </c>
      <c r="L1348" s="55" t="s">
        <v>571</v>
      </c>
      <c r="M1348" s="29" t="s">
        <v>726</v>
      </c>
      <c r="N1348" s="32" t="s">
        <v>75</v>
      </c>
      <c r="O1348" s="31"/>
      <c r="P1348" s="31"/>
      <c r="Q1348" s="28" t="s">
        <v>76</v>
      </c>
      <c r="R1348" s="29"/>
      <c r="S1348" s="31"/>
      <c r="T1348" s="28" t="s">
        <v>574</v>
      </c>
      <c r="U1348" s="28" t="s">
        <v>75</v>
      </c>
      <c r="V1348" s="28" t="s">
        <v>75</v>
      </c>
      <c r="W1348" s="31"/>
    </row>
    <row r="1349" spans="1:23">
      <c r="A1349" s="46" t="s">
        <v>572</v>
      </c>
      <c r="B1349" s="28" t="s">
        <v>1637</v>
      </c>
      <c r="C1349" s="28" t="s">
        <v>2589</v>
      </c>
      <c r="D1349" s="31" t="s">
        <v>1172</v>
      </c>
      <c r="E1349" s="31" t="s">
        <v>1277</v>
      </c>
      <c r="F1349" s="28" t="s">
        <v>1520</v>
      </c>
      <c r="G1349" s="28" t="s">
        <v>1469</v>
      </c>
      <c r="H1349" s="28" t="s">
        <v>1079</v>
      </c>
      <c r="I1349" s="28" t="e">
        <f>VLOOKUP(E1349,표준용어사전!$C$2:$D$494, 2, FALSE)</f>
        <v>#N/A</v>
      </c>
      <c r="J1349" s="33" t="s">
        <v>78</v>
      </c>
      <c r="K1349" s="29" t="s">
        <v>982</v>
      </c>
      <c r="L1349" s="55" t="s">
        <v>571</v>
      </c>
      <c r="M1349" s="29" t="s">
        <v>983</v>
      </c>
      <c r="N1349" s="32" t="s">
        <v>75</v>
      </c>
      <c r="O1349" s="31"/>
      <c r="P1349" s="31"/>
      <c r="Q1349" s="28" t="s">
        <v>76</v>
      </c>
      <c r="R1349" s="29"/>
      <c r="S1349" s="31"/>
      <c r="T1349" s="31"/>
      <c r="U1349" s="28" t="s">
        <v>75</v>
      </c>
      <c r="V1349" s="28" t="s">
        <v>75</v>
      </c>
      <c r="W1349" s="31"/>
    </row>
    <row r="1350" spans="1:23">
      <c r="A1350" s="46" t="s">
        <v>572</v>
      </c>
      <c r="B1350" s="28" t="s">
        <v>1637</v>
      </c>
      <c r="C1350" s="28" t="s">
        <v>2589</v>
      </c>
      <c r="D1350" s="31" t="s">
        <v>1173</v>
      </c>
      <c r="E1350" s="31" t="s">
        <v>1278</v>
      </c>
      <c r="F1350" s="28" t="s">
        <v>1080</v>
      </c>
      <c r="G1350" s="28" t="s">
        <v>1080</v>
      </c>
      <c r="H1350" s="35" t="s">
        <v>1081</v>
      </c>
      <c r="I1350" s="28" t="e">
        <f>VLOOKUP(E1350,표준용어사전!$C$2:$D$494, 2, FALSE)</f>
        <v>#N/A</v>
      </c>
      <c r="J1350" s="33" t="s">
        <v>63</v>
      </c>
      <c r="K1350" s="29" t="s">
        <v>986</v>
      </c>
      <c r="L1350" s="55" t="s">
        <v>571</v>
      </c>
      <c r="M1350" s="29">
        <v>9999999999</v>
      </c>
      <c r="N1350" s="32" t="s">
        <v>973</v>
      </c>
      <c r="O1350" s="31" t="s">
        <v>641</v>
      </c>
      <c r="P1350" s="31" t="s">
        <v>2747</v>
      </c>
      <c r="Q1350" s="28" t="s">
        <v>76</v>
      </c>
      <c r="R1350" s="29"/>
      <c r="S1350" s="31"/>
      <c r="T1350" s="31"/>
      <c r="U1350" s="28" t="s">
        <v>75</v>
      </c>
      <c r="V1350" s="28" t="s">
        <v>75</v>
      </c>
      <c r="W1350" s="28"/>
    </row>
    <row r="1351" spans="1:23">
      <c r="A1351" s="46" t="s">
        <v>572</v>
      </c>
      <c r="B1351" s="28" t="s">
        <v>1637</v>
      </c>
      <c r="C1351" s="28" t="s">
        <v>2589</v>
      </c>
      <c r="D1351" s="31" t="s">
        <v>1173</v>
      </c>
      <c r="E1351" s="31" t="s">
        <v>1224</v>
      </c>
      <c r="F1351" s="28" t="s">
        <v>1509</v>
      </c>
      <c r="G1351" s="28" t="s">
        <v>1486</v>
      </c>
      <c r="H1351" s="35" t="s">
        <v>1081</v>
      </c>
      <c r="I1351" s="28" t="e">
        <f>VLOOKUP(E1351,표준용어사전!$C$2:$D$494, 2, FALSE)</f>
        <v>#N/A</v>
      </c>
      <c r="J1351" s="33" t="s">
        <v>78</v>
      </c>
      <c r="K1351" s="29" t="s">
        <v>996</v>
      </c>
      <c r="L1351" s="55" t="s">
        <v>571</v>
      </c>
      <c r="M1351" s="29" t="s">
        <v>1018</v>
      </c>
      <c r="N1351" s="32" t="s">
        <v>973</v>
      </c>
      <c r="O1351" s="31" t="s">
        <v>573</v>
      </c>
      <c r="P1351" s="31" t="s">
        <v>2743</v>
      </c>
      <c r="Q1351" s="28" t="s">
        <v>76</v>
      </c>
      <c r="R1351" s="29"/>
      <c r="S1351" s="31"/>
      <c r="T1351" s="31"/>
      <c r="U1351" s="28" t="s">
        <v>75</v>
      </c>
      <c r="V1351" s="28" t="s">
        <v>75</v>
      </c>
      <c r="W1351" s="28"/>
    </row>
    <row r="1352" spans="1:23">
      <c r="A1352" s="46" t="s">
        <v>572</v>
      </c>
      <c r="B1352" s="28" t="s">
        <v>1637</v>
      </c>
      <c r="C1352" s="28" t="s">
        <v>2589</v>
      </c>
      <c r="D1352" s="31" t="s">
        <v>1173</v>
      </c>
      <c r="E1352" s="31" t="s">
        <v>1279</v>
      </c>
      <c r="F1352" s="28" t="s">
        <v>1082</v>
      </c>
      <c r="G1352" s="28" t="s">
        <v>1082</v>
      </c>
      <c r="H1352" s="35" t="s">
        <v>1081</v>
      </c>
      <c r="I1352" s="28" t="e">
        <f>VLOOKUP(E1352,표준용어사전!$C$2:$D$494, 2, FALSE)</f>
        <v>#N/A</v>
      </c>
      <c r="J1352" s="33" t="s">
        <v>78</v>
      </c>
      <c r="K1352" s="29" t="s">
        <v>996</v>
      </c>
      <c r="L1352" s="55" t="s">
        <v>571</v>
      </c>
      <c r="M1352" s="29" t="s">
        <v>1018</v>
      </c>
      <c r="N1352" s="32" t="s">
        <v>75</v>
      </c>
      <c r="O1352" s="31"/>
      <c r="P1352" s="31"/>
      <c r="Q1352" s="28" t="s">
        <v>76</v>
      </c>
      <c r="R1352" s="29"/>
      <c r="S1352" s="31"/>
      <c r="T1352" s="31"/>
      <c r="U1352" s="28" t="s">
        <v>75</v>
      </c>
      <c r="V1352" s="28" t="s">
        <v>75</v>
      </c>
      <c r="W1352" s="28"/>
    </row>
    <row r="1353" spans="1:23">
      <c r="A1353" s="46" t="s">
        <v>572</v>
      </c>
      <c r="B1353" s="28" t="s">
        <v>1637</v>
      </c>
      <c r="C1353" s="28" t="s">
        <v>2589</v>
      </c>
      <c r="D1353" s="31" t="s">
        <v>1174</v>
      </c>
      <c r="E1353" s="31" t="s">
        <v>1280</v>
      </c>
      <c r="F1353" s="28" t="s">
        <v>1083</v>
      </c>
      <c r="G1353" s="28" t="s">
        <v>1083</v>
      </c>
      <c r="H1353" s="35" t="s">
        <v>1084</v>
      </c>
      <c r="I1353" s="28" t="e">
        <f>VLOOKUP(E1353,표준용어사전!$C$2:$D$494, 2, FALSE)</f>
        <v>#N/A</v>
      </c>
      <c r="J1353" s="33" t="s">
        <v>78</v>
      </c>
      <c r="K1353" s="29" t="s">
        <v>982</v>
      </c>
      <c r="L1353" s="55" t="s">
        <v>571</v>
      </c>
      <c r="M1353" s="29" t="s">
        <v>983</v>
      </c>
      <c r="N1353" s="32" t="s">
        <v>973</v>
      </c>
      <c r="O1353" s="31"/>
      <c r="P1353" s="31"/>
      <c r="Q1353" s="28" t="s">
        <v>76</v>
      </c>
      <c r="R1353" s="29"/>
      <c r="S1353" s="31"/>
      <c r="T1353" s="31"/>
      <c r="U1353" s="28" t="s">
        <v>75</v>
      </c>
      <c r="V1353" s="28" t="s">
        <v>75</v>
      </c>
      <c r="W1353" s="31"/>
    </row>
    <row r="1354" spans="1:23">
      <c r="A1354" s="46" t="s">
        <v>572</v>
      </c>
      <c r="B1354" s="28" t="s">
        <v>1637</v>
      </c>
      <c r="C1354" s="28" t="s">
        <v>2589</v>
      </c>
      <c r="D1354" s="31" t="s">
        <v>1174</v>
      </c>
      <c r="E1354" s="31" t="s">
        <v>1281</v>
      </c>
      <c r="F1354" s="28" t="s">
        <v>1085</v>
      </c>
      <c r="G1354" s="28" t="s">
        <v>1085</v>
      </c>
      <c r="H1354" s="35" t="s">
        <v>1084</v>
      </c>
      <c r="I1354" s="28" t="e">
        <f>VLOOKUP(E1354,표준용어사전!$C$2:$D$494, 2, FALSE)</f>
        <v>#N/A</v>
      </c>
      <c r="J1354" s="33" t="s">
        <v>78</v>
      </c>
      <c r="K1354" s="29" t="s">
        <v>982</v>
      </c>
      <c r="L1354" s="55" t="s">
        <v>571</v>
      </c>
      <c r="M1354" s="29" t="s">
        <v>983</v>
      </c>
      <c r="N1354" s="32" t="s">
        <v>973</v>
      </c>
      <c r="O1354" s="31"/>
      <c r="P1354" s="31" t="s">
        <v>2748</v>
      </c>
      <c r="Q1354" s="28" t="s">
        <v>76</v>
      </c>
      <c r="R1354" s="29"/>
      <c r="S1354" s="31"/>
      <c r="T1354" s="31"/>
      <c r="U1354" s="28" t="s">
        <v>75</v>
      </c>
      <c r="V1354" s="28" t="s">
        <v>75</v>
      </c>
      <c r="W1354" s="31"/>
    </row>
    <row r="1355" spans="1:23">
      <c r="A1355" s="46" t="s">
        <v>572</v>
      </c>
      <c r="B1355" s="28" t="s">
        <v>1637</v>
      </c>
      <c r="C1355" s="28" t="s">
        <v>2589</v>
      </c>
      <c r="D1355" s="31" t="s">
        <v>1174</v>
      </c>
      <c r="E1355" s="31" t="s">
        <v>1278</v>
      </c>
      <c r="F1355" s="28" t="s">
        <v>1080</v>
      </c>
      <c r="G1355" s="28" t="s">
        <v>1080</v>
      </c>
      <c r="H1355" s="35" t="s">
        <v>1084</v>
      </c>
      <c r="I1355" s="28" t="e">
        <f>VLOOKUP(E1355,표준용어사전!$C$2:$D$494, 2, FALSE)</f>
        <v>#N/A</v>
      </c>
      <c r="J1355" s="33" t="s">
        <v>63</v>
      </c>
      <c r="K1355" s="29" t="s">
        <v>986</v>
      </c>
      <c r="L1355" s="55" t="s">
        <v>571</v>
      </c>
      <c r="M1355" s="29">
        <v>9999999999</v>
      </c>
      <c r="N1355" s="32" t="s">
        <v>973</v>
      </c>
      <c r="O1355" s="31" t="s">
        <v>641</v>
      </c>
      <c r="P1355" s="31" t="s">
        <v>2747</v>
      </c>
      <c r="Q1355" s="28" t="s">
        <v>76</v>
      </c>
      <c r="R1355" s="29"/>
      <c r="S1355" s="31"/>
      <c r="T1355" s="31"/>
      <c r="U1355" s="28" t="s">
        <v>75</v>
      </c>
      <c r="V1355" s="28" t="s">
        <v>75</v>
      </c>
      <c r="W1355" s="31"/>
    </row>
    <row r="1356" spans="1:23">
      <c r="A1356" s="46" t="s">
        <v>572</v>
      </c>
      <c r="B1356" s="28" t="s">
        <v>1637</v>
      </c>
      <c r="C1356" s="28" t="s">
        <v>2589</v>
      </c>
      <c r="D1356" s="31" t="s">
        <v>1174</v>
      </c>
      <c r="E1356" s="31" t="s">
        <v>1282</v>
      </c>
      <c r="F1356" s="28" t="s">
        <v>1086</v>
      </c>
      <c r="G1356" s="28" t="s">
        <v>1086</v>
      </c>
      <c r="H1356" s="35" t="s">
        <v>1084</v>
      </c>
      <c r="I1356" s="28" t="e">
        <f>VLOOKUP(E1356,표준용어사전!$C$2:$D$494, 2, FALSE)</f>
        <v>#N/A</v>
      </c>
      <c r="J1356" s="33" t="s">
        <v>63</v>
      </c>
      <c r="K1356" s="29" t="s">
        <v>986</v>
      </c>
      <c r="L1356" s="55" t="s">
        <v>571</v>
      </c>
      <c r="M1356" s="29">
        <v>9999999999</v>
      </c>
      <c r="N1356" s="32" t="s">
        <v>75</v>
      </c>
      <c r="O1356" s="31"/>
      <c r="P1356" s="31"/>
      <c r="Q1356" s="28" t="s">
        <v>76</v>
      </c>
      <c r="R1356" s="29"/>
      <c r="S1356" s="31"/>
      <c r="T1356" s="31"/>
      <c r="U1356" s="28" t="s">
        <v>75</v>
      </c>
      <c r="V1356" s="28" t="s">
        <v>75</v>
      </c>
      <c r="W1356" s="31"/>
    </row>
    <row r="1357" spans="1:23">
      <c r="A1357" s="46" t="s">
        <v>572</v>
      </c>
      <c r="B1357" s="28" t="s">
        <v>1637</v>
      </c>
      <c r="C1357" s="28" t="s">
        <v>2589</v>
      </c>
      <c r="D1357" s="31" t="s">
        <v>1174</v>
      </c>
      <c r="E1357" s="31" t="s">
        <v>1283</v>
      </c>
      <c r="F1357" s="28" t="s">
        <v>1087</v>
      </c>
      <c r="G1357" s="28" t="s">
        <v>1087</v>
      </c>
      <c r="H1357" s="35" t="s">
        <v>1084</v>
      </c>
      <c r="I1357" s="28" t="e">
        <f>VLOOKUP(E1357,표준용어사전!$C$2:$D$494, 2, FALSE)</f>
        <v>#N/A</v>
      </c>
      <c r="J1357" s="33" t="s">
        <v>63</v>
      </c>
      <c r="K1357" s="29" t="s">
        <v>1054</v>
      </c>
      <c r="L1357" s="55" t="s">
        <v>571</v>
      </c>
      <c r="M1357" s="29">
        <v>9999999999</v>
      </c>
      <c r="N1357" s="32" t="s">
        <v>973</v>
      </c>
      <c r="O1357" s="31"/>
      <c r="P1357" s="31"/>
      <c r="Q1357" s="28" t="s">
        <v>76</v>
      </c>
      <c r="R1357" s="29"/>
      <c r="S1357" s="31"/>
      <c r="T1357" s="31"/>
      <c r="U1357" s="28" t="s">
        <v>75</v>
      </c>
      <c r="V1357" s="28" t="s">
        <v>75</v>
      </c>
      <c r="W1357" s="31"/>
    </row>
    <row r="1358" spans="1:23">
      <c r="A1358" s="46" t="s">
        <v>572</v>
      </c>
      <c r="B1358" s="28" t="s">
        <v>1637</v>
      </c>
      <c r="C1358" s="28" t="s">
        <v>2589</v>
      </c>
      <c r="D1358" s="31" t="s">
        <v>1174</v>
      </c>
      <c r="E1358" s="31" t="s">
        <v>1284</v>
      </c>
      <c r="F1358" s="28" t="s">
        <v>1088</v>
      </c>
      <c r="G1358" s="28" t="s">
        <v>1088</v>
      </c>
      <c r="H1358" s="35" t="s">
        <v>1084</v>
      </c>
      <c r="I1358" s="28" t="e">
        <f>VLOOKUP(E1358,표준용어사전!$C$2:$D$494, 2, FALSE)</f>
        <v>#N/A</v>
      </c>
      <c r="J1358" s="33" t="s">
        <v>78</v>
      </c>
      <c r="K1358" s="29" t="s">
        <v>1089</v>
      </c>
      <c r="L1358" s="55" t="s">
        <v>571</v>
      </c>
      <c r="M1358" s="29" t="s">
        <v>1090</v>
      </c>
      <c r="N1358" s="32" t="s">
        <v>75</v>
      </c>
      <c r="O1358" s="31"/>
      <c r="P1358" s="31"/>
      <c r="Q1358" s="28" t="s">
        <v>76</v>
      </c>
      <c r="R1358" s="29"/>
      <c r="S1358" s="31"/>
      <c r="T1358" s="31"/>
      <c r="U1358" s="28" t="s">
        <v>75</v>
      </c>
      <c r="V1358" s="28" t="s">
        <v>75</v>
      </c>
      <c r="W1358" s="31"/>
    </row>
    <row r="1359" spans="1:23">
      <c r="A1359" s="46" t="s">
        <v>572</v>
      </c>
      <c r="B1359" s="28" t="s">
        <v>1637</v>
      </c>
      <c r="C1359" s="28" t="s">
        <v>2589</v>
      </c>
      <c r="D1359" s="31" t="s">
        <v>1174</v>
      </c>
      <c r="E1359" s="31" t="s">
        <v>1285</v>
      </c>
      <c r="F1359" s="28" t="s">
        <v>1521</v>
      </c>
      <c r="G1359" s="28" t="s">
        <v>1470</v>
      </c>
      <c r="H1359" s="35" t="s">
        <v>1084</v>
      </c>
      <c r="I1359" s="28" t="e">
        <f>VLOOKUP(E1359,표준용어사전!$C$2:$D$494, 2, FALSE)</f>
        <v>#N/A</v>
      </c>
      <c r="J1359" s="33" t="s">
        <v>78</v>
      </c>
      <c r="K1359" s="29" t="s">
        <v>1026</v>
      </c>
      <c r="L1359" s="55" t="s">
        <v>571</v>
      </c>
      <c r="M1359" s="29" t="s">
        <v>729</v>
      </c>
      <c r="N1359" s="32" t="s">
        <v>75</v>
      </c>
      <c r="O1359" s="31"/>
      <c r="P1359" s="31"/>
      <c r="Q1359" s="28" t="s">
        <v>76</v>
      </c>
      <c r="R1359" s="29"/>
      <c r="S1359" s="31"/>
      <c r="T1359" s="31"/>
      <c r="U1359" s="28" t="s">
        <v>75</v>
      </c>
      <c r="V1359" s="28" t="s">
        <v>75</v>
      </c>
      <c r="W1359" s="31"/>
    </row>
    <row r="1360" spans="1:23">
      <c r="A1360" s="46" t="s">
        <v>572</v>
      </c>
      <c r="B1360" s="28" t="s">
        <v>1637</v>
      </c>
      <c r="C1360" s="28" t="s">
        <v>2589</v>
      </c>
      <c r="D1360" s="31" t="s">
        <v>1174</v>
      </c>
      <c r="E1360" s="31" t="s">
        <v>1286</v>
      </c>
      <c r="F1360" s="28" t="s">
        <v>1522</v>
      </c>
      <c r="G1360" s="28" t="s">
        <v>1471</v>
      </c>
      <c r="H1360" s="35" t="s">
        <v>1084</v>
      </c>
      <c r="I1360" s="28" t="e">
        <f>VLOOKUP(E1360,표준용어사전!$C$2:$D$494, 2, FALSE)</f>
        <v>#N/A</v>
      </c>
      <c r="J1360" s="33" t="s">
        <v>78</v>
      </c>
      <c r="K1360" s="29" t="s">
        <v>982</v>
      </c>
      <c r="L1360" s="55" t="s">
        <v>571</v>
      </c>
      <c r="M1360" s="29" t="s">
        <v>983</v>
      </c>
      <c r="N1360" s="32" t="s">
        <v>75</v>
      </c>
      <c r="O1360" s="31"/>
      <c r="P1360" s="31"/>
      <c r="Q1360" s="28" t="s">
        <v>76</v>
      </c>
      <c r="R1360" s="29"/>
      <c r="S1360" s="31"/>
      <c r="T1360" s="31"/>
      <c r="U1360" s="28" t="s">
        <v>75</v>
      </c>
      <c r="V1360" s="28" t="s">
        <v>75</v>
      </c>
      <c r="W1360" s="31"/>
    </row>
    <row r="1361" spans="1:23">
      <c r="A1361" s="46" t="s">
        <v>572</v>
      </c>
      <c r="B1361" s="28" t="s">
        <v>1637</v>
      </c>
      <c r="C1361" s="28" t="s">
        <v>2589</v>
      </c>
      <c r="D1361" s="31" t="s">
        <v>1175</v>
      </c>
      <c r="E1361" s="31" t="s">
        <v>1219</v>
      </c>
      <c r="F1361" s="28" t="s">
        <v>1091</v>
      </c>
      <c r="G1361" s="28" t="s">
        <v>1091</v>
      </c>
      <c r="H1361" s="35" t="s">
        <v>1092</v>
      </c>
      <c r="I1361" s="28" t="e">
        <f>VLOOKUP(E1361,표준용어사전!$C$2:$D$494, 2, FALSE)</f>
        <v>#N/A</v>
      </c>
      <c r="J1361" s="33" t="s">
        <v>570</v>
      </c>
      <c r="K1361" s="29" t="s">
        <v>986</v>
      </c>
      <c r="L1361" s="55" t="s">
        <v>571</v>
      </c>
      <c r="M1361" s="29" t="s">
        <v>961</v>
      </c>
      <c r="N1361" s="32" t="s">
        <v>973</v>
      </c>
      <c r="O1361" s="31" t="s">
        <v>641</v>
      </c>
      <c r="P1361" s="31"/>
      <c r="Q1361" s="28" t="s">
        <v>76</v>
      </c>
      <c r="R1361" s="29"/>
      <c r="S1361" s="31"/>
      <c r="T1361" s="31"/>
      <c r="U1361" s="28" t="s">
        <v>75</v>
      </c>
      <c r="V1361" s="28" t="s">
        <v>75</v>
      </c>
      <c r="W1361" s="31"/>
    </row>
    <row r="1362" spans="1:23">
      <c r="A1362" s="46" t="s">
        <v>572</v>
      </c>
      <c r="B1362" s="28" t="s">
        <v>1637</v>
      </c>
      <c r="C1362" s="28" t="s">
        <v>2589</v>
      </c>
      <c r="D1362" s="31" t="s">
        <v>1175</v>
      </c>
      <c r="E1362" s="31" t="s">
        <v>1287</v>
      </c>
      <c r="F1362" s="28" t="s">
        <v>1093</v>
      </c>
      <c r="G1362" s="28" t="s">
        <v>1093</v>
      </c>
      <c r="H1362" s="35" t="s">
        <v>1092</v>
      </c>
      <c r="I1362" s="28" t="e">
        <f>VLOOKUP(E1362,표준용어사전!$C$2:$D$494, 2, FALSE)</f>
        <v>#N/A</v>
      </c>
      <c r="J1362" s="33" t="s">
        <v>78</v>
      </c>
      <c r="K1362" s="29" t="s">
        <v>986</v>
      </c>
      <c r="L1362" s="55" t="s">
        <v>571</v>
      </c>
      <c r="M1362" s="29" t="s">
        <v>727</v>
      </c>
      <c r="N1362" s="32" t="s">
        <v>973</v>
      </c>
      <c r="O1362" s="31"/>
      <c r="P1362" s="31"/>
      <c r="Q1362" s="28" t="s">
        <v>76</v>
      </c>
      <c r="R1362" s="29"/>
      <c r="S1362" s="31"/>
      <c r="T1362" s="31"/>
      <c r="U1362" s="28" t="s">
        <v>75</v>
      </c>
      <c r="V1362" s="28" t="s">
        <v>75</v>
      </c>
      <c r="W1362" s="31"/>
    </row>
    <row r="1363" spans="1:23">
      <c r="A1363" s="46" t="s">
        <v>572</v>
      </c>
      <c r="B1363" s="28" t="s">
        <v>1637</v>
      </c>
      <c r="C1363" s="28" t="s">
        <v>2589</v>
      </c>
      <c r="D1363" s="31" t="s">
        <v>1175</v>
      </c>
      <c r="E1363" s="31" t="s">
        <v>1288</v>
      </c>
      <c r="F1363" s="28" t="s">
        <v>1094</v>
      </c>
      <c r="G1363" s="28" t="s">
        <v>1094</v>
      </c>
      <c r="H1363" s="35" t="s">
        <v>1092</v>
      </c>
      <c r="I1363" s="28" t="e">
        <f>VLOOKUP(E1363,표준용어사전!$C$2:$D$494, 2, FALSE)</f>
        <v>#N/A</v>
      </c>
      <c r="J1363" s="33" t="s">
        <v>78</v>
      </c>
      <c r="K1363" s="29" t="s">
        <v>1026</v>
      </c>
      <c r="L1363" s="55" t="s">
        <v>571</v>
      </c>
      <c r="M1363" s="29" t="s">
        <v>729</v>
      </c>
      <c r="N1363" s="32" t="s">
        <v>75</v>
      </c>
      <c r="O1363" s="31"/>
      <c r="P1363" s="31"/>
      <c r="Q1363" s="28" t="s">
        <v>76</v>
      </c>
      <c r="R1363" s="29"/>
      <c r="S1363" s="31"/>
      <c r="T1363" s="31"/>
      <c r="U1363" s="28" t="s">
        <v>75</v>
      </c>
      <c r="V1363" s="28" t="s">
        <v>75</v>
      </c>
      <c r="W1363" s="31"/>
    </row>
    <row r="1364" spans="1:23">
      <c r="A1364" s="46" t="s">
        <v>572</v>
      </c>
      <c r="B1364" s="28" t="s">
        <v>1637</v>
      </c>
      <c r="C1364" s="28" t="s">
        <v>2589</v>
      </c>
      <c r="D1364" s="31" t="s">
        <v>1176</v>
      </c>
      <c r="E1364" s="31" t="s">
        <v>1289</v>
      </c>
      <c r="F1364" s="28" t="s">
        <v>1095</v>
      </c>
      <c r="G1364" s="28" t="s">
        <v>1095</v>
      </c>
      <c r="H1364" s="35" t="s">
        <v>1096</v>
      </c>
      <c r="I1364" s="28" t="e">
        <f>VLOOKUP(E1364,표준용어사전!$C$2:$D$494, 2, FALSE)</f>
        <v>#N/A</v>
      </c>
      <c r="J1364" s="33" t="s">
        <v>1097</v>
      </c>
      <c r="K1364" s="29" t="s">
        <v>927</v>
      </c>
      <c r="L1364" s="55" t="s">
        <v>571</v>
      </c>
      <c r="M1364" s="29"/>
      <c r="N1364" s="32" t="s">
        <v>973</v>
      </c>
      <c r="O1364" s="31" t="s">
        <v>641</v>
      </c>
      <c r="P1364" s="31"/>
      <c r="Q1364" s="28" t="s">
        <v>76</v>
      </c>
      <c r="R1364" s="29"/>
      <c r="S1364" s="31"/>
      <c r="T1364" s="31"/>
      <c r="U1364" s="28" t="s">
        <v>75</v>
      </c>
      <c r="V1364" s="28" t="s">
        <v>75</v>
      </c>
      <c r="W1364" s="31"/>
    </row>
    <row r="1365" spans="1:23">
      <c r="A1365" s="46" t="s">
        <v>572</v>
      </c>
      <c r="B1365" s="28" t="s">
        <v>1637</v>
      </c>
      <c r="C1365" s="28" t="s">
        <v>2589</v>
      </c>
      <c r="D1365" s="31" t="s">
        <v>1176</v>
      </c>
      <c r="E1365" s="31" t="s">
        <v>1290</v>
      </c>
      <c r="F1365" s="28" t="s">
        <v>1098</v>
      </c>
      <c r="G1365" s="28" t="s">
        <v>1098</v>
      </c>
      <c r="H1365" s="35" t="s">
        <v>1096</v>
      </c>
      <c r="I1365" s="28" t="e">
        <f>VLOOKUP(E1365,표준용어사전!$C$2:$D$494, 2, FALSE)</f>
        <v>#N/A</v>
      </c>
      <c r="J1365" s="33" t="s">
        <v>570</v>
      </c>
      <c r="K1365" s="29" t="s">
        <v>986</v>
      </c>
      <c r="L1365" s="55" t="s">
        <v>571</v>
      </c>
      <c r="M1365" s="29" t="s">
        <v>961</v>
      </c>
      <c r="N1365" s="32" t="s">
        <v>75</v>
      </c>
      <c r="O1365" s="31"/>
      <c r="P1365" s="31"/>
      <c r="Q1365" s="28" t="s">
        <v>76</v>
      </c>
      <c r="R1365" s="29"/>
      <c r="S1365" s="31"/>
      <c r="T1365" s="31"/>
      <c r="U1365" s="28" t="s">
        <v>75</v>
      </c>
      <c r="V1365" s="28" t="s">
        <v>75</v>
      </c>
      <c r="W1365" s="31"/>
    </row>
    <row r="1366" spans="1:23">
      <c r="A1366" s="46" t="s">
        <v>572</v>
      </c>
      <c r="B1366" s="28" t="s">
        <v>1637</v>
      </c>
      <c r="C1366" s="28" t="s">
        <v>2589</v>
      </c>
      <c r="D1366" s="31" t="s">
        <v>1176</v>
      </c>
      <c r="E1366" s="31" t="s">
        <v>1099</v>
      </c>
      <c r="F1366" s="28" t="s">
        <v>1099</v>
      </c>
      <c r="G1366" s="28" t="s">
        <v>1099</v>
      </c>
      <c r="H1366" s="35" t="s">
        <v>1096</v>
      </c>
      <c r="I1366" s="28" t="e">
        <f>VLOOKUP(E1366,표준용어사전!$C$2:$D$494, 2, FALSE)</f>
        <v>#N/A</v>
      </c>
      <c r="J1366" s="33" t="s">
        <v>78</v>
      </c>
      <c r="K1366" s="29" t="s">
        <v>1026</v>
      </c>
      <c r="L1366" s="55" t="s">
        <v>571</v>
      </c>
      <c r="M1366" s="29" t="s">
        <v>729</v>
      </c>
      <c r="N1366" s="32" t="s">
        <v>75</v>
      </c>
      <c r="O1366" s="31"/>
      <c r="P1366" s="31"/>
      <c r="Q1366" s="28" t="s">
        <v>76</v>
      </c>
      <c r="R1366" s="29"/>
      <c r="S1366" s="31"/>
      <c r="T1366" s="31"/>
      <c r="U1366" s="28" t="s">
        <v>75</v>
      </c>
      <c r="V1366" s="28" t="s">
        <v>75</v>
      </c>
      <c r="W1366" s="31"/>
    </row>
    <row r="1367" spans="1:23">
      <c r="A1367" s="46" t="s">
        <v>572</v>
      </c>
      <c r="B1367" s="28" t="s">
        <v>1637</v>
      </c>
      <c r="C1367" s="28" t="s">
        <v>2589</v>
      </c>
      <c r="D1367" s="31" t="s">
        <v>1176</v>
      </c>
      <c r="E1367" s="31" t="s">
        <v>1291</v>
      </c>
      <c r="F1367" s="28" t="s">
        <v>787</v>
      </c>
      <c r="G1367" s="28" t="s">
        <v>787</v>
      </c>
      <c r="H1367" s="35" t="s">
        <v>1096</v>
      </c>
      <c r="I1367" s="28" t="e">
        <f>VLOOKUP(E1367,표준용어사전!$C$2:$D$494, 2, FALSE)</f>
        <v>#N/A</v>
      </c>
      <c r="J1367" s="33" t="s">
        <v>78</v>
      </c>
      <c r="K1367" s="29" t="s">
        <v>986</v>
      </c>
      <c r="L1367" s="55" t="s">
        <v>571</v>
      </c>
      <c r="M1367" s="29" t="s">
        <v>727</v>
      </c>
      <c r="N1367" s="32" t="s">
        <v>75</v>
      </c>
      <c r="O1367" s="31"/>
      <c r="P1367" s="31"/>
      <c r="Q1367" s="28" t="s">
        <v>76</v>
      </c>
      <c r="R1367" s="29"/>
      <c r="S1367" s="31"/>
      <c r="T1367" s="31"/>
      <c r="U1367" s="28" t="s">
        <v>75</v>
      </c>
      <c r="V1367" s="28" t="s">
        <v>75</v>
      </c>
      <c r="W1367" s="31"/>
    </row>
    <row r="1368" spans="1:23">
      <c r="A1368" s="46" t="s">
        <v>572</v>
      </c>
      <c r="B1368" s="28" t="s">
        <v>1637</v>
      </c>
      <c r="C1368" s="28" t="s">
        <v>2589</v>
      </c>
      <c r="D1368" s="31" t="s">
        <v>1176</v>
      </c>
      <c r="E1368" s="31" t="s">
        <v>1292</v>
      </c>
      <c r="F1368" s="28" t="s">
        <v>1625</v>
      </c>
      <c r="G1368" s="28" t="s">
        <v>1625</v>
      </c>
      <c r="H1368" s="35" t="s">
        <v>1096</v>
      </c>
      <c r="I1368" s="28" t="e">
        <f>VLOOKUP(E1368,표준용어사전!$C$2:$D$494, 2, FALSE)</f>
        <v>#N/A</v>
      </c>
      <c r="J1368" s="33" t="s">
        <v>78</v>
      </c>
      <c r="K1368" s="29" t="s">
        <v>1050</v>
      </c>
      <c r="L1368" s="55" t="s">
        <v>571</v>
      </c>
      <c r="M1368" s="29" t="s">
        <v>1051</v>
      </c>
      <c r="N1368" s="32" t="s">
        <v>75</v>
      </c>
      <c r="O1368" s="31"/>
      <c r="P1368" s="31"/>
      <c r="Q1368" s="28" t="s">
        <v>76</v>
      </c>
      <c r="R1368" s="29"/>
      <c r="S1368" s="31"/>
      <c r="T1368" s="31"/>
      <c r="U1368" s="28" t="s">
        <v>75</v>
      </c>
      <c r="V1368" s="28" t="s">
        <v>75</v>
      </c>
      <c r="W1368" s="31"/>
    </row>
    <row r="1369" spans="1:23">
      <c r="A1369" s="46" t="s">
        <v>572</v>
      </c>
      <c r="B1369" s="28" t="s">
        <v>1637</v>
      </c>
      <c r="C1369" s="28" t="s">
        <v>2589</v>
      </c>
      <c r="D1369" s="31" t="s">
        <v>1176</v>
      </c>
      <c r="E1369" s="31" t="s">
        <v>1293</v>
      </c>
      <c r="F1369" s="28" t="s">
        <v>1100</v>
      </c>
      <c r="G1369" s="28" t="s">
        <v>1100</v>
      </c>
      <c r="H1369" s="35" t="s">
        <v>1096</v>
      </c>
      <c r="I1369" s="28" t="e">
        <f>VLOOKUP(E1369,표준용어사전!$C$2:$D$494, 2, FALSE)</f>
        <v>#N/A</v>
      </c>
      <c r="J1369" s="33" t="s">
        <v>78</v>
      </c>
      <c r="K1369" s="29" t="s">
        <v>1002</v>
      </c>
      <c r="L1369" s="55" t="s">
        <v>571</v>
      </c>
      <c r="M1369" s="29" t="s">
        <v>720</v>
      </c>
      <c r="N1369" s="32" t="s">
        <v>75</v>
      </c>
      <c r="O1369" s="31"/>
      <c r="P1369" s="31"/>
      <c r="Q1369" s="28" t="s">
        <v>76</v>
      </c>
      <c r="R1369" s="29"/>
      <c r="S1369" s="31"/>
      <c r="T1369" s="31"/>
      <c r="U1369" s="28" t="s">
        <v>75</v>
      </c>
      <c r="V1369" s="28" t="s">
        <v>75</v>
      </c>
      <c r="W1369" s="31"/>
    </row>
    <row r="1370" spans="1:23">
      <c r="A1370" s="46" t="s">
        <v>572</v>
      </c>
      <c r="B1370" s="28" t="s">
        <v>1637</v>
      </c>
      <c r="C1370" s="28" t="s">
        <v>2589</v>
      </c>
      <c r="D1370" s="31" t="s">
        <v>1176</v>
      </c>
      <c r="E1370" s="31" t="s">
        <v>1294</v>
      </c>
      <c r="F1370" s="28" t="s">
        <v>1440</v>
      </c>
      <c r="G1370" s="28" t="s">
        <v>1101</v>
      </c>
      <c r="H1370" s="35" t="s">
        <v>1096</v>
      </c>
      <c r="I1370" s="28" t="e">
        <f>VLOOKUP(E1370,표준용어사전!$C$2:$D$494, 2, FALSE)</f>
        <v>#N/A</v>
      </c>
      <c r="J1370" s="33" t="s">
        <v>78</v>
      </c>
      <c r="K1370" s="29" t="s">
        <v>1002</v>
      </c>
      <c r="L1370" s="55" t="s">
        <v>571</v>
      </c>
      <c r="M1370" s="29" t="s">
        <v>720</v>
      </c>
      <c r="N1370" s="32" t="s">
        <v>75</v>
      </c>
      <c r="O1370" s="31"/>
      <c r="P1370" s="31"/>
      <c r="Q1370" s="28" t="s">
        <v>76</v>
      </c>
      <c r="R1370" s="29"/>
      <c r="S1370" s="31"/>
      <c r="T1370" s="31"/>
      <c r="U1370" s="28" t="s">
        <v>75</v>
      </c>
      <c r="V1370" s="28" t="s">
        <v>75</v>
      </c>
      <c r="W1370" s="31"/>
    </row>
    <row r="1371" spans="1:23">
      <c r="A1371" s="46" t="s">
        <v>572</v>
      </c>
      <c r="B1371" s="28" t="s">
        <v>1637</v>
      </c>
      <c r="C1371" s="28" t="s">
        <v>2589</v>
      </c>
      <c r="D1371" s="31" t="s">
        <v>1176</v>
      </c>
      <c r="E1371" s="31" t="s">
        <v>1295</v>
      </c>
      <c r="F1371" s="28" t="s">
        <v>1102</v>
      </c>
      <c r="G1371" s="28" t="s">
        <v>1102</v>
      </c>
      <c r="H1371" s="35" t="s">
        <v>1096</v>
      </c>
      <c r="I1371" s="28" t="e">
        <f>VLOOKUP(E1371,표준용어사전!$C$2:$D$494, 2, FALSE)</f>
        <v>#N/A</v>
      </c>
      <c r="J1371" s="33" t="s">
        <v>78</v>
      </c>
      <c r="K1371" s="29" t="s">
        <v>1002</v>
      </c>
      <c r="L1371" s="55" t="s">
        <v>571</v>
      </c>
      <c r="M1371" s="29" t="s">
        <v>720</v>
      </c>
      <c r="N1371" s="32" t="s">
        <v>75</v>
      </c>
      <c r="O1371" s="31"/>
      <c r="P1371" s="31"/>
      <c r="Q1371" s="28" t="s">
        <v>76</v>
      </c>
      <c r="R1371" s="29"/>
      <c r="S1371" s="31"/>
      <c r="T1371" s="31"/>
      <c r="U1371" s="28" t="s">
        <v>75</v>
      </c>
      <c r="V1371" s="28" t="s">
        <v>75</v>
      </c>
      <c r="W1371" s="31"/>
    </row>
    <row r="1372" spans="1:23">
      <c r="A1372" s="46" t="s">
        <v>572</v>
      </c>
      <c r="B1372" s="28" t="s">
        <v>1637</v>
      </c>
      <c r="C1372" s="28" t="s">
        <v>2589</v>
      </c>
      <c r="D1372" s="31" t="s">
        <v>1176</v>
      </c>
      <c r="E1372" s="31" t="s">
        <v>1296</v>
      </c>
      <c r="F1372" s="28" t="s">
        <v>1523</v>
      </c>
      <c r="G1372" s="28" t="s">
        <v>1490</v>
      </c>
      <c r="H1372" s="35" t="s">
        <v>1096</v>
      </c>
      <c r="I1372" s="28" t="e">
        <f>VLOOKUP(E1372,표준용어사전!$C$2:$D$494, 2, FALSE)</f>
        <v>#N/A</v>
      </c>
      <c r="J1372" s="33" t="s">
        <v>78</v>
      </c>
      <c r="K1372" s="29" t="s">
        <v>986</v>
      </c>
      <c r="L1372" s="55" t="s">
        <v>571</v>
      </c>
      <c r="M1372" s="29" t="s">
        <v>727</v>
      </c>
      <c r="N1372" s="32" t="s">
        <v>75</v>
      </c>
      <c r="O1372" s="31"/>
      <c r="P1372" s="31"/>
      <c r="Q1372" s="28" t="s">
        <v>76</v>
      </c>
      <c r="R1372" s="29"/>
      <c r="S1372" s="31"/>
      <c r="T1372" s="31"/>
      <c r="U1372" s="28" t="s">
        <v>75</v>
      </c>
      <c r="V1372" s="28" t="s">
        <v>75</v>
      </c>
      <c r="W1372" s="31"/>
    </row>
    <row r="1373" spans="1:23">
      <c r="A1373" s="46" t="s">
        <v>572</v>
      </c>
      <c r="B1373" s="28" t="s">
        <v>1637</v>
      </c>
      <c r="C1373" s="28" t="s">
        <v>2589</v>
      </c>
      <c r="D1373" s="31" t="s">
        <v>1176</v>
      </c>
      <c r="E1373" s="31" t="s">
        <v>1297</v>
      </c>
      <c r="F1373" s="28" t="s">
        <v>1524</v>
      </c>
      <c r="G1373" s="28" t="s">
        <v>1491</v>
      </c>
      <c r="H1373" s="35" t="s">
        <v>1096</v>
      </c>
      <c r="I1373" s="28" t="e">
        <f>VLOOKUP(E1373,표준용어사전!$C$2:$D$494, 2, FALSE)</f>
        <v>#N/A</v>
      </c>
      <c r="J1373" s="33" t="s">
        <v>78</v>
      </c>
      <c r="K1373" s="29" t="s">
        <v>996</v>
      </c>
      <c r="L1373" s="55" t="s">
        <v>571</v>
      </c>
      <c r="M1373" s="29" t="s">
        <v>1018</v>
      </c>
      <c r="N1373" s="32" t="s">
        <v>75</v>
      </c>
      <c r="O1373" s="31"/>
      <c r="P1373" s="31"/>
      <c r="Q1373" s="28" t="s">
        <v>76</v>
      </c>
      <c r="R1373" s="29"/>
      <c r="S1373" s="31"/>
      <c r="T1373" s="31"/>
      <c r="U1373" s="28" t="s">
        <v>75</v>
      </c>
      <c r="V1373" s="28" t="s">
        <v>75</v>
      </c>
      <c r="W1373" s="31"/>
    </row>
    <row r="1374" spans="1:23">
      <c r="A1374" s="46" t="s">
        <v>572</v>
      </c>
      <c r="B1374" s="28" t="s">
        <v>1637</v>
      </c>
      <c r="C1374" s="28" t="s">
        <v>2589</v>
      </c>
      <c r="D1374" s="31" t="s">
        <v>1176</v>
      </c>
      <c r="E1374" s="31" t="s">
        <v>1298</v>
      </c>
      <c r="F1374" s="28" t="s">
        <v>1441</v>
      </c>
      <c r="G1374" s="28" t="s">
        <v>1103</v>
      </c>
      <c r="H1374" s="35" t="s">
        <v>1096</v>
      </c>
      <c r="I1374" s="28" t="e">
        <f>VLOOKUP(E1374,표준용어사전!$C$2:$D$494, 2, FALSE)</f>
        <v>#N/A</v>
      </c>
      <c r="J1374" s="33" t="s">
        <v>78</v>
      </c>
      <c r="K1374" s="29" t="s">
        <v>1002</v>
      </c>
      <c r="L1374" s="55" t="s">
        <v>571</v>
      </c>
      <c r="M1374" s="29" t="s">
        <v>720</v>
      </c>
      <c r="N1374" s="32" t="s">
        <v>75</v>
      </c>
      <c r="O1374" s="31"/>
      <c r="P1374" s="31"/>
      <c r="Q1374" s="28" t="s">
        <v>76</v>
      </c>
      <c r="R1374" s="29"/>
      <c r="S1374" s="31"/>
      <c r="T1374" s="31"/>
      <c r="U1374" s="28" t="s">
        <v>75</v>
      </c>
      <c r="V1374" s="28" t="s">
        <v>75</v>
      </c>
      <c r="W1374" s="31"/>
    </row>
    <row r="1375" spans="1:23">
      <c r="A1375" s="46" t="s">
        <v>572</v>
      </c>
      <c r="B1375" s="28" t="s">
        <v>1637</v>
      </c>
      <c r="C1375" s="28" t="s">
        <v>2589</v>
      </c>
      <c r="D1375" s="31" t="s">
        <v>1176</v>
      </c>
      <c r="E1375" s="31" t="s">
        <v>1299</v>
      </c>
      <c r="F1375" s="28" t="s">
        <v>1104</v>
      </c>
      <c r="G1375" s="28" t="s">
        <v>1104</v>
      </c>
      <c r="H1375" s="35" t="s">
        <v>1096</v>
      </c>
      <c r="I1375" s="28" t="e">
        <f>VLOOKUP(E1375,표준용어사전!$C$2:$D$494, 2, FALSE)</f>
        <v>#N/A</v>
      </c>
      <c r="J1375" s="33" t="s">
        <v>78</v>
      </c>
      <c r="K1375" s="29" t="s">
        <v>1002</v>
      </c>
      <c r="L1375" s="55" t="s">
        <v>571</v>
      </c>
      <c r="M1375" s="29" t="s">
        <v>720</v>
      </c>
      <c r="N1375" s="32" t="s">
        <v>75</v>
      </c>
      <c r="O1375" s="31"/>
      <c r="P1375" s="31"/>
      <c r="Q1375" s="28" t="s">
        <v>76</v>
      </c>
      <c r="R1375" s="29"/>
      <c r="S1375" s="31"/>
      <c r="T1375" s="31"/>
      <c r="U1375" s="28" t="s">
        <v>75</v>
      </c>
      <c r="V1375" s="28" t="s">
        <v>75</v>
      </c>
      <c r="W1375" s="31"/>
    </row>
    <row r="1376" spans="1:23">
      <c r="A1376" s="46" t="s">
        <v>572</v>
      </c>
      <c r="B1376" s="28" t="s">
        <v>1637</v>
      </c>
      <c r="C1376" s="28" t="s">
        <v>2589</v>
      </c>
      <c r="D1376" s="31" t="s">
        <v>1176</v>
      </c>
      <c r="E1376" s="31" t="s">
        <v>1300</v>
      </c>
      <c r="F1376" s="28" t="s">
        <v>1531</v>
      </c>
      <c r="G1376" s="28" t="s">
        <v>1492</v>
      </c>
      <c r="H1376" s="35" t="s">
        <v>1096</v>
      </c>
      <c r="I1376" s="28" t="e">
        <f>VLOOKUP(E1376,표준용어사전!$C$2:$D$494, 2, FALSE)</f>
        <v>#N/A</v>
      </c>
      <c r="J1376" s="33" t="s">
        <v>78</v>
      </c>
      <c r="K1376" s="29" t="s">
        <v>986</v>
      </c>
      <c r="L1376" s="55" t="s">
        <v>571</v>
      </c>
      <c r="M1376" s="29" t="s">
        <v>727</v>
      </c>
      <c r="N1376" s="32" t="s">
        <v>75</v>
      </c>
      <c r="O1376" s="31"/>
      <c r="P1376" s="31"/>
      <c r="Q1376" s="28" t="s">
        <v>76</v>
      </c>
      <c r="R1376" s="29"/>
      <c r="S1376" s="31"/>
      <c r="T1376" s="31"/>
      <c r="U1376" s="28" t="s">
        <v>75</v>
      </c>
      <c r="V1376" s="28" t="s">
        <v>75</v>
      </c>
      <c r="W1376" s="31"/>
    </row>
    <row r="1377" spans="1:23">
      <c r="A1377" s="46" t="s">
        <v>572</v>
      </c>
      <c r="B1377" s="28" t="s">
        <v>1637</v>
      </c>
      <c r="C1377" s="28" t="s">
        <v>2589</v>
      </c>
      <c r="D1377" s="31" t="s">
        <v>1176</v>
      </c>
      <c r="E1377" s="31" t="s">
        <v>1301</v>
      </c>
      <c r="F1377" s="28" t="s">
        <v>1532</v>
      </c>
      <c r="G1377" s="28" t="s">
        <v>1493</v>
      </c>
      <c r="H1377" s="35" t="s">
        <v>1096</v>
      </c>
      <c r="I1377" s="28" t="e">
        <f>VLOOKUP(E1377,표준용어사전!$C$2:$D$494, 2, FALSE)</f>
        <v>#N/A</v>
      </c>
      <c r="J1377" s="33" t="s">
        <v>78</v>
      </c>
      <c r="K1377" s="29" t="s">
        <v>996</v>
      </c>
      <c r="L1377" s="55" t="s">
        <v>571</v>
      </c>
      <c r="M1377" s="29" t="s">
        <v>1018</v>
      </c>
      <c r="N1377" s="32" t="s">
        <v>75</v>
      </c>
      <c r="O1377" s="31"/>
      <c r="P1377" s="31"/>
      <c r="Q1377" s="28" t="s">
        <v>76</v>
      </c>
      <c r="R1377" s="29"/>
      <c r="S1377" s="31"/>
      <c r="T1377" s="31"/>
      <c r="U1377" s="28" t="s">
        <v>75</v>
      </c>
      <c r="V1377" s="28" t="s">
        <v>75</v>
      </c>
      <c r="W1377" s="31"/>
    </row>
    <row r="1378" spans="1:23">
      <c r="A1378" s="46" t="s">
        <v>572</v>
      </c>
      <c r="B1378" s="28" t="s">
        <v>1637</v>
      </c>
      <c r="C1378" s="28" t="s">
        <v>2589</v>
      </c>
      <c r="D1378" s="31" t="s">
        <v>1176</v>
      </c>
      <c r="E1378" s="31" t="s">
        <v>1302</v>
      </c>
      <c r="F1378" s="28" t="s">
        <v>1105</v>
      </c>
      <c r="G1378" s="28" t="s">
        <v>1105</v>
      </c>
      <c r="H1378" s="35" t="s">
        <v>1096</v>
      </c>
      <c r="I1378" s="28" t="e">
        <f>VLOOKUP(E1378,표준용어사전!$C$2:$D$494, 2, FALSE)</f>
        <v>#N/A</v>
      </c>
      <c r="J1378" s="33" t="s">
        <v>78</v>
      </c>
      <c r="K1378" s="29" t="s">
        <v>1062</v>
      </c>
      <c r="L1378" s="55" t="s">
        <v>571</v>
      </c>
      <c r="M1378" s="29" t="s">
        <v>728</v>
      </c>
      <c r="N1378" s="32" t="s">
        <v>75</v>
      </c>
      <c r="O1378" s="31"/>
      <c r="P1378" s="31"/>
      <c r="Q1378" s="28" t="s">
        <v>76</v>
      </c>
      <c r="R1378" s="29"/>
      <c r="S1378" s="31"/>
      <c r="T1378" s="31"/>
      <c r="U1378" s="28" t="s">
        <v>75</v>
      </c>
      <c r="V1378" s="28" t="s">
        <v>75</v>
      </c>
      <c r="W1378" s="31"/>
    </row>
    <row r="1379" spans="1:23">
      <c r="A1379" s="46" t="s">
        <v>572</v>
      </c>
      <c r="B1379" s="28" t="s">
        <v>1637</v>
      </c>
      <c r="C1379" s="28" t="s">
        <v>2589</v>
      </c>
      <c r="D1379" s="31" t="s">
        <v>1177</v>
      </c>
      <c r="E1379" s="31" t="s">
        <v>1281</v>
      </c>
      <c r="F1379" s="28" t="s">
        <v>1085</v>
      </c>
      <c r="G1379" s="28" t="s">
        <v>1085</v>
      </c>
      <c r="H1379" s="35" t="s">
        <v>1106</v>
      </c>
      <c r="I1379" s="28" t="e">
        <f>VLOOKUP(E1379,표준용어사전!$C$2:$D$494, 2, FALSE)</f>
        <v>#N/A</v>
      </c>
      <c r="J1379" s="33" t="s">
        <v>78</v>
      </c>
      <c r="K1379" s="29" t="s">
        <v>982</v>
      </c>
      <c r="L1379" s="55" t="s">
        <v>571</v>
      </c>
      <c r="M1379" s="29" t="s">
        <v>983</v>
      </c>
      <c r="N1379" s="32" t="s">
        <v>973</v>
      </c>
      <c r="O1379" s="31" t="s">
        <v>641</v>
      </c>
      <c r="P1379" s="31"/>
      <c r="Q1379" s="28" t="s">
        <v>76</v>
      </c>
      <c r="R1379" s="29"/>
      <c r="S1379" s="31"/>
      <c r="T1379" s="31"/>
      <c r="U1379" s="28" t="s">
        <v>75</v>
      </c>
      <c r="V1379" s="28" t="s">
        <v>75</v>
      </c>
      <c r="W1379" s="31"/>
    </row>
    <row r="1380" spans="1:23">
      <c r="A1380" s="46" t="s">
        <v>572</v>
      </c>
      <c r="B1380" s="28" t="s">
        <v>1637</v>
      </c>
      <c r="C1380" s="28" t="s">
        <v>2589</v>
      </c>
      <c r="D1380" s="31" t="s">
        <v>1177</v>
      </c>
      <c r="E1380" s="31" t="s">
        <v>1303</v>
      </c>
      <c r="F1380" s="28" t="s">
        <v>1107</v>
      </c>
      <c r="G1380" s="28" t="s">
        <v>1107</v>
      </c>
      <c r="H1380" s="35" t="s">
        <v>1106</v>
      </c>
      <c r="I1380" s="28" t="e">
        <f>VLOOKUP(E1380,표준용어사전!$C$2:$D$494, 2, FALSE)</f>
        <v>#N/A</v>
      </c>
      <c r="J1380" s="33" t="s">
        <v>78</v>
      </c>
      <c r="K1380" s="29" t="s">
        <v>1026</v>
      </c>
      <c r="L1380" s="55" t="s">
        <v>571</v>
      </c>
      <c r="M1380" s="29" t="s">
        <v>729</v>
      </c>
      <c r="N1380" s="32" t="s">
        <v>973</v>
      </c>
      <c r="O1380" s="31"/>
      <c r="P1380" s="31"/>
      <c r="Q1380" s="28" t="s">
        <v>76</v>
      </c>
      <c r="R1380" s="29"/>
      <c r="S1380" s="31"/>
      <c r="T1380" s="31"/>
      <c r="U1380" s="28" t="s">
        <v>75</v>
      </c>
      <c r="V1380" s="28" t="s">
        <v>75</v>
      </c>
      <c r="W1380" s="31"/>
    </row>
    <row r="1381" spans="1:23">
      <c r="A1381" s="46" t="s">
        <v>572</v>
      </c>
      <c r="B1381" s="28" t="s">
        <v>1637</v>
      </c>
      <c r="C1381" s="28" t="s">
        <v>2589</v>
      </c>
      <c r="D1381" s="31" t="s">
        <v>1177</v>
      </c>
      <c r="E1381" s="31" t="s">
        <v>1304</v>
      </c>
      <c r="F1381" s="28" t="s">
        <v>1432</v>
      </c>
      <c r="G1381" s="28" t="s">
        <v>1432</v>
      </c>
      <c r="H1381" s="35" t="s">
        <v>1106</v>
      </c>
      <c r="I1381" s="28" t="e">
        <f>VLOOKUP(E1381,표준용어사전!$C$2:$D$494, 2, FALSE)</f>
        <v>#N/A</v>
      </c>
      <c r="J1381" s="33" t="s">
        <v>78</v>
      </c>
      <c r="K1381" s="29" t="s">
        <v>982</v>
      </c>
      <c r="L1381" s="55" t="s">
        <v>571</v>
      </c>
      <c r="M1381" s="29" t="s">
        <v>983</v>
      </c>
      <c r="N1381" s="32" t="s">
        <v>75</v>
      </c>
      <c r="O1381" s="31"/>
      <c r="P1381" s="31"/>
      <c r="Q1381" s="28" t="s">
        <v>76</v>
      </c>
      <c r="R1381" s="29"/>
      <c r="S1381" s="31"/>
      <c r="T1381" s="31"/>
      <c r="U1381" s="28" t="s">
        <v>75</v>
      </c>
      <c r="V1381" s="28" t="s">
        <v>75</v>
      </c>
      <c r="W1381" s="31"/>
    </row>
    <row r="1382" spans="1:23">
      <c r="A1382" s="46" t="s">
        <v>572</v>
      </c>
      <c r="B1382" s="28" t="s">
        <v>1637</v>
      </c>
      <c r="C1382" s="28" t="s">
        <v>2589</v>
      </c>
      <c r="D1382" s="31" t="s">
        <v>1177</v>
      </c>
      <c r="E1382" s="31" t="s">
        <v>1305</v>
      </c>
      <c r="F1382" s="28" t="s">
        <v>1108</v>
      </c>
      <c r="G1382" s="28" t="s">
        <v>1108</v>
      </c>
      <c r="H1382" s="35" t="s">
        <v>1106</v>
      </c>
      <c r="I1382" s="28" t="e">
        <f>VLOOKUP(E1382,표준용어사전!$C$2:$D$494, 2, FALSE)</f>
        <v>#N/A</v>
      </c>
      <c r="J1382" s="33" t="s">
        <v>78</v>
      </c>
      <c r="K1382" s="29" t="s">
        <v>984</v>
      </c>
      <c r="L1382" s="55" t="s">
        <v>571</v>
      </c>
      <c r="M1382" s="29" t="s">
        <v>715</v>
      </c>
      <c r="N1382" s="32" t="s">
        <v>75</v>
      </c>
      <c r="O1382" s="31"/>
      <c r="P1382" s="31"/>
      <c r="Q1382" s="28" t="s">
        <v>76</v>
      </c>
      <c r="R1382" s="29"/>
      <c r="S1382" s="31"/>
      <c r="T1382" s="31"/>
      <c r="U1382" s="28" t="s">
        <v>75</v>
      </c>
      <c r="V1382" s="28" t="s">
        <v>75</v>
      </c>
      <c r="W1382" s="31"/>
    </row>
    <row r="1383" spans="1:23">
      <c r="A1383" s="46" t="s">
        <v>572</v>
      </c>
      <c r="B1383" s="28" t="s">
        <v>1637</v>
      </c>
      <c r="C1383" s="28" t="s">
        <v>2589</v>
      </c>
      <c r="D1383" s="31" t="s">
        <v>1177</v>
      </c>
      <c r="E1383" s="31" t="s">
        <v>1099</v>
      </c>
      <c r="F1383" s="28" t="s">
        <v>1099</v>
      </c>
      <c r="G1383" s="28" t="s">
        <v>1099</v>
      </c>
      <c r="H1383" s="35" t="s">
        <v>1106</v>
      </c>
      <c r="I1383" s="28" t="e">
        <f>VLOOKUP(E1383,표준용어사전!$C$2:$D$494, 2, FALSE)</f>
        <v>#N/A</v>
      </c>
      <c r="J1383" s="33" t="s">
        <v>78</v>
      </c>
      <c r="K1383" s="29" t="s">
        <v>1026</v>
      </c>
      <c r="L1383" s="55" t="s">
        <v>571</v>
      </c>
      <c r="M1383" s="29" t="s">
        <v>729</v>
      </c>
      <c r="N1383" s="32" t="s">
        <v>973</v>
      </c>
      <c r="O1383" s="31"/>
      <c r="P1383" s="31"/>
      <c r="Q1383" s="28" t="s">
        <v>76</v>
      </c>
      <c r="R1383" s="29"/>
      <c r="S1383" s="31"/>
      <c r="T1383" s="31"/>
      <c r="U1383" s="28" t="s">
        <v>75</v>
      </c>
      <c r="V1383" s="28" t="s">
        <v>75</v>
      </c>
      <c r="W1383" s="31"/>
    </row>
    <row r="1384" spans="1:23">
      <c r="A1384" s="46" t="s">
        <v>572</v>
      </c>
      <c r="B1384" s="28" t="s">
        <v>1637</v>
      </c>
      <c r="C1384" s="28" t="s">
        <v>2589</v>
      </c>
      <c r="D1384" s="31" t="s">
        <v>1178</v>
      </c>
      <c r="E1384" s="31" t="s">
        <v>1233</v>
      </c>
      <c r="F1384" s="28" t="s">
        <v>1510</v>
      </c>
      <c r="G1384" s="28" t="s">
        <v>1487</v>
      </c>
      <c r="H1384" s="35" t="s">
        <v>1109</v>
      </c>
      <c r="I1384" s="28" t="e">
        <f>VLOOKUP(E1384,표준용어사전!$C$2:$D$494, 2, FALSE)</f>
        <v>#N/A</v>
      </c>
      <c r="J1384" s="33" t="s">
        <v>78</v>
      </c>
      <c r="K1384" s="29" t="s">
        <v>1002</v>
      </c>
      <c r="L1384" s="55" t="s">
        <v>571</v>
      </c>
      <c r="M1384" s="29" t="s">
        <v>720</v>
      </c>
      <c r="N1384" s="32" t="s">
        <v>973</v>
      </c>
      <c r="O1384" s="31" t="s">
        <v>641</v>
      </c>
      <c r="P1384" s="31"/>
      <c r="Q1384" s="28" t="s">
        <v>76</v>
      </c>
      <c r="R1384" s="29"/>
      <c r="S1384" s="31"/>
      <c r="T1384" s="31"/>
      <c r="U1384" s="28" t="s">
        <v>75</v>
      </c>
      <c r="V1384" s="28" t="s">
        <v>75</v>
      </c>
      <c r="W1384" s="28"/>
    </row>
    <row r="1385" spans="1:23">
      <c r="A1385" s="46" t="s">
        <v>572</v>
      </c>
      <c r="B1385" s="28" t="s">
        <v>1637</v>
      </c>
      <c r="C1385" s="28" t="s">
        <v>2589</v>
      </c>
      <c r="D1385" s="31" t="s">
        <v>1178</v>
      </c>
      <c r="E1385" s="31" t="s">
        <v>1306</v>
      </c>
      <c r="F1385" s="28" t="s">
        <v>1110</v>
      </c>
      <c r="G1385" s="28" t="s">
        <v>1110</v>
      </c>
      <c r="H1385" s="35" t="s">
        <v>1109</v>
      </c>
      <c r="I1385" s="28" t="e">
        <f>VLOOKUP(E1385,표준용어사전!$C$2:$D$494, 2, FALSE)</f>
        <v>#N/A</v>
      </c>
      <c r="J1385" s="33" t="s">
        <v>78</v>
      </c>
      <c r="K1385" s="29" t="s">
        <v>982</v>
      </c>
      <c r="L1385" s="55" t="s">
        <v>571</v>
      </c>
      <c r="M1385" s="29" t="s">
        <v>983</v>
      </c>
      <c r="N1385" s="32" t="s">
        <v>973</v>
      </c>
      <c r="O1385" s="31"/>
      <c r="P1385" s="31"/>
      <c r="Q1385" s="28" t="s">
        <v>76</v>
      </c>
      <c r="R1385" s="29"/>
      <c r="S1385" s="31"/>
      <c r="T1385" s="31"/>
      <c r="U1385" s="28" t="s">
        <v>75</v>
      </c>
      <c r="V1385" s="28" t="s">
        <v>75</v>
      </c>
      <c r="W1385" s="28"/>
    </row>
    <row r="1386" spans="1:23">
      <c r="A1386" s="46" t="s">
        <v>572</v>
      </c>
      <c r="B1386" s="28" t="s">
        <v>1637</v>
      </c>
      <c r="C1386" s="28" t="s">
        <v>2589</v>
      </c>
      <c r="D1386" s="31" t="s">
        <v>1178</v>
      </c>
      <c r="E1386" s="31" t="s">
        <v>1307</v>
      </c>
      <c r="F1386" s="28" t="s">
        <v>1111</v>
      </c>
      <c r="G1386" s="28" t="s">
        <v>1111</v>
      </c>
      <c r="H1386" s="35" t="s">
        <v>1109</v>
      </c>
      <c r="I1386" s="28" t="e">
        <f>VLOOKUP(E1386,표준용어사전!$C$2:$D$494, 2, FALSE)</f>
        <v>#N/A</v>
      </c>
      <c r="J1386" s="33" t="s">
        <v>78</v>
      </c>
      <c r="K1386" s="29" t="s">
        <v>1112</v>
      </c>
      <c r="L1386" s="55" t="s">
        <v>571</v>
      </c>
      <c r="M1386" s="29" t="s">
        <v>1113</v>
      </c>
      <c r="N1386" s="32" t="s">
        <v>75</v>
      </c>
      <c r="O1386" s="31"/>
      <c r="P1386" s="31"/>
      <c r="Q1386" s="28" t="s">
        <v>76</v>
      </c>
      <c r="R1386" s="29"/>
      <c r="S1386" s="31"/>
      <c r="T1386" s="31"/>
      <c r="U1386" s="28" t="s">
        <v>75</v>
      </c>
      <c r="V1386" s="28" t="s">
        <v>75</v>
      </c>
      <c r="W1386" s="28"/>
    </row>
    <row r="1387" spans="1:23">
      <c r="A1387" s="46" t="s">
        <v>572</v>
      </c>
      <c r="B1387" s="28" t="s">
        <v>1637</v>
      </c>
      <c r="C1387" s="28" t="s">
        <v>2589</v>
      </c>
      <c r="D1387" s="31" t="s">
        <v>1178</v>
      </c>
      <c r="E1387" s="31" t="s">
        <v>1308</v>
      </c>
      <c r="F1387" s="28" t="s">
        <v>1114</v>
      </c>
      <c r="G1387" s="28" t="s">
        <v>1114</v>
      </c>
      <c r="H1387" s="35" t="s">
        <v>1109</v>
      </c>
      <c r="I1387" s="28" t="e">
        <f>VLOOKUP(E1387,표준용어사전!$C$2:$D$494, 2, FALSE)</f>
        <v>#N/A</v>
      </c>
      <c r="J1387" s="33" t="s">
        <v>78</v>
      </c>
      <c r="K1387" s="29" t="s">
        <v>984</v>
      </c>
      <c r="L1387" s="55" t="s">
        <v>571</v>
      </c>
      <c r="M1387" s="29" t="s">
        <v>715</v>
      </c>
      <c r="N1387" s="32" t="s">
        <v>75</v>
      </c>
      <c r="O1387" s="31"/>
      <c r="P1387" s="31"/>
      <c r="Q1387" s="28" t="s">
        <v>76</v>
      </c>
      <c r="R1387" s="29"/>
      <c r="S1387" s="31"/>
      <c r="T1387" s="31"/>
      <c r="U1387" s="28" t="s">
        <v>75</v>
      </c>
      <c r="V1387" s="28" t="s">
        <v>75</v>
      </c>
      <c r="W1387" s="28"/>
    </row>
    <row r="1388" spans="1:23">
      <c r="A1388" s="46" t="s">
        <v>572</v>
      </c>
      <c r="B1388" s="28" t="s">
        <v>1637</v>
      </c>
      <c r="C1388" s="28" t="s">
        <v>2589</v>
      </c>
      <c r="D1388" s="31" t="s">
        <v>1178</v>
      </c>
      <c r="E1388" s="31" t="s">
        <v>1309</v>
      </c>
      <c r="F1388" s="28" t="s">
        <v>1115</v>
      </c>
      <c r="G1388" s="28" t="s">
        <v>1115</v>
      </c>
      <c r="H1388" s="35" t="s">
        <v>1109</v>
      </c>
      <c r="I1388" s="28" t="e">
        <f>VLOOKUP(E1388,표준용어사전!$C$2:$D$494, 2, FALSE)</f>
        <v>#N/A</v>
      </c>
      <c r="J1388" s="33" t="s">
        <v>78</v>
      </c>
      <c r="K1388" s="29" t="s">
        <v>1116</v>
      </c>
      <c r="L1388" s="55" t="s">
        <v>571</v>
      </c>
      <c r="M1388" s="29" t="s">
        <v>1117</v>
      </c>
      <c r="N1388" s="32" t="s">
        <v>75</v>
      </c>
      <c r="O1388" s="31"/>
      <c r="P1388" s="31"/>
      <c r="Q1388" s="28" t="s">
        <v>76</v>
      </c>
      <c r="R1388" s="29"/>
      <c r="S1388" s="31"/>
      <c r="T1388" s="31"/>
      <c r="U1388" s="28" t="s">
        <v>75</v>
      </c>
      <c r="V1388" s="28" t="s">
        <v>75</v>
      </c>
      <c r="W1388" s="28"/>
    </row>
    <row r="1389" spans="1:23">
      <c r="A1389" s="46" t="s">
        <v>572</v>
      </c>
      <c r="B1389" s="28" t="s">
        <v>1637</v>
      </c>
      <c r="C1389" s="28" t="s">
        <v>2589</v>
      </c>
      <c r="D1389" s="31" t="s">
        <v>1178</v>
      </c>
      <c r="E1389" s="31" t="s">
        <v>1310</v>
      </c>
      <c r="F1389" s="28" t="s">
        <v>1118</v>
      </c>
      <c r="G1389" s="28" t="s">
        <v>1118</v>
      </c>
      <c r="H1389" s="35" t="s">
        <v>1109</v>
      </c>
      <c r="I1389" s="28" t="e">
        <f>VLOOKUP(E1389,표준용어사전!$C$2:$D$494, 2, FALSE)</f>
        <v>#N/A</v>
      </c>
      <c r="J1389" s="33" t="s">
        <v>78</v>
      </c>
      <c r="K1389" s="29" t="s">
        <v>1061</v>
      </c>
      <c r="L1389" s="55" t="s">
        <v>571</v>
      </c>
      <c r="M1389" s="29" t="s">
        <v>1119</v>
      </c>
      <c r="N1389" s="32" t="s">
        <v>75</v>
      </c>
      <c r="O1389" s="31"/>
      <c r="P1389" s="31"/>
      <c r="Q1389" s="28" t="s">
        <v>76</v>
      </c>
      <c r="R1389" s="29"/>
      <c r="S1389" s="31"/>
      <c r="T1389" s="31"/>
      <c r="U1389" s="28" t="s">
        <v>75</v>
      </c>
      <c r="V1389" s="28" t="s">
        <v>75</v>
      </c>
      <c r="W1389" s="28"/>
    </row>
    <row r="1390" spans="1:23">
      <c r="A1390" s="46" t="s">
        <v>572</v>
      </c>
      <c r="B1390" s="28" t="s">
        <v>1637</v>
      </c>
      <c r="C1390" s="28" t="s">
        <v>2589</v>
      </c>
      <c r="D1390" s="31" t="s">
        <v>1178</v>
      </c>
      <c r="E1390" s="31" t="s">
        <v>1311</v>
      </c>
      <c r="F1390" s="28" t="s">
        <v>1120</v>
      </c>
      <c r="G1390" s="28" t="s">
        <v>1120</v>
      </c>
      <c r="H1390" s="35" t="s">
        <v>1109</v>
      </c>
      <c r="I1390" s="28" t="e">
        <f>VLOOKUP(E1390,표준용어사전!$C$2:$D$494, 2, FALSE)</f>
        <v>#N/A</v>
      </c>
      <c r="J1390" s="33" t="s">
        <v>16</v>
      </c>
      <c r="K1390" s="29" t="s">
        <v>927</v>
      </c>
      <c r="L1390" s="55" t="s">
        <v>571</v>
      </c>
      <c r="M1390" s="29" t="s">
        <v>726</v>
      </c>
      <c r="N1390" s="32" t="s">
        <v>973</v>
      </c>
      <c r="O1390" s="31"/>
      <c r="P1390" s="31"/>
      <c r="Q1390" s="28" t="s">
        <v>76</v>
      </c>
      <c r="R1390" s="29"/>
      <c r="S1390" s="31"/>
      <c r="T1390" s="28" t="s">
        <v>574</v>
      </c>
      <c r="U1390" s="28" t="s">
        <v>75</v>
      </c>
      <c r="V1390" s="28" t="s">
        <v>75</v>
      </c>
      <c r="W1390" s="28"/>
    </row>
    <row r="1391" spans="1:23">
      <c r="A1391" s="46" t="s">
        <v>572</v>
      </c>
      <c r="B1391" s="28" t="s">
        <v>1637</v>
      </c>
      <c r="C1391" s="28" t="s">
        <v>2589</v>
      </c>
      <c r="D1391" s="31" t="s">
        <v>1178</v>
      </c>
      <c r="E1391" s="31" t="s">
        <v>1312</v>
      </c>
      <c r="F1391" s="28" t="s">
        <v>1437</v>
      </c>
      <c r="G1391" s="28" t="s">
        <v>1437</v>
      </c>
      <c r="H1391" s="35" t="s">
        <v>1109</v>
      </c>
      <c r="I1391" s="28" t="e">
        <f>VLOOKUP(E1391,표준용어사전!$C$2:$D$494, 2, FALSE)</f>
        <v>#N/A</v>
      </c>
      <c r="J1391" s="33" t="s">
        <v>78</v>
      </c>
      <c r="K1391" s="29" t="s">
        <v>986</v>
      </c>
      <c r="L1391" s="55" t="s">
        <v>571</v>
      </c>
      <c r="M1391" s="29" t="s">
        <v>727</v>
      </c>
      <c r="N1391" s="32" t="s">
        <v>75</v>
      </c>
      <c r="O1391" s="31"/>
      <c r="P1391" s="31"/>
      <c r="Q1391" s="28" t="s">
        <v>76</v>
      </c>
      <c r="R1391" s="29"/>
      <c r="S1391" s="31"/>
      <c r="T1391" s="31"/>
      <c r="U1391" s="28" t="s">
        <v>75</v>
      </c>
      <c r="V1391" s="28" t="s">
        <v>75</v>
      </c>
      <c r="W1391" s="28"/>
    </row>
    <row r="1392" spans="1:23">
      <c r="A1392" s="46" t="s">
        <v>572</v>
      </c>
      <c r="B1392" s="28" t="s">
        <v>1637</v>
      </c>
      <c r="C1392" s="28" t="s">
        <v>2589</v>
      </c>
      <c r="D1392" s="31" t="s">
        <v>1179</v>
      </c>
      <c r="E1392" s="31" t="s">
        <v>1436</v>
      </c>
      <c r="F1392" s="28" t="s">
        <v>1435</v>
      </c>
      <c r="G1392" s="28" t="s">
        <v>1121</v>
      </c>
      <c r="H1392" s="35" t="s">
        <v>1122</v>
      </c>
      <c r="I1392" s="28" t="e">
        <f>VLOOKUP(E1392,표준용어사전!$C$2:$D$494, 2, FALSE)</f>
        <v>#N/A</v>
      </c>
      <c r="J1392" s="33" t="s">
        <v>78</v>
      </c>
      <c r="K1392" s="29" t="s">
        <v>996</v>
      </c>
      <c r="L1392" s="55" t="s">
        <v>571</v>
      </c>
      <c r="M1392" s="29" t="s">
        <v>1018</v>
      </c>
      <c r="N1392" s="32" t="s">
        <v>973</v>
      </c>
      <c r="O1392" s="31" t="s">
        <v>641</v>
      </c>
      <c r="P1392" s="31" t="s">
        <v>2743</v>
      </c>
      <c r="Q1392" s="28" t="s">
        <v>76</v>
      </c>
      <c r="R1392" s="29"/>
      <c r="S1392" s="31"/>
      <c r="T1392" s="31"/>
      <c r="U1392" s="28" t="s">
        <v>75</v>
      </c>
      <c r="V1392" s="28" t="s">
        <v>75</v>
      </c>
      <c r="W1392" s="28"/>
    </row>
    <row r="1393" spans="1:23">
      <c r="A1393" s="46" t="s">
        <v>572</v>
      </c>
      <c r="B1393" s="28" t="s">
        <v>1637</v>
      </c>
      <c r="C1393" s="28" t="s">
        <v>2589</v>
      </c>
      <c r="D1393" s="31" t="s">
        <v>1179</v>
      </c>
      <c r="E1393" s="31" t="s">
        <v>1313</v>
      </c>
      <c r="F1393" s="28" t="s">
        <v>1123</v>
      </c>
      <c r="G1393" s="28" t="s">
        <v>1123</v>
      </c>
      <c r="H1393" s="35" t="s">
        <v>1122</v>
      </c>
      <c r="I1393" s="28" t="e">
        <f>VLOOKUP(E1393,표준용어사전!$C$2:$D$494, 2, FALSE)</f>
        <v>#N/A</v>
      </c>
      <c r="J1393" s="33" t="s">
        <v>78</v>
      </c>
      <c r="K1393" s="29" t="s">
        <v>996</v>
      </c>
      <c r="L1393" s="55" t="s">
        <v>571</v>
      </c>
      <c r="M1393" s="29" t="s">
        <v>1018</v>
      </c>
      <c r="N1393" s="32" t="s">
        <v>973</v>
      </c>
      <c r="O1393" s="31" t="s">
        <v>573</v>
      </c>
      <c r="P1393" s="31" t="s">
        <v>2743</v>
      </c>
      <c r="Q1393" s="28" t="s">
        <v>76</v>
      </c>
      <c r="R1393" s="29"/>
      <c r="S1393" s="31"/>
      <c r="T1393" s="31"/>
      <c r="U1393" s="28" t="s">
        <v>75</v>
      </c>
      <c r="V1393" s="28" t="s">
        <v>75</v>
      </c>
      <c r="W1393" s="28"/>
    </row>
    <row r="1394" spans="1:23">
      <c r="A1394" s="46" t="s">
        <v>572</v>
      </c>
      <c r="B1394" s="28" t="s">
        <v>1637</v>
      </c>
      <c r="C1394" s="28" t="s">
        <v>2589</v>
      </c>
      <c r="D1394" s="31" t="s">
        <v>1180</v>
      </c>
      <c r="E1394" s="31" t="s">
        <v>1314</v>
      </c>
      <c r="F1394" s="28" t="s">
        <v>1124</v>
      </c>
      <c r="G1394" s="28" t="s">
        <v>1124</v>
      </c>
      <c r="H1394" s="35" t="s">
        <v>1125</v>
      </c>
      <c r="I1394" s="28" t="e">
        <f>VLOOKUP(E1394,표준용어사전!$C$2:$D$494, 2, FALSE)</f>
        <v>#N/A</v>
      </c>
      <c r="J1394" s="33" t="s">
        <v>78</v>
      </c>
      <c r="K1394" s="29" t="s">
        <v>1064</v>
      </c>
      <c r="L1394" s="55" t="s">
        <v>571</v>
      </c>
      <c r="M1394" s="29" t="s">
        <v>732</v>
      </c>
      <c r="N1394" s="32" t="s">
        <v>973</v>
      </c>
      <c r="O1394" s="31" t="s">
        <v>641</v>
      </c>
      <c r="P1394" s="31"/>
      <c r="Q1394" s="28" t="s">
        <v>76</v>
      </c>
      <c r="R1394" s="29"/>
      <c r="S1394" s="31"/>
      <c r="T1394" s="31"/>
      <c r="U1394" s="28" t="s">
        <v>75</v>
      </c>
      <c r="V1394" s="28" t="s">
        <v>75</v>
      </c>
      <c r="W1394" s="31"/>
    </row>
    <row r="1395" spans="1:23">
      <c r="A1395" s="46" t="s">
        <v>572</v>
      </c>
      <c r="B1395" s="28" t="s">
        <v>1637</v>
      </c>
      <c r="C1395" s="28" t="s">
        <v>2589</v>
      </c>
      <c r="D1395" s="31" t="s">
        <v>1180</v>
      </c>
      <c r="E1395" s="31" t="s">
        <v>90</v>
      </c>
      <c r="F1395" s="35" t="s">
        <v>14</v>
      </c>
      <c r="G1395" s="35" t="s">
        <v>14</v>
      </c>
      <c r="H1395" s="35" t="s">
        <v>1125</v>
      </c>
      <c r="I1395" s="28" t="str">
        <f>VLOOKUP(E1395,표준용어사전!$C$2:$D$494, 2, FALSE)</f>
        <v>연월일시분초TS</v>
      </c>
      <c r="J1395" s="33" t="s">
        <v>16</v>
      </c>
      <c r="K1395" s="29" t="s">
        <v>927</v>
      </c>
      <c r="L1395" s="55" t="s">
        <v>571</v>
      </c>
      <c r="M1395" s="29" t="s">
        <v>726</v>
      </c>
      <c r="N1395" s="29" t="s">
        <v>711</v>
      </c>
      <c r="O1395" s="31"/>
      <c r="P1395" s="31"/>
      <c r="Q1395" s="28" t="s">
        <v>76</v>
      </c>
      <c r="R1395" s="29"/>
      <c r="S1395" s="31"/>
      <c r="T1395" s="28" t="s">
        <v>574</v>
      </c>
      <c r="U1395" s="28" t="s">
        <v>75</v>
      </c>
      <c r="V1395" s="28" t="s">
        <v>75</v>
      </c>
      <c r="W1395" s="31"/>
    </row>
    <row r="1396" spans="1:23">
      <c r="A1396" s="46" t="s">
        <v>572</v>
      </c>
      <c r="B1396" s="28" t="s">
        <v>1637</v>
      </c>
      <c r="C1396" s="28" t="s">
        <v>2589</v>
      </c>
      <c r="D1396" s="31" t="s">
        <v>1180</v>
      </c>
      <c r="E1396" s="31" t="s">
        <v>1315</v>
      </c>
      <c r="F1396" s="28" t="s">
        <v>1439</v>
      </c>
      <c r="G1396" s="28" t="s">
        <v>1126</v>
      </c>
      <c r="H1396" s="35" t="s">
        <v>1125</v>
      </c>
      <c r="I1396" s="28" t="str">
        <f>VLOOKUP(E1396,표준용어사전!$C$2:$D$494, 2, FALSE)</f>
        <v>연월일시분초TS</v>
      </c>
      <c r="J1396" s="33" t="s">
        <v>16</v>
      </c>
      <c r="K1396" s="29" t="s">
        <v>927</v>
      </c>
      <c r="L1396" s="55" t="s">
        <v>571</v>
      </c>
      <c r="M1396" s="29" t="s">
        <v>726</v>
      </c>
      <c r="N1396" s="32" t="s">
        <v>75</v>
      </c>
      <c r="O1396" s="31"/>
      <c r="P1396" s="31"/>
      <c r="Q1396" s="28" t="s">
        <v>76</v>
      </c>
      <c r="R1396" s="29"/>
      <c r="S1396" s="31"/>
      <c r="T1396" s="28" t="s">
        <v>574</v>
      </c>
      <c r="U1396" s="28" t="s">
        <v>75</v>
      </c>
      <c r="V1396" s="28" t="s">
        <v>75</v>
      </c>
      <c r="W1396" s="31"/>
    </row>
    <row r="1397" spans="1:23">
      <c r="A1397" s="46" t="s">
        <v>572</v>
      </c>
      <c r="B1397" s="28" t="s">
        <v>1637</v>
      </c>
      <c r="C1397" s="28" t="s">
        <v>2589</v>
      </c>
      <c r="D1397" s="31" t="s">
        <v>1180</v>
      </c>
      <c r="E1397" s="31" t="s">
        <v>863</v>
      </c>
      <c r="F1397" s="28" t="s">
        <v>1625</v>
      </c>
      <c r="G1397" s="28" t="s">
        <v>1625</v>
      </c>
      <c r="H1397" s="35" t="s">
        <v>1125</v>
      </c>
      <c r="I1397" s="28" t="e">
        <f>VLOOKUP(E1397,표준용어사전!$C$2:$D$494, 2, FALSE)</f>
        <v>#N/A</v>
      </c>
      <c r="J1397" s="33" t="s">
        <v>78</v>
      </c>
      <c r="K1397" s="29" t="s">
        <v>1073</v>
      </c>
      <c r="L1397" s="55" t="s">
        <v>571</v>
      </c>
      <c r="M1397" s="29" t="s">
        <v>788</v>
      </c>
      <c r="N1397" s="32" t="s">
        <v>75</v>
      </c>
      <c r="O1397" s="31"/>
      <c r="P1397" s="31"/>
      <c r="Q1397" s="28" t="s">
        <v>76</v>
      </c>
      <c r="R1397" s="29"/>
      <c r="S1397" s="31"/>
      <c r="T1397" s="31"/>
      <c r="U1397" s="28" t="s">
        <v>75</v>
      </c>
      <c r="V1397" s="28" t="s">
        <v>75</v>
      </c>
      <c r="W1397" s="31"/>
    </row>
    <row r="1398" spans="1:23">
      <c r="A1398" s="46" t="s">
        <v>572</v>
      </c>
      <c r="B1398" s="28" t="s">
        <v>1637</v>
      </c>
      <c r="C1398" s="28" t="s">
        <v>2589</v>
      </c>
      <c r="D1398" s="31" t="s">
        <v>1180</v>
      </c>
      <c r="E1398" s="31" t="s">
        <v>1316</v>
      </c>
      <c r="F1398" s="28" t="s">
        <v>1127</v>
      </c>
      <c r="G1398" s="28" t="s">
        <v>1127</v>
      </c>
      <c r="H1398" s="35" t="s">
        <v>1125</v>
      </c>
      <c r="I1398" s="28" t="e">
        <f>VLOOKUP(E1398,표준용어사전!$C$2:$D$494, 2, FALSE)</f>
        <v>#N/A</v>
      </c>
      <c r="J1398" s="33" t="s">
        <v>78</v>
      </c>
      <c r="K1398" s="29" t="s">
        <v>986</v>
      </c>
      <c r="L1398" s="55" t="s">
        <v>571</v>
      </c>
      <c r="M1398" s="29" t="s">
        <v>727</v>
      </c>
      <c r="N1398" s="32" t="s">
        <v>75</v>
      </c>
      <c r="O1398" s="31"/>
      <c r="P1398" s="31"/>
      <c r="Q1398" s="28" t="s">
        <v>76</v>
      </c>
      <c r="R1398" s="29"/>
      <c r="S1398" s="31"/>
      <c r="T1398" s="31"/>
      <c r="U1398" s="28" t="s">
        <v>75</v>
      </c>
      <c r="V1398" s="28" t="s">
        <v>75</v>
      </c>
      <c r="W1398" s="31"/>
    </row>
    <row r="1399" spans="1:23">
      <c r="A1399" s="46" t="s">
        <v>572</v>
      </c>
      <c r="B1399" s="28" t="s">
        <v>1637</v>
      </c>
      <c r="C1399" s="28" t="s">
        <v>2589</v>
      </c>
      <c r="D1399" s="31" t="s">
        <v>1181</v>
      </c>
      <c r="E1399" s="31" t="s">
        <v>1317</v>
      </c>
      <c r="F1399" s="28" t="s">
        <v>1128</v>
      </c>
      <c r="G1399" s="28" t="s">
        <v>1128</v>
      </c>
      <c r="H1399" s="35" t="s">
        <v>1129</v>
      </c>
      <c r="I1399" s="28" t="e">
        <f>VLOOKUP(E1399,표준용어사전!$C$2:$D$494, 2, FALSE)</f>
        <v>#N/A</v>
      </c>
      <c r="J1399" s="33" t="s">
        <v>78</v>
      </c>
      <c r="K1399" s="29" t="s">
        <v>986</v>
      </c>
      <c r="L1399" s="55" t="s">
        <v>571</v>
      </c>
      <c r="M1399" s="29" t="s">
        <v>727</v>
      </c>
      <c r="N1399" s="32" t="s">
        <v>973</v>
      </c>
      <c r="O1399" s="31" t="s">
        <v>641</v>
      </c>
      <c r="P1399" s="31"/>
      <c r="Q1399" s="28" t="s">
        <v>76</v>
      </c>
      <c r="R1399" s="29"/>
      <c r="S1399" s="31"/>
      <c r="T1399" s="31"/>
      <c r="U1399" s="28" t="s">
        <v>75</v>
      </c>
      <c r="V1399" s="28" t="s">
        <v>75</v>
      </c>
      <c r="W1399" s="31"/>
    </row>
    <row r="1400" spans="1:23">
      <c r="A1400" s="46" t="s">
        <v>572</v>
      </c>
      <c r="B1400" s="28" t="s">
        <v>1637</v>
      </c>
      <c r="C1400" s="28" t="s">
        <v>2589</v>
      </c>
      <c r="D1400" s="31" t="s">
        <v>1181</v>
      </c>
      <c r="E1400" s="31" t="s">
        <v>1318</v>
      </c>
      <c r="F1400" s="28" t="s">
        <v>1533</v>
      </c>
      <c r="G1400" s="28" t="s">
        <v>1494</v>
      </c>
      <c r="H1400" s="35" t="s">
        <v>1129</v>
      </c>
      <c r="I1400" s="28" t="e">
        <f>VLOOKUP(E1400,표준용어사전!$C$2:$D$494, 2, FALSE)</f>
        <v>#N/A</v>
      </c>
      <c r="J1400" s="33" t="s">
        <v>570</v>
      </c>
      <c r="K1400" s="29" t="s">
        <v>980</v>
      </c>
      <c r="L1400" s="55" t="s">
        <v>571</v>
      </c>
      <c r="M1400" s="29" t="s">
        <v>981</v>
      </c>
      <c r="N1400" s="32" t="s">
        <v>75</v>
      </c>
      <c r="O1400" s="31"/>
      <c r="P1400" s="31"/>
      <c r="Q1400" s="28" t="s">
        <v>76</v>
      </c>
      <c r="R1400" s="29"/>
      <c r="S1400" s="31"/>
      <c r="T1400" s="31"/>
      <c r="U1400" s="28" t="s">
        <v>75</v>
      </c>
      <c r="V1400" s="28" t="s">
        <v>75</v>
      </c>
      <c r="W1400" s="31"/>
    </row>
    <row r="1401" spans="1:23">
      <c r="A1401" s="46" t="s">
        <v>572</v>
      </c>
      <c r="B1401" s="28" t="s">
        <v>1637</v>
      </c>
      <c r="C1401" s="28" t="s">
        <v>2589</v>
      </c>
      <c r="D1401" s="31" t="s">
        <v>1181</v>
      </c>
      <c r="E1401" s="31" t="s">
        <v>1319</v>
      </c>
      <c r="F1401" s="28" t="s">
        <v>1525</v>
      </c>
      <c r="G1401" s="28" t="s">
        <v>1495</v>
      </c>
      <c r="H1401" s="35" t="s">
        <v>1129</v>
      </c>
      <c r="I1401" s="28" t="e">
        <f>VLOOKUP(E1401,표준용어사전!$C$2:$D$494, 2, FALSE)</f>
        <v>#N/A</v>
      </c>
      <c r="J1401" s="33" t="s">
        <v>570</v>
      </c>
      <c r="K1401" s="29" t="s">
        <v>1130</v>
      </c>
      <c r="L1401" s="55" t="s">
        <v>571</v>
      </c>
      <c r="M1401" s="29" t="s">
        <v>1131</v>
      </c>
      <c r="N1401" s="32" t="s">
        <v>75</v>
      </c>
      <c r="O1401" s="31"/>
      <c r="P1401" s="31"/>
      <c r="Q1401" s="28" t="s">
        <v>76</v>
      </c>
      <c r="R1401" s="29"/>
      <c r="S1401" s="31"/>
      <c r="T1401" s="31"/>
      <c r="U1401" s="28" t="s">
        <v>75</v>
      </c>
      <c r="V1401" s="28" t="s">
        <v>75</v>
      </c>
      <c r="W1401" s="31"/>
    </row>
    <row r="1402" spans="1:23">
      <c r="A1402" s="46" t="s">
        <v>572</v>
      </c>
      <c r="B1402" s="28" t="s">
        <v>1637</v>
      </c>
      <c r="C1402" s="28" t="s">
        <v>2589</v>
      </c>
      <c r="D1402" s="31" t="s">
        <v>1181</v>
      </c>
      <c r="E1402" s="31" t="s">
        <v>1290</v>
      </c>
      <c r="F1402" s="28" t="s">
        <v>1098</v>
      </c>
      <c r="G1402" s="28" t="s">
        <v>1098</v>
      </c>
      <c r="H1402" s="35" t="s">
        <v>1129</v>
      </c>
      <c r="I1402" s="28" t="e">
        <f>VLOOKUP(E1402,표준용어사전!$C$2:$D$494, 2, FALSE)</f>
        <v>#N/A</v>
      </c>
      <c r="J1402" s="33" t="s">
        <v>16</v>
      </c>
      <c r="K1402" s="29" t="s">
        <v>927</v>
      </c>
      <c r="L1402" s="55" t="s">
        <v>571</v>
      </c>
      <c r="M1402" s="29" t="s">
        <v>726</v>
      </c>
      <c r="N1402" s="32" t="s">
        <v>75</v>
      </c>
      <c r="O1402" s="31"/>
      <c r="P1402" s="31"/>
      <c r="Q1402" s="28" t="s">
        <v>76</v>
      </c>
      <c r="R1402" s="29"/>
      <c r="S1402" s="31"/>
      <c r="T1402" s="28" t="s">
        <v>574</v>
      </c>
      <c r="U1402" s="28" t="s">
        <v>75</v>
      </c>
      <c r="V1402" s="28" t="s">
        <v>75</v>
      </c>
      <c r="W1402" s="31"/>
    </row>
    <row r="1403" spans="1:23">
      <c r="A1403" s="46" t="s">
        <v>572</v>
      </c>
      <c r="B1403" s="28" t="s">
        <v>1637</v>
      </c>
      <c r="C1403" s="28" t="s">
        <v>2589</v>
      </c>
      <c r="D1403" s="31" t="s">
        <v>1181</v>
      </c>
      <c r="E1403" s="31" t="s">
        <v>1320</v>
      </c>
      <c r="F1403" s="28" t="s">
        <v>1132</v>
      </c>
      <c r="G1403" s="28" t="s">
        <v>1132</v>
      </c>
      <c r="H1403" s="35" t="s">
        <v>1129</v>
      </c>
      <c r="I1403" s="28" t="e">
        <f>VLOOKUP(E1403,표준용어사전!$C$2:$D$494, 2, FALSE)</f>
        <v>#N/A</v>
      </c>
      <c r="J1403" s="33" t="s">
        <v>16</v>
      </c>
      <c r="K1403" s="29" t="s">
        <v>927</v>
      </c>
      <c r="L1403" s="55" t="s">
        <v>571</v>
      </c>
      <c r="M1403" s="29" t="s">
        <v>726</v>
      </c>
      <c r="N1403" s="32" t="s">
        <v>75</v>
      </c>
      <c r="O1403" s="31"/>
      <c r="P1403" s="31"/>
      <c r="Q1403" s="28" t="s">
        <v>76</v>
      </c>
      <c r="R1403" s="29"/>
      <c r="S1403" s="31"/>
      <c r="T1403" s="28" t="s">
        <v>574</v>
      </c>
      <c r="U1403" s="28" t="s">
        <v>75</v>
      </c>
      <c r="V1403" s="28" t="s">
        <v>75</v>
      </c>
      <c r="W1403" s="31"/>
    </row>
    <row r="1404" spans="1:23">
      <c r="A1404" s="46" t="s">
        <v>572</v>
      </c>
      <c r="B1404" s="28" t="s">
        <v>1637</v>
      </c>
      <c r="C1404" s="28" t="s">
        <v>2589</v>
      </c>
      <c r="D1404" s="31" t="s">
        <v>1181</v>
      </c>
      <c r="E1404" s="31" t="s">
        <v>1292</v>
      </c>
      <c r="F1404" s="28" t="s">
        <v>1625</v>
      </c>
      <c r="G1404" s="28" t="s">
        <v>1625</v>
      </c>
      <c r="H1404" s="35" t="s">
        <v>1129</v>
      </c>
      <c r="I1404" s="28" t="e">
        <f>VLOOKUP(E1404,표준용어사전!$C$2:$D$494, 2, FALSE)</f>
        <v>#N/A</v>
      </c>
      <c r="J1404" s="33" t="s">
        <v>78</v>
      </c>
      <c r="K1404" s="29" t="s">
        <v>1073</v>
      </c>
      <c r="L1404" s="55" t="s">
        <v>571</v>
      </c>
      <c r="M1404" s="29" t="s">
        <v>788</v>
      </c>
      <c r="N1404" s="32" t="s">
        <v>75</v>
      </c>
      <c r="O1404" s="31"/>
      <c r="P1404" s="31"/>
      <c r="Q1404" s="28" t="s">
        <v>76</v>
      </c>
      <c r="R1404" s="29"/>
      <c r="S1404" s="31"/>
      <c r="T1404" s="31"/>
      <c r="U1404" s="28" t="s">
        <v>75</v>
      </c>
      <c r="V1404" s="28" t="s">
        <v>75</v>
      </c>
      <c r="W1404" s="31"/>
    </row>
    <row r="1405" spans="1:23">
      <c r="A1405" s="46" t="s">
        <v>572</v>
      </c>
      <c r="B1405" s="28" t="s">
        <v>1637</v>
      </c>
      <c r="C1405" s="28" t="s">
        <v>2589</v>
      </c>
      <c r="D1405" s="31" t="s">
        <v>1181</v>
      </c>
      <c r="E1405" s="31" t="s">
        <v>1291</v>
      </c>
      <c r="F1405" s="28" t="s">
        <v>787</v>
      </c>
      <c r="G1405" s="28" t="s">
        <v>787</v>
      </c>
      <c r="H1405" s="35" t="s">
        <v>1129</v>
      </c>
      <c r="I1405" s="28" t="e">
        <f>VLOOKUP(E1405,표준용어사전!$C$2:$D$494, 2, FALSE)</f>
        <v>#N/A</v>
      </c>
      <c r="J1405" s="33" t="s">
        <v>78</v>
      </c>
      <c r="K1405" s="29" t="s">
        <v>986</v>
      </c>
      <c r="L1405" s="55" t="s">
        <v>571</v>
      </c>
      <c r="M1405" s="29" t="s">
        <v>727</v>
      </c>
      <c r="N1405" s="32" t="s">
        <v>75</v>
      </c>
      <c r="O1405" s="31"/>
      <c r="P1405" s="31"/>
      <c r="Q1405" s="28" t="s">
        <v>76</v>
      </c>
      <c r="R1405" s="29"/>
      <c r="S1405" s="31"/>
      <c r="T1405" s="31"/>
      <c r="U1405" s="28" t="s">
        <v>75</v>
      </c>
      <c r="V1405" s="28" t="s">
        <v>75</v>
      </c>
      <c r="W1405" s="31"/>
    </row>
    <row r="1406" spans="1:23">
      <c r="A1406" s="46" t="s">
        <v>572</v>
      </c>
      <c r="B1406" s="28" t="s">
        <v>1637</v>
      </c>
      <c r="C1406" s="28" t="s">
        <v>2589</v>
      </c>
      <c r="D1406" s="31" t="s">
        <v>1181</v>
      </c>
      <c r="E1406" s="31" t="s">
        <v>1321</v>
      </c>
      <c r="F1406" s="28" t="s">
        <v>1133</v>
      </c>
      <c r="G1406" s="28" t="s">
        <v>1133</v>
      </c>
      <c r="H1406" s="35" t="s">
        <v>1129</v>
      </c>
      <c r="I1406" s="28" t="e">
        <f>VLOOKUP(E1406,표준용어사전!$C$2:$D$494, 2, FALSE)</f>
        <v>#N/A</v>
      </c>
      <c r="J1406" s="33" t="s">
        <v>78</v>
      </c>
      <c r="K1406" s="29" t="s">
        <v>1064</v>
      </c>
      <c r="L1406" s="55" t="s">
        <v>571</v>
      </c>
      <c r="M1406" s="29" t="s">
        <v>732</v>
      </c>
      <c r="N1406" s="32" t="s">
        <v>75</v>
      </c>
      <c r="O1406" s="31"/>
      <c r="P1406" s="31"/>
      <c r="Q1406" s="28" t="s">
        <v>76</v>
      </c>
      <c r="R1406" s="29"/>
      <c r="S1406" s="31"/>
      <c r="T1406" s="31"/>
      <c r="U1406" s="28" t="s">
        <v>75</v>
      </c>
      <c r="V1406" s="28" t="s">
        <v>75</v>
      </c>
      <c r="W1406" s="31"/>
    </row>
    <row r="1407" spans="1:23">
      <c r="A1407" s="46" t="s">
        <v>572</v>
      </c>
      <c r="B1407" s="28" t="s">
        <v>1637</v>
      </c>
      <c r="C1407" s="28" t="s">
        <v>2589</v>
      </c>
      <c r="D1407" s="31" t="s">
        <v>1181</v>
      </c>
      <c r="E1407" s="31" t="s">
        <v>1461</v>
      </c>
      <c r="F1407" s="28" t="s">
        <v>1526</v>
      </c>
      <c r="G1407" s="28" t="s">
        <v>1462</v>
      </c>
      <c r="H1407" s="35" t="s">
        <v>1129</v>
      </c>
      <c r="I1407" s="28" t="e">
        <f>VLOOKUP(E1407,표준용어사전!$C$2:$D$494, 2, FALSE)</f>
        <v>#N/A</v>
      </c>
      <c r="J1407" s="33" t="s">
        <v>78</v>
      </c>
      <c r="K1407" s="29" t="s">
        <v>1064</v>
      </c>
      <c r="L1407" s="55" t="s">
        <v>571</v>
      </c>
      <c r="M1407" s="29" t="s">
        <v>732</v>
      </c>
      <c r="N1407" s="32" t="s">
        <v>75</v>
      </c>
      <c r="O1407" s="31"/>
      <c r="P1407" s="31"/>
      <c r="Q1407" s="28" t="s">
        <v>76</v>
      </c>
      <c r="R1407" s="29"/>
      <c r="S1407" s="31"/>
      <c r="T1407" s="31"/>
      <c r="U1407" s="28" t="s">
        <v>75</v>
      </c>
      <c r="V1407" s="28" t="s">
        <v>75</v>
      </c>
      <c r="W1407" s="31"/>
    </row>
    <row r="1408" spans="1:23">
      <c r="A1408" s="46" t="s">
        <v>572</v>
      </c>
      <c r="B1408" s="28" t="s">
        <v>1637</v>
      </c>
      <c r="C1408" s="28" t="s">
        <v>2589</v>
      </c>
      <c r="D1408" s="31" t="s">
        <v>1181</v>
      </c>
      <c r="E1408" s="31" t="s">
        <v>1322</v>
      </c>
      <c r="F1408" s="28" t="s">
        <v>1134</v>
      </c>
      <c r="G1408" s="28" t="s">
        <v>1134</v>
      </c>
      <c r="H1408" s="35" t="s">
        <v>1129</v>
      </c>
      <c r="I1408" s="28" t="e">
        <f>VLOOKUP(E1408,표준용어사전!$C$2:$D$494, 2, FALSE)</f>
        <v>#N/A</v>
      </c>
      <c r="J1408" s="33" t="s">
        <v>78</v>
      </c>
      <c r="K1408" s="29" t="s">
        <v>982</v>
      </c>
      <c r="L1408" s="55" t="s">
        <v>571</v>
      </c>
      <c r="M1408" s="29" t="s">
        <v>983</v>
      </c>
      <c r="N1408" s="32" t="s">
        <v>75</v>
      </c>
      <c r="O1408" s="31"/>
      <c r="P1408" s="31"/>
      <c r="Q1408" s="28" t="s">
        <v>76</v>
      </c>
      <c r="R1408" s="29"/>
      <c r="S1408" s="31"/>
      <c r="T1408" s="31"/>
      <c r="U1408" s="28" t="s">
        <v>75</v>
      </c>
      <c r="V1408" s="28" t="s">
        <v>75</v>
      </c>
      <c r="W1408" s="31"/>
    </row>
    <row r="1409" spans="1:23">
      <c r="A1409" s="46" t="s">
        <v>572</v>
      </c>
      <c r="B1409" s="28" t="s">
        <v>1637</v>
      </c>
      <c r="C1409" s="28" t="s">
        <v>2589</v>
      </c>
      <c r="D1409" s="31" t="s">
        <v>1181</v>
      </c>
      <c r="E1409" s="31" t="s">
        <v>1323</v>
      </c>
      <c r="F1409" s="28" t="s">
        <v>1527</v>
      </c>
      <c r="G1409" s="28" t="s">
        <v>1496</v>
      </c>
      <c r="H1409" s="35" t="s">
        <v>1129</v>
      </c>
      <c r="I1409" s="28" t="e">
        <f>VLOOKUP(E1409,표준용어사전!$C$2:$D$494, 2, FALSE)</f>
        <v>#N/A</v>
      </c>
      <c r="J1409" s="33" t="s">
        <v>570</v>
      </c>
      <c r="K1409" s="29" t="s">
        <v>980</v>
      </c>
      <c r="L1409" s="55" t="s">
        <v>571</v>
      </c>
      <c r="M1409" s="29" t="s">
        <v>981</v>
      </c>
      <c r="N1409" s="32" t="s">
        <v>75</v>
      </c>
      <c r="O1409" s="31"/>
      <c r="P1409" s="31"/>
      <c r="Q1409" s="28" t="s">
        <v>76</v>
      </c>
      <c r="R1409" s="29"/>
      <c r="S1409" s="31"/>
      <c r="T1409" s="31"/>
      <c r="U1409" s="28" t="s">
        <v>75</v>
      </c>
      <c r="V1409" s="28" t="s">
        <v>75</v>
      </c>
      <c r="W1409" s="31"/>
    </row>
    <row r="1410" spans="1:23">
      <c r="A1410" s="46" t="s">
        <v>572</v>
      </c>
      <c r="B1410" s="28" t="s">
        <v>1637</v>
      </c>
      <c r="C1410" s="28" t="s">
        <v>2589</v>
      </c>
      <c r="D1410" s="31" t="s">
        <v>1181</v>
      </c>
      <c r="E1410" s="31" t="s">
        <v>1324</v>
      </c>
      <c r="F1410" s="28" t="s">
        <v>1448</v>
      </c>
      <c r="G1410" s="28" t="s">
        <v>1135</v>
      </c>
      <c r="H1410" s="35" t="s">
        <v>1129</v>
      </c>
      <c r="I1410" s="28" t="e">
        <f>VLOOKUP(E1410,표준용어사전!$C$2:$D$494, 2, FALSE)</f>
        <v>#N/A</v>
      </c>
      <c r="J1410" s="33" t="s">
        <v>63</v>
      </c>
      <c r="K1410" s="29" t="s">
        <v>1061</v>
      </c>
      <c r="L1410" s="55" t="s">
        <v>571</v>
      </c>
      <c r="M1410" s="29">
        <v>9999999999</v>
      </c>
      <c r="N1410" s="32" t="s">
        <v>75</v>
      </c>
      <c r="O1410" s="31"/>
      <c r="P1410" s="31"/>
      <c r="Q1410" s="28" t="s">
        <v>76</v>
      </c>
      <c r="R1410" s="29"/>
      <c r="S1410" s="31"/>
      <c r="T1410" s="31"/>
      <c r="U1410" s="28" t="s">
        <v>75</v>
      </c>
      <c r="V1410" s="28" t="s">
        <v>75</v>
      </c>
      <c r="W1410" s="31"/>
    </row>
    <row r="1411" spans="1:23">
      <c r="A1411" s="46" t="s">
        <v>572</v>
      </c>
      <c r="B1411" s="28" t="s">
        <v>1637</v>
      </c>
      <c r="C1411" s="28" t="s">
        <v>2589</v>
      </c>
      <c r="D1411" s="31" t="s">
        <v>1181</v>
      </c>
      <c r="E1411" s="31" t="s">
        <v>1325</v>
      </c>
      <c r="F1411" s="28" t="s">
        <v>1136</v>
      </c>
      <c r="G1411" s="28" t="s">
        <v>1136</v>
      </c>
      <c r="H1411" s="35" t="s">
        <v>1129</v>
      </c>
      <c r="I1411" s="28" t="e">
        <f>VLOOKUP(E1411,표준용어사전!$C$2:$D$494, 2, FALSE)</f>
        <v>#N/A</v>
      </c>
      <c r="J1411" s="33" t="s">
        <v>78</v>
      </c>
      <c r="K1411" s="29" t="s">
        <v>1137</v>
      </c>
      <c r="L1411" s="55" t="s">
        <v>571</v>
      </c>
      <c r="M1411" s="29" t="s">
        <v>1138</v>
      </c>
      <c r="N1411" s="32" t="s">
        <v>75</v>
      </c>
      <c r="O1411" s="31"/>
      <c r="P1411" s="31"/>
      <c r="Q1411" s="28" t="s">
        <v>76</v>
      </c>
      <c r="R1411" s="29"/>
      <c r="S1411" s="31"/>
      <c r="T1411" s="31"/>
      <c r="U1411" s="28" t="s">
        <v>75</v>
      </c>
      <c r="V1411" s="28" t="s">
        <v>75</v>
      </c>
      <c r="W1411" s="31"/>
    </row>
    <row r="1412" spans="1:23">
      <c r="A1412" s="46" t="s">
        <v>572</v>
      </c>
      <c r="B1412" s="28" t="s">
        <v>1637</v>
      </c>
      <c r="C1412" s="28" t="s">
        <v>2589</v>
      </c>
      <c r="D1412" s="31" t="s">
        <v>1181</v>
      </c>
      <c r="E1412" s="31" t="s">
        <v>1326</v>
      </c>
      <c r="F1412" s="28" t="s">
        <v>1528</v>
      </c>
      <c r="G1412" s="28" t="s">
        <v>1497</v>
      </c>
      <c r="H1412" s="35" t="s">
        <v>1129</v>
      </c>
      <c r="I1412" s="28" t="e">
        <f>VLOOKUP(E1412,표준용어사전!$C$2:$D$494, 2, FALSE)</f>
        <v>#N/A</v>
      </c>
      <c r="J1412" s="33" t="s">
        <v>570</v>
      </c>
      <c r="K1412" s="29" t="s">
        <v>980</v>
      </c>
      <c r="L1412" s="55" t="s">
        <v>571</v>
      </c>
      <c r="M1412" s="29" t="s">
        <v>981</v>
      </c>
      <c r="N1412" s="32" t="s">
        <v>75</v>
      </c>
      <c r="O1412" s="31"/>
      <c r="P1412" s="31"/>
      <c r="Q1412" s="28" t="s">
        <v>76</v>
      </c>
      <c r="R1412" s="29"/>
      <c r="S1412" s="31"/>
      <c r="T1412" s="31"/>
      <c r="U1412" s="28" t="s">
        <v>75</v>
      </c>
      <c r="V1412" s="28" t="s">
        <v>75</v>
      </c>
      <c r="W1412" s="31"/>
    </row>
    <row r="1413" spans="1:23">
      <c r="A1413" s="46" t="s">
        <v>572</v>
      </c>
      <c r="B1413" s="28" t="s">
        <v>1637</v>
      </c>
      <c r="C1413" s="28" t="s">
        <v>2589</v>
      </c>
      <c r="D1413" s="31" t="s">
        <v>1181</v>
      </c>
      <c r="E1413" s="31" t="s">
        <v>1327</v>
      </c>
      <c r="F1413" s="28" t="s">
        <v>1464</v>
      </c>
      <c r="G1413" s="28" t="s">
        <v>1139</v>
      </c>
      <c r="H1413" s="35" t="s">
        <v>1129</v>
      </c>
      <c r="I1413" s="28" t="e">
        <f>VLOOKUP(E1413,표준용어사전!$C$2:$D$494, 2, FALSE)</f>
        <v>#N/A</v>
      </c>
      <c r="J1413" s="33" t="s">
        <v>570</v>
      </c>
      <c r="K1413" s="29" t="s">
        <v>985</v>
      </c>
      <c r="L1413" s="55" t="s">
        <v>571</v>
      </c>
      <c r="M1413" s="29" t="s">
        <v>722</v>
      </c>
      <c r="N1413" s="32" t="s">
        <v>75</v>
      </c>
      <c r="O1413" s="31"/>
      <c r="P1413" s="31"/>
      <c r="Q1413" s="28" t="s">
        <v>76</v>
      </c>
      <c r="R1413" s="29"/>
      <c r="S1413" s="31"/>
      <c r="T1413" s="31"/>
      <c r="U1413" s="28" t="s">
        <v>75</v>
      </c>
      <c r="V1413" s="28" t="s">
        <v>75</v>
      </c>
      <c r="W1413" s="31"/>
    </row>
    <row r="1414" spans="1:23">
      <c r="A1414" s="46" t="s">
        <v>572</v>
      </c>
      <c r="B1414" s="28" t="s">
        <v>1637</v>
      </c>
      <c r="C1414" s="28" t="s">
        <v>2589</v>
      </c>
      <c r="D1414" s="31" t="s">
        <v>1181</v>
      </c>
      <c r="E1414" s="31" t="s">
        <v>1328</v>
      </c>
      <c r="F1414" s="28" t="s">
        <v>1465</v>
      </c>
      <c r="G1414" s="28" t="s">
        <v>1140</v>
      </c>
      <c r="H1414" s="35" t="s">
        <v>1129</v>
      </c>
      <c r="I1414" s="28" t="e">
        <f>VLOOKUP(E1414,표준용어사전!$C$2:$D$494, 2, FALSE)</f>
        <v>#N/A</v>
      </c>
      <c r="J1414" s="33" t="s">
        <v>63</v>
      </c>
      <c r="K1414" s="29" t="s">
        <v>1061</v>
      </c>
      <c r="L1414" s="55" t="s">
        <v>571</v>
      </c>
      <c r="M1414" s="29">
        <v>9999999999</v>
      </c>
      <c r="N1414" s="32" t="s">
        <v>75</v>
      </c>
      <c r="O1414" s="31"/>
      <c r="P1414" s="31"/>
      <c r="Q1414" s="28" t="s">
        <v>76</v>
      </c>
      <c r="R1414" s="29"/>
      <c r="S1414" s="31"/>
      <c r="T1414" s="31"/>
      <c r="U1414" s="28" t="s">
        <v>75</v>
      </c>
      <c r="V1414" s="28" t="s">
        <v>75</v>
      </c>
      <c r="W1414" s="31"/>
    </row>
    <row r="1415" spans="1:23">
      <c r="A1415" s="46" t="s">
        <v>572</v>
      </c>
      <c r="B1415" s="28" t="s">
        <v>1637</v>
      </c>
      <c r="C1415" s="28" t="s">
        <v>2589</v>
      </c>
      <c r="D1415" s="31" t="s">
        <v>1181</v>
      </c>
      <c r="E1415" s="31" t="s">
        <v>1268</v>
      </c>
      <c r="F1415" s="28" t="s">
        <v>1534</v>
      </c>
      <c r="G1415" s="28" t="s">
        <v>1489</v>
      </c>
      <c r="H1415" s="35" t="s">
        <v>1129</v>
      </c>
      <c r="I1415" s="28" t="e">
        <f>VLOOKUP(E1415,표준용어사전!$C$2:$D$494, 2, FALSE)</f>
        <v>#N/A</v>
      </c>
      <c r="J1415" s="33" t="s">
        <v>570</v>
      </c>
      <c r="K1415" s="29" t="s">
        <v>980</v>
      </c>
      <c r="L1415" s="55" t="s">
        <v>571</v>
      </c>
      <c r="M1415" s="29" t="s">
        <v>981</v>
      </c>
      <c r="N1415" s="32" t="s">
        <v>75</v>
      </c>
      <c r="O1415" s="31"/>
      <c r="P1415" s="31"/>
      <c r="Q1415" s="28" t="s">
        <v>76</v>
      </c>
      <c r="R1415" s="29"/>
      <c r="S1415" s="31"/>
      <c r="T1415" s="31"/>
      <c r="U1415" s="28" t="s">
        <v>75</v>
      </c>
      <c r="V1415" s="28" t="s">
        <v>75</v>
      </c>
      <c r="W1415" s="31"/>
    </row>
    <row r="1416" spans="1:23">
      <c r="A1416" s="46" t="s">
        <v>572</v>
      </c>
      <c r="B1416" s="28" t="s">
        <v>1637</v>
      </c>
      <c r="C1416" s="28" t="s">
        <v>2589</v>
      </c>
      <c r="D1416" s="31" t="s">
        <v>1182</v>
      </c>
      <c r="E1416" s="31" t="s">
        <v>1317</v>
      </c>
      <c r="F1416" s="28" t="s">
        <v>1128</v>
      </c>
      <c r="G1416" s="28" t="s">
        <v>1128</v>
      </c>
      <c r="H1416" s="35" t="s">
        <v>1141</v>
      </c>
      <c r="I1416" s="28" t="e">
        <f>VLOOKUP(E1416,표준용어사전!$C$2:$D$494, 2, FALSE)</f>
        <v>#N/A</v>
      </c>
      <c r="J1416" s="33" t="s">
        <v>78</v>
      </c>
      <c r="K1416" s="29" t="s">
        <v>986</v>
      </c>
      <c r="L1416" s="55" t="s">
        <v>571</v>
      </c>
      <c r="M1416" s="29" t="s">
        <v>727</v>
      </c>
      <c r="N1416" s="32" t="s">
        <v>973</v>
      </c>
      <c r="O1416" s="31" t="s">
        <v>641</v>
      </c>
      <c r="P1416" s="31"/>
      <c r="Q1416" s="28" t="s">
        <v>76</v>
      </c>
      <c r="R1416" s="29"/>
      <c r="S1416" s="31"/>
      <c r="T1416" s="31"/>
      <c r="U1416" s="28" t="s">
        <v>75</v>
      </c>
      <c r="V1416" s="28" t="s">
        <v>75</v>
      </c>
      <c r="W1416" s="31"/>
    </row>
    <row r="1417" spans="1:23">
      <c r="A1417" s="46" t="s">
        <v>572</v>
      </c>
      <c r="B1417" s="28" t="s">
        <v>1637</v>
      </c>
      <c r="C1417" s="28" t="s">
        <v>2589</v>
      </c>
      <c r="D1417" s="31" t="s">
        <v>1182</v>
      </c>
      <c r="E1417" s="31" t="s">
        <v>1290</v>
      </c>
      <c r="F1417" s="28" t="s">
        <v>1098</v>
      </c>
      <c r="G1417" s="28" t="s">
        <v>1098</v>
      </c>
      <c r="H1417" s="35" t="s">
        <v>1141</v>
      </c>
      <c r="I1417" s="28" t="e">
        <f>VLOOKUP(E1417,표준용어사전!$C$2:$D$494, 2, FALSE)</f>
        <v>#N/A</v>
      </c>
      <c r="J1417" s="33" t="s">
        <v>16</v>
      </c>
      <c r="K1417" s="29" t="s">
        <v>927</v>
      </c>
      <c r="L1417" s="55" t="s">
        <v>571</v>
      </c>
      <c r="M1417" s="29" t="s">
        <v>726</v>
      </c>
      <c r="N1417" s="32" t="s">
        <v>75</v>
      </c>
      <c r="O1417" s="31"/>
      <c r="P1417" s="31"/>
      <c r="Q1417" s="28" t="s">
        <v>76</v>
      </c>
      <c r="R1417" s="29"/>
      <c r="S1417" s="31"/>
      <c r="T1417" s="28" t="s">
        <v>574</v>
      </c>
      <c r="U1417" s="28" t="s">
        <v>75</v>
      </c>
      <c r="V1417" s="28" t="s">
        <v>75</v>
      </c>
      <c r="W1417" s="31"/>
    </row>
    <row r="1418" spans="1:23">
      <c r="A1418" s="46" t="s">
        <v>572</v>
      </c>
      <c r="B1418" s="28" t="s">
        <v>1637</v>
      </c>
      <c r="C1418" s="28" t="s">
        <v>2589</v>
      </c>
      <c r="D1418" s="31" t="s">
        <v>1182</v>
      </c>
      <c r="E1418" s="31" t="s">
        <v>1320</v>
      </c>
      <c r="F1418" s="28" t="s">
        <v>1132</v>
      </c>
      <c r="G1418" s="28" t="s">
        <v>1132</v>
      </c>
      <c r="H1418" s="35" t="s">
        <v>1141</v>
      </c>
      <c r="I1418" s="28" t="e">
        <f>VLOOKUP(E1418,표준용어사전!$C$2:$D$494, 2, FALSE)</f>
        <v>#N/A</v>
      </c>
      <c r="J1418" s="33" t="s">
        <v>16</v>
      </c>
      <c r="K1418" s="29" t="s">
        <v>927</v>
      </c>
      <c r="L1418" s="55" t="s">
        <v>571</v>
      </c>
      <c r="M1418" s="29" t="s">
        <v>726</v>
      </c>
      <c r="N1418" s="32" t="s">
        <v>75</v>
      </c>
      <c r="O1418" s="31"/>
      <c r="P1418" s="31"/>
      <c r="Q1418" s="28" t="s">
        <v>76</v>
      </c>
      <c r="R1418" s="29"/>
      <c r="S1418" s="31"/>
      <c r="T1418" s="28" t="s">
        <v>574</v>
      </c>
      <c r="U1418" s="28" t="s">
        <v>75</v>
      </c>
      <c r="V1418" s="28" t="s">
        <v>75</v>
      </c>
      <c r="W1418" s="31"/>
    </row>
    <row r="1419" spans="1:23">
      <c r="A1419" s="46" t="s">
        <v>572</v>
      </c>
      <c r="B1419" s="28" t="s">
        <v>1637</v>
      </c>
      <c r="C1419" s="28" t="s">
        <v>2589</v>
      </c>
      <c r="D1419" s="31" t="s">
        <v>1182</v>
      </c>
      <c r="E1419" s="31" t="s">
        <v>1099</v>
      </c>
      <c r="F1419" s="28" t="s">
        <v>1099</v>
      </c>
      <c r="G1419" s="28" t="s">
        <v>1099</v>
      </c>
      <c r="H1419" s="35" t="s">
        <v>1141</v>
      </c>
      <c r="I1419" s="28" t="e">
        <f>VLOOKUP(E1419,표준용어사전!$C$2:$D$494, 2, FALSE)</f>
        <v>#N/A</v>
      </c>
      <c r="J1419" s="33" t="s">
        <v>78</v>
      </c>
      <c r="K1419" s="29" t="s">
        <v>1026</v>
      </c>
      <c r="L1419" s="55" t="s">
        <v>571</v>
      </c>
      <c r="M1419" s="29" t="s">
        <v>729</v>
      </c>
      <c r="N1419" s="32" t="s">
        <v>75</v>
      </c>
      <c r="O1419" s="31"/>
      <c r="P1419" s="31"/>
      <c r="Q1419" s="28" t="s">
        <v>76</v>
      </c>
      <c r="R1419" s="29"/>
      <c r="S1419" s="31"/>
      <c r="T1419" s="31"/>
      <c r="U1419" s="28" t="s">
        <v>75</v>
      </c>
      <c r="V1419" s="28" t="s">
        <v>75</v>
      </c>
      <c r="W1419" s="31"/>
    </row>
    <row r="1420" spans="1:23">
      <c r="A1420" s="46" t="s">
        <v>572</v>
      </c>
      <c r="B1420" s="28" t="s">
        <v>1637</v>
      </c>
      <c r="C1420" s="28" t="s">
        <v>2589</v>
      </c>
      <c r="D1420" s="31" t="s">
        <v>1182</v>
      </c>
      <c r="E1420" s="31" t="s">
        <v>1291</v>
      </c>
      <c r="F1420" s="28" t="s">
        <v>787</v>
      </c>
      <c r="G1420" s="28" t="s">
        <v>787</v>
      </c>
      <c r="H1420" s="35" t="s">
        <v>1141</v>
      </c>
      <c r="I1420" s="28" t="e">
        <f>VLOOKUP(E1420,표준용어사전!$C$2:$D$494, 2, FALSE)</f>
        <v>#N/A</v>
      </c>
      <c r="J1420" s="33" t="s">
        <v>78</v>
      </c>
      <c r="K1420" s="29" t="s">
        <v>986</v>
      </c>
      <c r="L1420" s="55" t="s">
        <v>571</v>
      </c>
      <c r="M1420" s="29" t="s">
        <v>727</v>
      </c>
      <c r="N1420" s="32" t="s">
        <v>75</v>
      </c>
      <c r="O1420" s="31"/>
      <c r="P1420" s="31"/>
      <c r="Q1420" s="28" t="s">
        <v>76</v>
      </c>
      <c r="R1420" s="29"/>
      <c r="S1420" s="31"/>
      <c r="T1420" s="31"/>
      <c r="U1420" s="28" t="s">
        <v>75</v>
      </c>
      <c r="V1420" s="28" t="s">
        <v>75</v>
      </c>
      <c r="W1420" s="31"/>
    </row>
    <row r="1421" spans="1:23">
      <c r="A1421" s="46" t="s">
        <v>572</v>
      </c>
      <c r="B1421" s="28" t="s">
        <v>1637</v>
      </c>
      <c r="C1421" s="28" t="s">
        <v>2589</v>
      </c>
      <c r="D1421" s="31" t="s">
        <v>1182</v>
      </c>
      <c r="E1421" s="31" t="s">
        <v>1292</v>
      </c>
      <c r="F1421" s="38" t="s">
        <v>1625</v>
      </c>
      <c r="G1421" s="38" t="s">
        <v>1625</v>
      </c>
      <c r="H1421" s="37" t="s">
        <v>1141</v>
      </c>
      <c r="I1421" s="28" t="e">
        <f>VLOOKUP(E1421,표준용어사전!$C$2:$D$494, 2, FALSE)</f>
        <v>#N/A</v>
      </c>
      <c r="J1421" s="33" t="s">
        <v>78</v>
      </c>
      <c r="K1421" s="29" t="s">
        <v>1073</v>
      </c>
      <c r="L1421" s="55" t="s">
        <v>571</v>
      </c>
      <c r="M1421" s="29" t="s">
        <v>788</v>
      </c>
      <c r="N1421" s="32" t="s">
        <v>75</v>
      </c>
      <c r="O1421" s="31"/>
      <c r="P1421" s="31"/>
      <c r="Q1421" s="28" t="s">
        <v>76</v>
      </c>
      <c r="R1421" s="29"/>
      <c r="S1421" s="31"/>
      <c r="T1421" s="31"/>
      <c r="U1421" s="28" t="s">
        <v>75</v>
      </c>
      <c r="V1421" s="28" t="s">
        <v>75</v>
      </c>
      <c r="W1421" s="31"/>
    </row>
    <row r="1422" spans="1:23">
      <c r="A1422" s="46" t="s">
        <v>572</v>
      </c>
      <c r="B1422" s="28" t="s">
        <v>1637</v>
      </c>
      <c r="C1422" s="28" t="s">
        <v>2589</v>
      </c>
      <c r="D1422" s="31" t="s">
        <v>2643</v>
      </c>
      <c r="E1422" s="31" t="s">
        <v>1224</v>
      </c>
      <c r="F1422" s="31" t="s">
        <v>2266</v>
      </c>
      <c r="G1422" s="31" t="s">
        <v>2266</v>
      </c>
      <c r="H1422" s="31" t="s">
        <v>2632</v>
      </c>
      <c r="I1422" s="28" t="e">
        <f>VLOOKUP(E1422,표준용어사전!$C$2:$D$494, 2, FALSE)</f>
        <v>#N/A</v>
      </c>
      <c r="J1422" s="33" t="s">
        <v>78</v>
      </c>
      <c r="K1422" s="29">
        <v>30</v>
      </c>
      <c r="L1422" s="55" t="s">
        <v>571</v>
      </c>
      <c r="M1422" s="29" t="s">
        <v>1018</v>
      </c>
      <c r="N1422" s="32" t="s">
        <v>2647</v>
      </c>
      <c r="O1422" s="31"/>
      <c r="P1422" s="31"/>
      <c r="Q1422" s="28" t="s">
        <v>76</v>
      </c>
      <c r="R1422" s="29"/>
      <c r="S1422" s="31"/>
      <c r="T1422" s="31"/>
      <c r="U1422" s="28" t="s">
        <v>75</v>
      </c>
      <c r="V1422" s="28" t="s">
        <v>75</v>
      </c>
      <c r="W1422" s="31"/>
    </row>
    <row r="1423" spans="1:23">
      <c r="A1423" s="46" t="s">
        <v>572</v>
      </c>
      <c r="B1423" s="28" t="s">
        <v>1637</v>
      </c>
      <c r="C1423" s="28" t="s">
        <v>2589</v>
      </c>
      <c r="D1423" s="31" t="s">
        <v>2643</v>
      </c>
      <c r="E1423" s="31" t="s">
        <v>1230</v>
      </c>
      <c r="F1423" s="31" t="s">
        <v>2268</v>
      </c>
      <c r="G1423" s="31" t="s">
        <v>2268</v>
      </c>
      <c r="H1423" s="31" t="s">
        <v>2632</v>
      </c>
      <c r="I1423" s="28" t="e">
        <f>VLOOKUP(E1423,표준용어사전!$C$2:$D$494, 2, FALSE)</f>
        <v>#N/A</v>
      </c>
      <c r="J1423" s="33" t="s">
        <v>2644</v>
      </c>
      <c r="K1423" s="29">
        <v>60</v>
      </c>
      <c r="L1423" s="55" t="s">
        <v>571</v>
      </c>
      <c r="M1423" s="29" t="s">
        <v>983</v>
      </c>
      <c r="N1423" s="32" t="s">
        <v>2647</v>
      </c>
      <c r="O1423" s="31"/>
      <c r="P1423" s="31"/>
      <c r="Q1423" s="28" t="s">
        <v>76</v>
      </c>
      <c r="R1423" s="29"/>
      <c r="S1423" s="31"/>
      <c r="T1423" s="31"/>
      <c r="U1423" s="28" t="s">
        <v>75</v>
      </c>
      <c r="V1423" s="28" t="s">
        <v>75</v>
      </c>
      <c r="W1423" s="31"/>
    </row>
    <row r="1424" spans="1:23">
      <c r="A1424" s="46" t="s">
        <v>572</v>
      </c>
      <c r="B1424" s="28" t="s">
        <v>1637</v>
      </c>
      <c r="C1424" s="28" t="s">
        <v>2589</v>
      </c>
      <c r="D1424" s="31" t="s">
        <v>2643</v>
      </c>
      <c r="E1424" s="31" t="s">
        <v>1231</v>
      </c>
      <c r="F1424" s="31" t="s">
        <v>2269</v>
      </c>
      <c r="G1424" s="31" t="s">
        <v>2269</v>
      </c>
      <c r="H1424" s="31" t="s">
        <v>2632</v>
      </c>
      <c r="I1424" s="28" t="e">
        <f>VLOOKUP(E1424,표준용어사전!$C$2:$D$494, 2, FALSE)</f>
        <v>#N/A</v>
      </c>
      <c r="J1424" s="33" t="s">
        <v>78</v>
      </c>
      <c r="K1424" s="29">
        <v>200</v>
      </c>
      <c r="L1424" s="55" t="s">
        <v>571</v>
      </c>
      <c r="M1424" s="29" t="s">
        <v>715</v>
      </c>
      <c r="N1424" s="32" t="s">
        <v>75</v>
      </c>
      <c r="O1424" s="31"/>
      <c r="P1424" s="31"/>
      <c r="Q1424" s="28" t="s">
        <v>76</v>
      </c>
      <c r="R1424" s="29"/>
      <c r="S1424" s="31"/>
      <c r="T1424" s="31"/>
      <c r="U1424" s="28" t="s">
        <v>75</v>
      </c>
      <c r="V1424" s="28" t="s">
        <v>75</v>
      </c>
      <c r="W1424" s="31"/>
    </row>
    <row r="1425" spans="1:23">
      <c r="A1425" s="46" t="s">
        <v>572</v>
      </c>
      <c r="B1425" s="28" t="s">
        <v>1637</v>
      </c>
      <c r="C1425" s="28" t="s">
        <v>2589</v>
      </c>
      <c r="D1425" s="31" t="s">
        <v>2643</v>
      </c>
      <c r="E1425" s="31" t="s">
        <v>1232</v>
      </c>
      <c r="F1425" s="31" t="s">
        <v>2635</v>
      </c>
      <c r="G1425" s="31" t="s">
        <v>2635</v>
      </c>
      <c r="H1425" s="31" t="s">
        <v>2632</v>
      </c>
      <c r="I1425" s="28" t="e">
        <f>VLOOKUP(E1425,표준용어사전!$C$2:$D$494, 2, FALSE)</f>
        <v>#N/A</v>
      </c>
      <c r="J1425" s="33" t="s">
        <v>2645</v>
      </c>
      <c r="K1425" s="29" t="s">
        <v>2646</v>
      </c>
      <c r="L1425" s="55" t="s">
        <v>571</v>
      </c>
      <c r="M1425" s="29" t="s">
        <v>726</v>
      </c>
      <c r="N1425" s="32" t="s">
        <v>75</v>
      </c>
      <c r="O1425" s="31"/>
      <c r="P1425" s="31"/>
      <c r="Q1425" s="28" t="s">
        <v>76</v>
      </c>
      <c r="R1425" s="29"/>
      <c r="S1425" s="31"/>
      <c r="T1425" s="31"/>
      <c r="U1425" s="28" t="s">
        <v>75</v>
      </c>
      <c r="V1425" s="28" t="s">
        <v>75</v>
      </c>
      <c r="W1425" s="31"/>
    </row>
    <row r="1426" spans="1:23">
      <c r="A1426" s="46" t="s">
        <v>572</v>
      </c>
      <c r="B1426" s="28" t="s">
        <v>1637</v>
      </c>
      <c r="C1426" s="28" t="s">
        <v>2589</v>
      </c>
      <c r="D1426" s="31" t="s">
        <v>2648</v>
      </c>
      <c r="E1426" s="31" t="s">
        <v>1223</v>
      </c>
      <c r="F1426" s="31" t="s">
        <v>2636</v>
      </c>
      <c r="G1426" s="31" t="s">
        <v>2636</v>
      </c>
      <c r="H1426" s="31" t="s">
        <v>2633</v>
      </c>
      <c r="I1426" s="28" t="e">
        <f>VLOOKUP(E1426,표준용어사전!$C$2:$D$494, 2, FALSE)</f>
        <v>#N/A</v>
      </c>
      <c r="J1426" s="33" t="s">
        <v>78</v>
      </c>
      <c r="K1426" s="29">
        <v>20</v>
      </c>
      <c r="L1426" s="55" t="s">
        <v>571</v>
      </c>
      <c r="M1426" s="29" t="s">
        <v>727</v>
      </c>
      <c r="N1426" s="32" t="s">
        <v>2647</v>
      </c>
      <c r="O1426" s="31"/>
      <c r="P1426" s="31"/>
      <c r="Q1426" s="28" t="s">
        <v>76</v>
      </c>
      <c r="R1426" s="29"/>
      <c r="S1426" s="31"/>
      <c r="T1426" s="31"/>
      <c r="U1426" s="28" t="s">
        <v>75</v>
      </c>
      <c r="V1426" s="28" t="s">
        <v>75</v>
      </c>
      <c r="W1426" s="31"/>
    </row>
    <row r="1427" spans="1:23">
      <c r="A1427" s="46" t="s">
        <v>572</v>
      </c>
      <c r="B1427" s="28" t="s">
        <v>1637</v>
      </c>
      <c r="C1427" s="28" t="s">
        <v>2589</v>
      </c>
      <c r="D1427" s="31" t="s">
        <v>2648</v>
      </c>
      <c r="E1427" s="31" t="s">
        <v>1249</v>
      </c>
      <c r="F1427" s="31" t="s">
        <v>2637</v>
      </c>
      <c r="G1427" s="31" t="s">
        <v>2637</v>
      </c>
      <c r="H1427" s="31" t="s">
        <v>2633</v>
      </c>
      <c r="I1427" s="28" t="e">
        <f>VLOOKUP(E1427,표준용어사전!$C$2:$D$494, 2, FALSE)</f>
        <v>#N/A</v>
      </c>
      <c r="J1427" s="33" t="s">
        <v>570</v>
      </c>
      <c r="K1427" s="29">
        <v>5</v>
      </c>
      <c r="L1427" s="55" t="s">
        <v>571</v>
      </c>
      <c r="M1427" s="29" t="s">
        <v>1055</v>
      </c>
      <c r="N1427" s="32" t="s">
        <v>75</v>
      </c>
      <c r="O1427" s="31"/>
      <c r="P1427" s="31"/>
      <c r="Q1427" s="28" t="s">
        <v>76</v>
      </c>
      <c r="R1427" s="29"/>
      <c r="S1427" s="31"/>
      <c r="T1427" s="31"/>
      <c r="U1427" s="28" t="s">
        <v>75</v>
      </c>
      <c r="V1427" s="28" t="s">
        <v>75</v>
      </c>
      <c r="W1427" s="31"/>
    </row>
    <row r="1428" spans="1:23">
      <c r="A1428" s="46" t="s">
        <v>572</v>
      </c>
      <c r="B1428" s="28" t="s">
        <v>1637</v>
      </c>
      <c r="C1428" s="28" t="s">
        <v>2589</v>
      </c>
      <c r="D1428" s="31" t="s">
        <v>2648</v>
      </c>
      <c r="E1428" s="31" t="s">
        <v>1224</v>
      </c>
      <c r="F1428" s="31" t="s">
        <v>2266</v>
      </c>
      <c r="G1428" s="31" t="s">
        <v>2266</v>
      </c>
      <c r="H1428" s="31" t="s">
        <v>2633</v>
      </c>
      <c r="I1428" s="28" t="e">
        <f>VLOOKUP(E1428,표준용어사전!$C$2:$D$494, 2, FALSE)</f>
        <v>#N/A</v>
      </c>
      <c r="J1428" s="33" t="s">
        <v>78</v>
      </c>
      <c r="K1428" s="29">
        <v>30</v>
      </c>
      <c r="L1428" s="55" t="s">
        <v>571</v>
      </c>
      <c r="M1428" s="29" t="s">
        <v>1018</v>
      </c>
      <c r="N1428" s="32" t="s">
        <v>2647</v>
      </c>
      <c r="O1428" s="31"/>
      <c r="P1428" s="31"/>
      <c r="Q1428" s="28" t="s">
        <v>76</v>
      </c>
      <c r="R1428" s="29"/>
      <c r="S1428" s="31"/>
      <c r="T1428" s="31"/>
      <c r="U1428" s="28" t="s">
        <v>75</v>
      </c>
      <c r="V1428" s="28" t="s">
        <v>75</v>
      </c>
      <c r="W1428" s="31"/>
    </row>
    <row r="1429" spans="1:23">
      <c r="A1429" s="46" t="s">
        <v>572</v>
      </c>
      <c r="B1429" s="28" t="s">
        <v>1637</v>
      </c>
      <c r="C1429" s="28" t="s">
        <v>2589</v>
      </c>
      <c r="D1429" s="31" t="s">
        <v>2649</v>
      </c>
      <c r="E1429" s="31" t="s">
        <v>1221</v>
      </c>
      <c r="F1429" s="31" t="s">
        <v>1707</v>
      </c>
      <c r="G1429" s="31" t="s">
        <v>1707</v>
      </c>
      <c r="H1429" s="31" t="s">
        <v>2634</v>
      </c>
      <c r="I1429" s="28" t="str">
        <f>VLOOKUP(E1429,표준용어사전!$C$2:$D$494, 2, FALSE)</f>
        <v>명V20</v>
      </c>
      <c r="J1429" s="33" t="s">
        <v>78</v>
      </c>
      <c r="K1429" s="29">
        <v>20</v>
      </c>
      <c r="L1429" s="55" t="s">
        <v>571</v>
      </c>
      <c r="M1429" s="29" t="s">
        <v>727</v>
      </c>
      <c r="N1429" s="32" t="s">
        <v>75</v>
      </c>
      <c r="O1429" s="31"/>
      <c r="P1429" s="31"/>
      <c r="Q1429" s="28" t="s">
        <v>76</v>
      </c>
      <c r="R1429" s="29"/>
      <c r="S1429" s="31"/>
      <c r="T1429" s="31"/>
      <c r="U1429" s="28" t="s">
        <v>75</v>
      </c>
      <c r="V1429" s="28" t="s">
        <v>75</v>
      </c>
      <c r="W1429" s="31"/>
    </row>
    <row r="1430" spans="1:23">
      <c r="A1430" s="46" t="s">
        <v>572</v>
      </c>
      <c r="B1430" s="28" t="s">
        <v>1637</v>
      </c>
      <c r="C1430" s="28" t="s">
        <v>2589</v>
      </c>
      <c r="D1430" s="31" t="s">
        <v>2649</v>
      </c>
      <c r="E1430" s="31" t="s">
        <v>1329</v>
      </c>
      <c r="F1430" s="31" t="s">
        <v>1434</v>
      </c>
      <c r="G1430" s="31" t="s">
        <v>1434</v>
      </c>
      <c r="H1430" s="31" t="s">
        <v>2634</v>
      </c>
      <c r="I1430" s="28" t="str">
        <f>VLOOKUP(E1430,표준용어사전!$C$2:$D$494, 2, FALSE)</f>
        <v>명V50</v>
      </c>
      <c r="J1430" s="33" t="s">
        <v>78</v>
      </c>
      <c r="K1430" s="29" t="s">
        <v>2646</v>
      </c>
      <c r="L1430" s="55" t="s">
        <v>571</v>
      </c>
      <c r="M1430" s="29" t="s">
        <v>927</v>
      </c>
      <c r="N1430" s="32" t="s">
        <v>75</v>
      </c>
      <c r="O1430" s="31"/>
      <c r="P1430" s="31"/>
      <c r="Q1430" s="28" t="s">
        <v>76</v>
      </c>
      <c r="R1430" s="29"/>
      <c r="S1430" s="31"/>
      <c r="T1430" s="31"/>
      <c r="U1430" s="28" t="s">
        <v>75</v>
      </c>
      <c r="V1430" s="28" t="s">
        <v>75</v>
      </c>
      <c r="W1430" s="31"/>
    </row>
    <row r="1431" spans="1:23">
      <c r="A1431" s="46" t="s">
        <v>572</v>
      </c>
      <c r="B1431" s="28" t="s">
        <v>1637</v>
      </c>
      <c r="C1431" s="28" t="s">
        <v>2589</v>
      </c>
      <c r="D1431" s="31" t="s">
        <v>2649</v>
      </c>
      <c r="E1431" s="31" t="s">
        <v>1236</v>
      </c>
      <c r="F1431" s="31" t="s">
        <v>2638</v>
      </c>
      <c r="G1431" s="31" t="s">
        <v>2638</v>
      </c>
      <c r="H1431" s="31" t="s">
        <v>2634</v>
      </c>
      <c r="I1431" s="28" t="e">
        <f>VLOOKUP(E1431,표준용어사전!$C$2:$D$494, 2, FALSE)</f>
        <v>#N/A</v>
      </c>
      <c r="J1431" s="33" t="s">
        <v>78</v>
      </c>
      <c r="K1431" s="29" t="s">
        <v>2646</v>
      </c>
      <c r="L1431" s="55" t="s">
        <v>571</v>
      </c>
      <c r="M1431" s="29" t="s">
        <v>927</v>
      </c>
      <c r="N1431" s="32" t="s">
        <v>75</v>
      </c>
      <c r="O1431" s="31"/>
      <c r="P1431" s="31"/>
      <c r="Q1431" s="28" t="s">
        <v>76</v>
      </c>
      <c r="R1431" s="29"/>
      <c r="S1431" s="31"/>
      <c r="T1431" s="31"/>
      <c r="U1431" s="28" t="s">
        <v>75</v>
      </c>
      <c r="V1431" s="28" t="s">
        <v>75</v>
      </c>
      <c r="W1431" s="31"/>
    </row>
    <row r="1432" spans="1:23">
      <c r="A1432" s="46" t="s">
        <v>572</v>
      </c>
      <c r="B1432" s="28" t="s">
        <v>1637</v>
      </c>
      <c r="C1432" s="28" t="s">
        <v>2589</v>
      </c>
      <c r="D1432" s="31" t="s">
        <v>2649</v>
      </c>
      <c r="E1432" s="31" t="s">
        <v>1235</v>
      </c>
      <c r="F1432" s="31" t="s">
        <v>1034</v>
      </c>
      <c r="G1432" s="31" t="s">
        <v>1034</v>
      </c>
      <c r="H1432" s="31" t="s">
        <v>2634</v>
      </c>
      <c r="I1432" s="28" t="str">
        <f>VLOOKUP(E1432,표준용어사전!$C$2:$D$494, 2, FALSE)</f>
        <v>명V40</v>
      </c>
      <c r="J1432" s="33" t="s">
        <v>78</v>
      </c>
      <c r="K1432" s="29" t="s">
        <v>2646</v>
      </c>
      <c r="L1432" s="55" t="s">
        <v>571</v>
      </c>
      <c r="M1432" s="29" t="s">
        <v>927</v>
      </c>
      <c r="N1432" s="32" t="s">
        <v>75</v>
      </c>
      <c r="O1432" s="31"/>
      <c r="P1432" s="31"/>
      <c r="Q1432" s="28" t="s">
        <v>76</v>
      </c>
      <c r="R1432" s="29"/>
      <c r="S1432" s="31"/>
      <c r="T1432" s="31"/>
      <c r="U1432" s="28" t="s">
        <v>75</v>
      </c>
      <c r="V1432" s="28" t="s">
        <v>75</v>
      </c>
      <c r="W1432" s="31"/>
    </row>
    <row r="1433" spans="1:23">
      <c r="A1433" s="46" t="s">
        <v>572</v>
      </c>
      <c r="B1433" s="28" t="s">
        <v>1637</v>
      </c>
      <c r="C1433" s="28" t="s">
        <v>2589</v>
      </c>
      <c r="D1433" s="31" t="s">
        <v>2649</v>
      </c>
      <c r="E1433" s="31" t="s">
        <v>2654</v>
      </c>
      <c r="F1433" s="31" t="s">
        <v>2639</v>
      </c>
      <c r="G1433" s="31" t="s">
        <v>2639</v>
      </c>
      <c r="H1433" s="31" t="s">
        <v>2634</v>
      </c>
      <c r="I1433" s="28" t="e">
        <f>VLOOKUP(E1433,표준용어사전!$C$2:$D$494, 2, FALSE)</f>
        <v>#N/A</v>
      </c>
      <c r="J1433" s="33" t="s">
        <v>78</v>
      </c>
      <c r="K1433" s="29" t="s">
        <v>2646</v>
      </c>
      <c r="L1433" s="55" t="s">
        <v>571</v>
      </c>
      <c r="M1433" s="29" t="s">
        <v>927</v>
      </c>
      <c r="N1433" s="32" t="s">
        <v>75</v>
      </c>
      <c r="O1433" s="31"/>
      <c r="P1433" s="31"/>
      <c r="Q1433" s="28" t="s">
        <v>76</v>
      </c>
      <c r="R1433" s="29"/>
      <c r="S1433" s="31"/>
      <c r="T1433" s="31"/>
      <c r="U1433" s="28" t="s">
        <v>75</v>
      </c>
      <c r="V1433" s="28" t="s">
        <v>75</v>
      </c>
      <c r="W1433" s="31"/>
    </row>
    <row r="1434" spans="1:23">
      <c r="A1434" s="46" t="s">
        <v>572</v>
      </c>
      <c r="B1434" s="28" t="s">
        <v>1637</v>
      </c>
      <c r="C1434" s="28" t="s">
        <v>2589</v>
      </c>
      <c r="D1434" s="31" t="s">
        <v>2649</v>
      </c>
      <c r="E1434" s="31" t="s">
        <v>1218</v>
      </c>
      <c r="F1434" s="31" t="s">
        <v>1039</v>
      </c>
      <c r="G1434" s="31" t="s">
        <v>1039</v>
      </c>
      <c r="H1434" s="31" t="s">
        <v>2634</v>
      </c>
      <c r="I1434" s="28" t="str">
        <f>VLOOKUP(E1434,표준용어사전!$C$2:$D$494, 2, FALSE)</f>
        <v>명V20</v>
      </c>
      <c r="J1434" s="33" t="s">
        <v>78</v>
      </c>
      <c r="K1434" s="29" t="s">
        <v>2646</v>
      </c>
      <c r="L1434" s="55" t="s">
        <v>571</v>
      </c>
      <c r="M1434" s="29" t="s">
        <v>927</v>
      </c>
      <c r="N1434" s="32" t="s">
        <v>75</v>
      </c>
      <c r="O1434" s="31"/>
      <c r="P1434" s="31"/>
      <c r="Q1434" s="28" t="s">
        <v>76</v>
      </c>
      <c r="R1434" s="29"/>
      <c r="S1434" s="31"/>
      <c r="T1434" s="31"/>
      <c r="U1434" s="28" t="s">
        <v>75</v>
      </c>
      <c r="V1434" s="28" t="s">
        <v>75</v>
      </c>
      <c r="W1434" s="31"/>
    </row>
    <row r="1435" spans="1:23">
      <c r="A1435" s="46" t="s">
        <v>572</v>
      </c>
      <c r="B1435" s="28" t="s">
        <v>1637</v>
      </c>
      <c r="C1435" s="28" t="s">
        <v>2589</v>
      </c>
      <c r="D1435" s="31" t="s">
        <v>2649</v>
      </c>
      <c r="E1435" s="31" t="s">
        <v>2655</v>
      </c>
      <c r="F1435" s="31" t="s">
        <v>2640</v>
      </c>
      <c r="G1435" s="31" t="s">
        <v>2640</v>
      </c>
      <c r="H1435" s="31" t="s">
        <v>2634</v>
      </c>
      <c r="I1435" s="28" t="e">
        <f>VLOOKUP(E1435,표준용어사전!$C$2:$D$494, 2, FALSE)</f>
        <v>#N/A</v>
      </c>
      <c r="J1435" s="33" t="s">
        <v>2650</v>
      </c>
      <c r="K1435" s="29" t="s">
        <v>2646</v>
      </c>
      <c r="L1435" s="55" t="s">
        <v>571</v>
      </c>
      <c r="M1435" s="29" t="s">
        <v>927</v>
      </c>
      <c r="N1435" s="32" t="s">
        <v>75</v>
      </c>
      <c r="O1435" s="31"/>
      <c r="P1435" s="31"/>
      <c r="Q1435" s="28" t="s">
        <v>76</v>
      </c>
      <c r="R1435" s="29"/>
      <c r="S1435" s="31"/>
      <c r="T1435" s="28"/>
      <c r="U1435" s="28" t="s">
        <v>75</v>
      </c>
      <c r="V1435" s="28" t="s">
        <v>75</v>
      </c>
      <c r="W1435" s="31"/>
    </row>
    <row r="1436" spans="1:23">
      <c r="A1436" s="46" t="s">
        <v>572</v>
      </c>
      <c r="B1436" s="28" t="s">
        <v>1637</v>
      </c>
      <c r="C1436" s="28" t="s">
        <v>2589</v>
      </c>
      <c r="D1436" s="31" t="s">
        <v>2649</v>
      </c>
      <c r="E1436" s="31" t="s">
        <v>2656</v>
      </c>
      <c r="F1436" s="31" t="s">
        <v>1798</v>
      </c>
      <c r="G1436" s="31" t="s">
        <v>1798</v>
      </c>
      <c r="H1436" s="31" t="s">
        <v>2634</v>
      </c>
      <c r="I1436" s="28" t="e">
        <f>VLOOKUP(E1436,표준용어사전!$C$2:$D$494, 2, FALSE)</f>
        <v>#N/A</v>
      </c>
      <c r="J1436" s="33" t="s">
        <v>78</v>
      </c>
      <c r="K1436" s="29" t="s">
        <v>2646</v>
      </c>
      <c r="L1436" s="55" t="s">
        <v>571</v>
      </c>
      <c r="M1436" s="29" t="s">
        <v>927</v>
      </c>
      <c r="N1436" s="32" t="s">
        <v>75</v>
      </c>
      <c r="O1436" s="31"/>
      <c r="P1436" s="31"/>
      <c r="Q1436" s="28" t="s">
        <v>76</v>
      </c>
      <c r="R1436" s="29"/>
      <c r="S1436" s="31"/>
      <c r="T1436" s="31"/>
      <c r="U1436" s="28" t="s">
        <v>75</v>
      </c>
      <c r="V1436" s="28" t="s">
        <v>75</v>
      </c>
      <c r="W1436" s="31"/>
    </row>
    <row r="1437" spans="1:23">
      <c r="A1437" s="46" t="s">
        <v>572</v>
      </c>
      <c r="B1437" s="28" t="s">
        <v>1637</v>
      </c>
      <c r="C1437" s="28" t="s">
        <v>2589</v>
      </c>
      <c r="D1437" s="31" t="s">
        <v>2649</v>
      </c>
      <c r="E1437" s="31" t="s">
        <v>1219</v>
      </c>
      <c r="F1437" s="31" t="s">
        <v>2641</v>
      </c>
      <c r="G1437" s="31" t="s">
        <v>2641</v>
      </c>
      <c r="H1437" s="31" t="s">
        <v>2634</v>
      </c>
      <c r="I1437" s="28" t="e">
        <f>VLOOKUP(E1437,표준용어사전!$C$2:$D$494, 2, FALSE)</f>
        <v>#N/A</v>
      </c>
      <c r="J1437" s="33" t="s">
        <v>2644</v>
      </c>
      <c r="K1437" s="29" t="s">
        <v>2646</v>
      </c>
      <c r="L1437" s="55" t="s">
        <v>571</v>
      </c>
      <c r="M1437" s="29" t="s">
        <v>927</v>
      </c>
      <c r="N1437" s="32" t="s">
        <v>75</v>
      </c>
      <c r="O1437" s="31"/>
      <c r="P1437" s="31"/>
      <c r="Q1437" s="28" t="s">
        <v>76</v>
      </c>
      <c r="R1437" s="29"/>
      <c r="S1437" s="31"/>
      <c r="T1437" s="31"/>
      <c r="U1437" s="28" t="s">
        <v>75</v>
      </c>
      <c r="V1437" s="28" t="s">
        <v>75</v>
      </c>
      <c r="W1437" s="31"/>
    </row>
    <row r="1438" spans="1:23">
      <c r="A1438" s="46" t="s">
        <v>572</v>
      </c>
      <c r="B1438" s="28" t="s">
        <v>1637</v>
      </c>
      <c r="C1438" s="28" t="s">
        <v>978</v>
      </c>
      <c r="D1438" s="31" t="s">
        <v>2649</v>
      </c>
      <c r="E1438" s="31" t="s">
        <v>1248</v>
      </c>
      <c r="F1438" s="28" t="s">
        <v>1049</v>
      </c>
      <c r="G1438" s="28" t="s">
        <v>1049</v>
      </c>
      <c r="H1438" s="31" t="s">
        <v>2634</v>
      </c>
      <c r="I1438" s="28" t="e">
        <f>VLOOKUP(E1438,표준용어사전!$C$2:$D$494, 2, FALSE)</f>
        <v>#N/A</v>
      </c>
      <c r="J1438" s="33" t="s">
        <v>78</v>
      </c>
      <c r="K1438" s="29" t="s">
        <v>2646</v>
      </c>
      <c r="L1438" s="55" t="s">
        <v>571</v>
      </c>
      <c r="M1438" s="29" t="s">
        <v>927</v>
      </c>
      <c r="N1438" s="32" t="s">
        <v>75</v>
      </c>
      <c r="O1438" s="31"/>
      <c r="P1438" s="31"/>
      <c r="Q1438" s="28" t="s">
        <v>76</v>
      </c>
      <c r="R1438" s="29"/>
      <c r="S1438" s="31"/>
      <c r="T1438" s="31"/>
      <c r="U1438" s="28" t="s">
        <v>75</v>
      </c>
      <c r="V1438" s="28" t="s">
        <v>75</v>
      </c>
      <c r="W1438" s="31"/>
    </row>
    <row r="1439" spans="1:23">
      <c r="A1439" s="46" t="s">
        <v>572</v>
      </c>
      <c r="B1439" s="28" t="s">
        <v>1637</v>
      </c>
      <c r="C1439" s="28" t="s">
        <v>978</v>
      </c>
      <c r="D1439" s="31" t="s">
        <v>2649</v>
      </c>
      <c r="E1439" s="31" t="s">
        <v>1242</v>
      </c>
      <c r="F1439" s="31" t="s">
        <v>2642</v>
      </c>
      <c r="G1439" s="31" t="s">
        <v>2642</v>
      </c>
      <c r="H1439" s="31" t="s">
        <v>2634</v>
      </c>
      <c r="I1439" s="28" t="e">
        <f>VLOOKUP(E1439,표준용어사전!$C$2:$D$494, 2, FALSE)</f>
        <v>#N/A</v>
      </c>
      <c r="J1439" s="33" t="s">
        <v>2651</v>
      </c>
      <c r="K1439" s="29" t="s">
        <v>2646</v>
      </c>
      <c r="L1439" s="55" t="s">
        <v>571</v>
      </c>
      <c r="M1439" s="29" t="s">
        <v>927</v>
      </c>
      <c r="N1439" s="32" t="s">
        <v>75</v>
      </c>
      <c r="O1439" s="31"/>
      <c r="P1439" s="31"/>
      <c r="Q1439" s="28" t="s">
        <v>76</v>
      </c>
      <c r="R1439" s="29"/>
      <c r="S1439" s="31"/>
      <c r="T1439" s="31"/>
      <c r="U1439" s="28" t="s">
        <v>75</v>
      </c>
      <c r="V1439" s="28" t="s">
        <v>75</v>
      </c>
      <c r="W1439" s="31"/>
    </row>
    <row r="1440" spans="1:23">
      <c r="A1440" s="46" t="s">
        <v>572</v>
      </c>
      <c r="B1440" s="28" t="s">
        <v>1637</v>
      </c>
      <c r="C1440" s="28" t="s">
        <v>978</v>
      </c>
      <c r="D1440" s="31" t="s">
        <v>2649</v>
      </c>
      <c r="E1440" s="31" t="s">
        <v>2657</v>
      </c>
      <c r="F1440" s="31" t="s">
        <v>1148</v>
      </c>
      <c r="G1440" s="31" t="s">
        <v>1148</v>
      </c>
      <c r="H1440" s="31" t="s">
        <v>2634</v>
      </c>
      <c r="I1440" s="28" t="e">
        <f>VLOOKUP(E1440,표준용어사전!$C$2:$D$494, 2, FALSE)</f>
        <v>#N/A</v>
      </c>
      <c r="J1440" s="33" t="s">
        <v>78</v>
      </c>
      <c r="K1440" s="29" t="s">
        <v>2646</v>
      </c>
      <c r="L1440" s="55" t="s">
        <v>571</v>
      </c>
      <c r="M1440" s="29" t="s">
        <v>927</v>
      </c>
      <c r="N1440" s="32" t="s">
        <v>75</v>
      </c>
      <c r="O1440" s="31"/>
      <c r="P1440" s="31"/>
      <c r="Q1440" s="28" t="s">
        <v>76</v>
      </c>
      <c r="R1440" s="29"/>
      <c r="S1440" s="31"/>
      <c r="T1440" s="31"/>
      <c r="U1440" s="28" t="s">
        <v>75</v>
      </c>
      <c r="V1440" s="28" t="s">
        <v>75</v>
      </c>
      <c r="W1440" s="31"/>
    </row>
    <row r="1441" spans="1:23">
      <c r="A1441" s="46" t="s">
        <v>572</v>
      </c>
      <c r="B1441" s="28" t="s">
        <v>1637</v>
      </c>
      <c r="C1441" s="28" t="s">
        <v>978</v>
      </c>
      <c r="D1441" s="31" t="s">
        <v>2649</v>
      </c>
      <c r="E1441" s="31" t="s">
        <v>2658</v>
      </c>
      <c r="F1441" s="31" t="s">
        <v>1149</v>
      </c>
      <c r="G1441" s="31" t="s">
        <v>1149</v>
      </c>
      <c r="H1441" s="31" t="s">
        <v>2634</v>
      </c>
      <c r="I1441" s="28" t="e">
        <f>VLOOKUP(E1441,표준용어사전!$C$2:$D$494, 2, FALSE)</f>
        <v>#N/A</v>
      </c>
      <c r="J1441" s="33" t="s">
        <v>2644</v>
      </c>
      <c r="K1441" s="29" t="s">
        <v>2646</v>
      </c>
      <c r="L1441" s="55" t="s">
        <v>571</v>
      </c>
      <c r="M1441" s="29" t="s">
        <v>927</v>
      </c>
      <c r="N1441" s="32" t="s">
        <v>75</v>
      </c>
      <c r="O1441" s="31"/>
      <c r="P1441" s="31"/>
      <c r="Q1441" s="28" t="s">
        <v>76</v>
      </c>
      <c r="R1441" s="29"/>
      <c r="S1441" s="31"/>
      <c r="T1441" s="31"/>
      <c r="U1441" s="28" t="s">
        <v>75</v>
      </c>
      <c r="V1441" s="28" t="s">
        <v>75</v>
      </c>
      <c r="W1441" s="31"/>
    </row>
    <row r="1442" spans="1:23">
      <c r="A1442" s="46" t="s">
        <v>572</v>
      </c>
      <c r="B1442" s="28" t="s">
        <v>1637</v>
      </c>
      <c r="C1442" s="28" t="s">
        <v>978</v>
      </c>
      <c r="D1442" s="31" t="s">
        <v>2649</v>
      </c>
      <c r="E1442" s="31" t="s">
        <v>1247</v>
      </c>
      <c r="F1442" s="31" t="s">
        <v>2715</v>
      </c>
      <c r="G1442" s="31" t="s">
        <v>2715</v>
      </c>
      <c r="H1442" s="31" t="s">
        <v>2634</v>
      </c>
      <c r="I1442" s="28" t="e">
        <f>VLOOKUP(E1442,표준용어사전!$C$2:$D$494, 2, FALSE)</f>
        <v>#N/A</v>
      </c>
      <c r="J1442" s="33" t="s">
        <v>2652</v>
      </c>
      <c r="K1442" s="29" t="s">
        <v>2646</v>
      </c>
      <c r="L1442" s="55" t="s">
        <v>571</v>
      </c>
      <c r="M1442" s="29" t="s">
        <v>927</v>
      </c>
      <c r="N1442" s="32" t="s">
        <v>75</v>
      </c>
      <c r="O1442" s="31"/>
      <c r="P1442" s="31"/>
      <c r="Q1442" s="28" t="s">
        <v>76</v>
      </c>
      <c r="R1442" s="29"/>
      <c r="S1442" s="31"/>
      <c r="T1442" s="31"/>
      <c r="U1442" s="28" t="s">
        <v>75</v>
      </c>
      <c r="V1442" s="28" t="s">
        <v>75</v>
      </c>
      <c r="W1442" s="31"/>
    </row>
    <row r="1443" spans="1:23">
      <c r="A1443" s="46" t="s">
        <v>572</v>
      </c>
      <c r="B1443" s="28" t="s">
        <v>1637</v>
      </c>
      <c r="C1443" s="28" t="s">
        <v>978</v>
      </c>
      <c r="D1443" s="31" t="s">
        <v>2649</v>
      </c>
      <c r="E1443" s="31" t="s">
        <v>1245</v>
      </c>
      <c r="F1443" s="31" t="s">
        <v>2714</v>
      </c>
      <c r="G1443" s="31" t="s">
        <v>2714</v>
      </c>
      <c r="H1443" s="31" t="s">
        <v>2634</v>
      </c>
      <c r="I1443" s="28" t="e">
        <f>VLOOKUP(E1443,표준용어사전!$C$2:$D$494, 2, FALSE)</f>
        <v>#N/A</v>
      </c>
      <c r="J1443" s="33" t="s">
        <v>2653</v>
      </c>
      <c r="K1443" s="29" t="s">
        <v>2646</v>
      </c>
      <c r="L1443" s="55" t="s">
        <v>571</v>
      </c>
      <c r="M1443" s="29" t="s">
        <v>927</v>
      </c>
      <c r="N1443" s="32" t="s">
        <v>75</v>
      </c>
      <c r="O1443" s="31"/>
      <c r="P1443" s="31"/>
      <c r="Q1443" s="28" t="s">
        <v>76</v>
      </c>
      <c r="R1443" s="29"/>
      <c r="S1443" s="31"/>
      <c r="T1443" s="31"/>
      <c r="U1443" s="28" t="s">
        <v>75</v>
      </c>
      <c r="V1443" s="28" t="s">
        <v>75</v>
      </c>
      <c r="W1443" s="31"/>
    </row>
    <row r="1444" spans="1:23">
      <c r="A1444" s="46" t="s">
        <v>572</v>
      </c>
      <c r="B1444" s="28" t="s">
        <v>1637</v>
      </c>
      <c r="C1444" s="28" t="s">
        <v>978</v>
      </c>
      <c r="D1444" s="31" t="s">
        <v>2649</v>
      </c>
      <c r="E1444" s="31" t="s">
        <v>1246</v>
      </c>
      <c r="F1444" s="31" t="s">
        <v>1803</v>
      </c>
      <c r="G1444" s="31" t="s">
        <v>1803</v>
      </c>
      <c r="H1444" s="31" t="s">
        <v>2634</v>
      </c>
      <c r="I1444" s="28" t="e">
        <f>VLOOKUP(E1444,표준용어사전!$C$2:$D$494, 2, FALSE)</f>
        <v>#N/A</v>
      </c>
      <c r="J1444" s="33" t="s">
        <v>78</v>
      </c>
      <c r="K1444" s="29" t="s">
        <v>2646</v>
      </c>
      <c r="L1444" s="55" t="s">
        <v>571</v>
      </c>
      <c r="M1444" s="29" t="s">
        <v>927</v>
      </c>
      <c r="N1444" s="32" t="s">
        <v>75</v>
      </c>
      <c r="O1444" s="31"/>
      <c r="P1444" s="31"/>
      <c r="Q1444" s="28" t="s">
        <v>76</v>
      </c>
      <c r="R1444" s="29"/>
      <c r="S1444" s="31"/>
      <c r="T1444" s="31"/>
      <c r="U1444" s="28" t="s">
        <v>75</v>
      </c>
      <c r="V1444" s="28" t="s">
        <v>75</v>
      </c>
      <c r="W1444" s="31"/>
    </row>
    <row r="1445" spans="1:23" s="25" customFormat="1">
      <c r="A1445" s="46" t="s">
        <v>711</v>
      </c>
      <c r="B1445" s="28" t="s">
        <v>1333</v>
      </c>
      <c r="C1445" s="28" t="s">
        <v>944</v>
      </c>
      <c r="D1445" s="28" t="s">
        <v>2450</v>
      </c>
      <c r="E1445" s="28" t="s">
        <v>2199</v>
      </c>
      <c r="F1445" s="28" t="s">
        <v>2198</v>
      </c>
      <c r="G1445" s="28" t="s">
        <v>2198</v>
      </c>
      <c r="H1445" s="31" t="s">
        <v>2357</v>
      </c>
      <c r="I1445" s="28" t="str">
        <f>VLOOKUP(E1445,표준용어사전!$C$2:$D$494, 2, FALSE)</f>
        <v>연월일C8</v>
      </c>
      <c r="J1445" s="28" t="s">
        <v>709</v>
      </c>
      <c r="K1445" s="29">
        <v>8</v>
      </c>
      <c r="L1445" s="55" t="s">
        <v>571</v>
      </c>
      <c r="M1445" s="29" t="s">
        <v>731</v>
      </c>
      <c r="N1445" s="32" t="s">
        <v>572</v>
      </c>
      <c r="O1445" s="28"/>
      <c r="P1445" s="28"/>
      <c r="Q1445" s="28"/>
      <c r="R1445" s="29"/>
      <c r="S1445" s="28"/>
      <c r="T1445" s="28"/>
      <c r="U1445" s="28" t="s">
        <v>75</v>
      </c>
      <c r="V1445" s="28" t="s">
        <v>75</v>
      </c>
      <c r="W1445" s="28"/>
    </row>
    <row r="1446" spans="1:23">
      <c r="A1446" s="46" t="s">
        <v>711</v>
      </c>
      <c r="B1446" s="28" t="s">
        <v>1333</v>
      </c>
      <c r="C1446" s="28" t="s">
        <v>944</v>
      </c>
      <c r="D1446" s="28" t="s">
        <v>2450</v>
      </c>
      <c r="E1446" s="28" t="s">
        <v>2276</v>
      </c>
      <c r="F1446" s="31" t="s">
        <v>1850</v>
      </c>
      <c r="G1446" s="31" t="s">
        <v>1850</v>
      </c>
      <c r="H1446" s="31" t="s">
        <v>2357</v>
      </c>
      <c r="I1446" s="28" t="str">
        <f>VLOOKUP(E1446,표준용어사전!$C$2:$D$494, 2, FALSE)</f>
        <v>번호V50</v>
      </c>
      <c r="J1446" s="28" t="s">
        <v>718</v>
      </c>
      <c r="K1446" s="29">
        <v>50</v>
      </c>
      <c r="L1446" s="55" t="s">
        <v>571</v>
      </c>
      <c r="M1446" s="29" t="s">
        <v>720</v>
      </c>
      <c r="N1446" s="32" t="s">
        <v>572</v>
      </c>
      <c r="O1446" s="28"/>
      <c r="P1446" s="28"/>
      <c r="Q1446" s="28"/>
      <c r="R1446" s="29"/>
      <c r="S1446" s="28"/>
      <c r="T1446" s="28"/>
      <c r="U1446" s="28" t="s">
        <v>75</v>
      </c>
      <c r="V1446" s="28" t="s">
        <v>75</v>
      </c>
      <c r="W1446" s="28"/>
    </row>
    <row r="1447" spans="1:23">
      <c r="A1447" s="46" t="s">
        <v>711</v>
      </c>
      <c r="B1447" s="28" t="s">
        <v>1333</v>
      </c>
      <c r="C1447" s="28" t="s">
        <v>944</v>
      </c>
      <c r="D1447" s="28" t="s">
        <v>2450</v>
      </c>
      <c r="E1447" s="28" t="s">
        <v>2005</v>
      </c>
      <c r="F1447" s="28" t="s">
        <v>466</v>
      </c>
      <c r="G1447" s="28" t="s">
        <v>466</v>
      </c>
      <c r="H1447" s="31" t="s">
        <v>2357</v>
      </c>
      <c r="I1447" s="28" t="str">
        <f>VLOOKUP(E1447,표준용어사전!$C$2:$D$494, 2, FALSE)</f>
        <v>명V20</v>
      </c>
      <c r="J1447" s="28" t="s">
        <v>718</v>
      </c>
      <c r="K1447" s="29" t="s">
        <v>2684</v>
      </c>
      <c r="L1447" s="55" t="s">
        <v>927</v>
      </c>
      <c r="M1447" s="29" t="s">
        <v>727</v>
      </c>
      <c r="N1447" s="32" t="s">
        <v>572</v>
      </c>
      <c r="O1447" s="28"/>
      <c r="P1447" s="28"/>
      <c r="Q1447" s="28"/>
      <c r="R1447" s="29"/>
      <c r="S1447" s="28"/>
      <c r="T1447" s="28"/>
      <c r="U1447" s="28" t="s">
        <v>75</v>
      </c>
      <c r="V1447" s="28" t="s">
        <v>75</v>
      </c>
      <c r="W1447" s="28"/>
    </row>
    <row r="1448" spans="1:23">
      <c r="A1448" s="46" t="s">
        <v>711</v>
      </c>
      <c r="B1448" s="28" t="s">
        <v>1333</v>
      </c>
      <c r="C1448" s="28" t="s">
        <v>944</v>
      </c>
      <c r="D1448" s="28" t="s">
        <v>2450</v>
      </c>
      <c r="E1448" s="28" t="s">
        <v>2512</v>
      </c>
      <c r="F1448" s="31" t="s">
        <v>2207</v>
      </c>
      <c r="G1448" s="31" t="s">
        <v>2207</v>
      </c>
      <c r="H1448" s="31" t="s">
        <v>2357</v>
      </c>
      <c r="I1448" s="28" t="str">
        <f>VLOOKUP(E1448,표준용어사전!$C$2:$D$494, 2, FALSE)</f>
        <v>코드C4</v>
      </c>
      <c r="J1448" s="28" t="s">
        <v>709</v>
      </c>
      <c r="K1448" s="29">
        <v>4</v>
      </c>
      <c r="L1448" s="55" t="s">
        <v>571</v>
      </c>
      <c r="M1448" s="29" t="s">
        <v>929</v>
      </c>
      <c r="N1448" s="32" t="s">
        <v>572</v>
      </c>
      <c r="O1448" s="28"/>
      <c r="P1448" s="28"/>
      <c r="Q1448" s="28"/>
      <c r="R1448" s="29"/>
      <c r="S1448" s="28"/>
      <c r="T1448" s="28"/>
      <c r="U1448" s="28" t="s">
        <v>75</v>
      </c>
      <c r="V1448" s="28" t="s">
        <v>75</v>
      </c>
      <c r="W1448" s="28"/>
    </row>
    <row r="1449" spans="1:23">
      <c r="A1449" s="46" t="s">
        <v>711</v>
      </c>
      <c r="B1449" s="28" t="s">
        <v>1333</v>
      </c>
      <c r="C1449" s="28" t="s">
        <v>944</v>
      </c>
      <c r="D1449" s="28" t="s">
        <v>2450</v>
      </c>
      <c r="E1449" s="28" t="s">
        <v>2511</v>
      </c>
      <c r="F1449" s="31" t="s">
        <v>580</v>
      </c>
      <c r="G1449" s="31" t="s">
        <v>580</v>
      </c>
      <c r="H1449" s="31" t="s">
        <v>2357</v>
      </c>
      <c r="I1449" s="28" t="str">
        <f>VLOOKUP(E1449,표준용어사전!$C$2:$D$494, 2, FALSE)</f>
        <v>명V20</v>
      </c>
      <c r="J1449" s="28" t="s">
        <v>718</v>
      </c>
      <c r="K1449" s="29" t="s">
        <v>986</v>
      </c>
      <c r="L1449" s="55" t="s">
        <v>571</v>
      </c>
      <c r="M1449" s="29" t="s">
        <v>727</v>
      </c>
      <c r="N1449" s="32" t="s">
        <v>572</v>
      </c>
      <c r="O1449" s="28"/>
      <c r="P1449" s="28"/>
      <c r="Q1449" s="28"/>
      <c r="R1449" s="29"/>
      <c r="S1449" s="28"/>
      <c r="T1449" s="28"/>
      <c r="U1449" s="28" t="s">
        <v>75</v>
      </c>
      <c r="V1449" s="28" t="s">
        <v>75</v>
      </c>
      <c r="W1449" s="28"/>
    </row>
    <row r="1450" spans="1:23">
      <c r="A1450" s="46" t="s">
        <v>711</v>
      </c>
      <c r="B1450" s="28" t="s">
        <v>1333</v>
      </c>
      <c r="C1450" s="28" t="s">
        <v>944</v>
      </c>
      <c r="D1450" s="28" t="s">
        <v>2450</v>
      </c>
      <c r="E1450" s="28" t="s">
        <v>2200</v>
      </c>
      <c r="F1450" s="31" t="s">
        <v>1341</v>
      </c>
      <c r="G1450" s="31" t="s">
        <v>1341</v>
      </c>
      <c r="H1450" s="31" t="s">
        <v>2357</v>
      </c>
      <c r="I1450" s="28" t="str">
        <f>VLOOKUP(E1450,표준용어사전!$C$2:$D$494, 2, FALSE)</f>
        <v>수N10,3</v>
      </c>
      <c r="J1450" s="28" t="s">
        <v>748</v>
      </c>
      <c r="K1450" s="29" t="s">
        <v>1061</v>
      </c>
      <c r="L1450" s="55" t="s">
        <v>980</v>
      </c>
      <c r="M1450" s="29" t="s">
        <v>2593</v>
      </c>
      <c r="N1450" s="32" t="s">
        <v>572</v>
      </c>
      <c r="O1450" s="28"/>
      <c r="P1450" s="28"/>
      <c r="Q1450" s="28"/>
      <c r="R1450" s="29"/>
      <c r="S1450" s="28"/>
      <c r="T1450" s="28"/>
      <c r="U1450" s="28" t="s">
        <v>75</v>
      </c>
      <c r="V1450" s="28" t="s">
        <v>75</v>
      </c>
      <c r="W1450" s="28"/>
    </row>
    <row r="1451" spans="1:23">
      <c r="A1451" s="46" t="s">
        <v>711</v>
      </c>
      <c r="B1451" s="28" t="s">
        <v>1333</v>
      </c>
      <c r="C1451" s="28" t="s">
        <v>944</v>
      </c>
      <c r="D1451" s="28" t="s">
        <v>2450</v>
      </c>
      <c r="E1451" s="28" t="s">
        <v>90</v>
      </c>
      <c r="F1451" s="31" t="s">
        <v>14</v>
      </c>
      <c r="G1451" s="31" t="s">
        <v>14</v>
      </c>
      <c r="H1451" s="31" t="s">
        <v>2357</v>
      </c>
      <c r="I1451" s="28" t="str">
        <f>VLOOKUP(E1451,표준용어사전!$C$2:$D$494, 2, FALSE)</f>
        <v>연월일시분초TS</v>
      </c>
      <c r="J1451" s="28" t="s">
        <v>719</v>
      </c>
      <c r="K1451" s="29" t="s">
        <v>571</v>
      </c>
      <c r="L1451" s="55" t="s">
        <v>571</v>
      </c>
      <c r="M1451" s="29" t="s">
        <v>726</v>
      </c>
      <c r="N1451" s="32" t="s">
        <v>572</v>
      </c>
      <c r="O1451" s="28"/>
      <c r="P1451" s="28"/>
      <c r="Q1451" s="28"/>
      <c r="R1451" s="29"/>
      <c r="S1451" s="28"/>
      <c r="T1451" s="28"/>
      <c r="U1451" s="28" t="s">
        <v>75</v>
      </c>
      <c r="V1451" s="28" t="s">
        <v>75</v>
      </c>
      <c r="W1451" s="28"/>
    </row>
    <row r="1452" spans="1:23">
      <c r="A1452" s="46" t="s">
        <v>711</v>
      </c>
      <c r="B1452" s="28" t="s">
        <v>1333</v>
      </c>
      <c r="C1452" s="28" t="s">
        <v>944</v>
      </c>
      <c r="D1452" s="28" t="s">
        <v>2450</v>
      </c>
      <c r="E1452" s="28" t="s">
        <v>91</v>
      </c>
      <c r="F1452" s="31" t="s">
        <v>369</v>
      </c>
      <c r="G1452" s="31" t="s">
        <v>369</v>
      </c>
      <c r="H1452" s="31" t="s">
        <v>2357</v>
      </c>
      <c r="I1452" s="28" t="str">
        <f>VLOOKUP(E1452,표준용어사전!$C$2:$D$494, 2, FALSE)</f>
        <v>명V20</v>
      </c>
      <c r="J1452" s="28" t="s">
        <v>718</v>
      </c>
      <c r="K1452" s="29" t="s">
        <v>986</v>
      </c>
      <c r="L1452" s="55" t="s">
        <v>571</v>
      </c>
      <c r="M1452" s="29" t="s">
        <v>727</v>
      </c>
      <c r="N1452" s="32" t="s">
        <v>572</v>
      </c>
      <c r="O1452" s="28"/>
      <c r="P1452" s="28"/>
      <c r="Q1452" s="28"/>
      <c r="R1452" s="29"/>
      <c r="S1452" s="28"/>
      <c r="T1452" s="28"/>
      <c r="U1452" s="28" t="s">
        <v>75</v>
      </c>
      <c r="V1452" s="28" t="s">
        <v>75</v>
      </c>
      <c r="W1452" s="28"/>
    </row>
    <row r="1453" spans="1:23">
      <c r="A1453" s="46" t="s">
        <v>711</v>
      </c>
      <c r="B1453" s="28" t="s">
        <v>1333</v>
      </c>
      <c r="C1453" s="28" t="s">
        <v>944</v>
      </c>
      <c r="D1453" s="28" t="s">
        <v>2450</v>
      </c>
      <c r="E1453" s="28" t="s">
        <v>92</v>
      </c>
      <c r="F1453" s="31" t="s">
        <v>15</v>
      </c>
      <c r="G1453" s="31" t="s">
        <v>15</v>
      </c>
      <c r="H1453" s="31" t="s">
        <v>2357</v>
      </c>
      <c r="I1453" s="28" t="str">
        <f>VLOOKUP(E1453,표준용어사전!$C$2:$D$494, 2, FALSE)</f>
        <v>연월일시분초TS</v>
      </c>
      <c r="J1453" s="28" t="s">
        <v>719</v>
      </c>
      <c r="K1453" s="29" t="s">
        <v>571</v>
      </c>
      <c r="L1453" s="55" t="s">
        <v>571</v>
      </c>
      <c r="M1453" s="29" t="s">
        <v>726</v>
      </c>
      <c r="N1453" s="32" t="s">
        <v>572</v>
      </c>
      <c r="O1453" s="28"/>
      <c r="P1453" s="28"/>
      <c r="Q1453" s="28"/>
      <c r="R1453" s="29"/>
      <c r="S1453" s="28"/>
      <c r="T1453" s="28"/>
      <c r="U1453" s="28" t="s">
        <v>75</v>
      </c>
      <c r="V1453" s="28" t="s">
        <v>75</v>
      </c>
      <c r="W1453" s="28"/>
    </row>
    <row r="1454" spans="1:23">
      <c r="A1454" s="46" t="s">
        <v>711</v>
      </c>
      <c r="B1454" s="28" t="s">
        <v>1333</v>
      </c>
      <c r="C1454" s="28" t="s">
        <v>944</v>
      </c>
      <c r="D1454" s="28" t="s">
        <v>2450</v>
      </c>
      <c r="E1454" s="28" t="s">
        <v>93</v>
      </c>
      <c r="F1454" s="31" t="s">
        <v>370</v>
      </c>
      <c r="G1454" s="31" t="s">
        <v>370</v>
      </c>
      <c r="H1454" s="31" t="s">
        <v>2357</v>
      </c>
      <c r="I1454" s="28" t="str">
        <f>VLOOKUP(E1454,표준용어사전!$C$2:$D$494, 2, FALSE)</f>
        <v>명V20</v>
      </c>
      <c r="J1454" s="28" t="s">
        <v>718</v>
      </c>
      <c r="K1454" s="29" t="s">
        <v>986</v>
      </c>
      <c r="L1454" s="55" t="s">
        <v>571</v>
      </c>
      <c r="M1454" s="29" t="s">
        <v>727</v>
      </c>
      <c r="N1454" s="32" t="s">
        <v>572</v>
      </c>
      <c r="O1454" s="28"/>
      <c r="P1454" s="28"/>
      <c r="Q1454" s="28"/>
      <c r="R1454" s="29"/>
      <c r="S1454" s="28"/>
      <c r="T1454" s="28"/>
      <c r="U1454" s="28" t="s">
        <v>75</v>
      </c>
      <c r="V1454" s="28" t="s">
        <v>75</v>
      </c>
      <c r="W1454" s="28"/>
    </row>
    <row r="1455" spans="1:23" s="25" customFormat="1">
      <c r="A1455" s="46" t="s">
        <v>711</v>
      </c>
      <c r="B1455" s="28" t="s">
        <v>1333</v>
      </c>
      <c r="C1455" s="28" t="s">
        <v>944</v>
      </c>
      <c r="D1455" s="28" t="s">
        <v>2674</v>
      </c>
      <c r="E1455" s="28" t="s">
        <v>2199</v>
      </c>
      <c r="F1455" s="28" t="s">
        <v>2198</v>
      </c>
      <c r="G1455" s="28" t="s">
        <v>2198</v>
      </c>
      <c r="H1455" s="31" t="s">
        <v>2675</v>
      </c>
      <c r="I1455" s="28" t="str">
        <f>VLOOKUP(E1455,표준용어사전!$C$2:$D$494, 2, FALSE)</f>
        <v>연월일C8</v>
      </c>
      <c r="J1455" s="28" t="s">
        <v>709</v>
      </c>
      <c r="K1455" s="29">
        <v>8</v>
      </c>
      <c r="L1455" s="55" t="s">
        <v>571</v>
      </c>
      <c r="M1455" s="29" t="s">
        <v>731</v>
      </c>
      <c r="N1455" s="32" t="s">
        <v>572</v>
      </c>
      <c r="O1455" s="28"/>
      <c r="P1455" s="28"/>
      <c r="Q1455" s="28"/>
      <c r="R1455" s="29"/>
      <c r="S1455" s="28"/>
      <c r="T1455" s="28"/>
      <c r="U1455" s="28" t="s">
        <v>75</v>
      </c>
      <c r="V1455" s="28" t="s">
        <v>75</v>
      </c>
      <c r="W1455" s="28"/>
    </row>
    <row r="1456" spans="1:23">
      <c r="A1456" s="46" t="s">
        <v>711</v>
      </c>
      <c r="B1456" s="28" t="s">
        <v>1333</v>
      </c>
      <c r="C1456" s="28" t="s">
        <v>944</v>
      </c>
      <c r="D1456" s="28" t="s">
        <v>2674</v>
      </c>
      <c r="E1456" s="28" t="s">
        <v>2295</v>
      </c>
      <c r="F1456" s="31" t="s">
        <v>2294</v>
      </c>
      <c r="G1456" s="31" t="s">
        <v>1903</v>
      </c>
      <c r="H1456" s="31" t="s">
        <v>2675</v>
      </c>
      <c r="I1456" s="28" t="str">
        <f>VLOOKUP(E1456,표준용어사전!$C$2:$D$494, 2, FALSE)</f>
        <v>명V50</v>
      </c>
      <c r="J1456" s="28" t="s">
        <v>718</v>
      </c>
      <c r="K1456" s="29">
        <v>50</v>
      </c>
      <c r="L1456" s="55" t="s">
        <v>571</v>
      </c>
      <c r="M1456" s="29" t="s">
        <v>720</v>
      </c>
      <c r="N1456" s="32" t="s">
        <v>572</v>
      </c>
      <c r="O1456" s="28"/>
      <c r="P1456" s="28"/>
      <c r="Q1456" s="28"/>
      <c r="R1456" s="29"/>
      <c r="S1456" s="28"/>
      <c r="T1456" s="28"/>
      <c r="U1456" s="28" t="s">
        <v>75</v>
      </c>
      <c r="V1456" s="28" t="s">
        <v>75</v>
      </c>
      <c r="W1456" s="28"/>
    </row>
    <row r="1457" spans="1:23">
      <c r="A1457" s="46" t="s">
        <v>711</v>
      </c>
      <c r="B1457" s="28" t="s">
        <v>1333</v>
      </c>
      <c r="C1457" s="28" t="s">
        <v>944</v>
      </c>
      <c r="D1457" s="28" t="s">
        <v>2674</v>
      </c>
      <c r="E1457" s="28" t="s">
        <v>2512</v>
      </c>
      <c r="F1457" s="31" t="s">
        <v>896</v>
      </c>
      <c r="G1457" s="31" t="s">
        <v>2207</v>
      </c>
      <c r="H1457" s="31" t="s">
        <v>2675</v>
      </c>
      <c r="I1457" s="28" t="str">
        <f>VLOOKUP(E1457,표준용어사전!$C$2:$D$494, 2, FALSE)</f>
        <v>코드C4</v>
      </c>
      <c r="J1457" s="56" t="s">
        <v>709</v>
      </c>
      <c r="K1457" s="29">
        <v>4</v>
      </c>
      <c r="L1457" s="55" t="s">
        <v>571</v>
      </c>
      <c r="M1457" s="29" t="s">
        <v>929</v>
      </c>
      <c r="N1457" s="32" t="s">
        <v>572</v>
      </c>
      <c r="O1457" s="28"/>
      <c r="P1457" s="28"/>
      <c r="Q1457" s="28"/>
      <c r="R1457" s="29"/>
      <c r="S1457" s="28"/>
      <c r="T1457" s="28"/>
      <c r="U1457" s="28" t="s">
        <v>75</v>
      </c>
      <c r="V1457" s="28" t="s">
        <v>75</v>
      </c>
      <c r="W1457" s="28"/>
    </row>
    <row r="1458" spans="1:23">
      <c r="A1458" s="46" t="s">
        <v>711</v>
      </c>
      <c r="B1458" s="28" t="s">
        <v>1333</v>
      </c>
      <c r="C1458" s="28" t="s">
        <v>944</v>
      </c>
      <c r="D1458" s="28" t="s">
        <v>2674</v>
      </c>
      <c r="E1458" s="28" t="s">
        <v>2511</v>
      </c>
      <c r="F1458" s="31" t="s">
        <v>1565</v>
      </c>
      <c r="G1458" s="31" t="s">
        <v>580</v>
      </c>
      <c r="H1458" s="31" t="s">
        <v>2675</v>
      </c>
      <c r="I1458" s="28" t="str">
        <f>VLOOKUP(E1458,표준용어사전!$C$2:$D$494, 2, FALSE)</f>
        <v>명V20</v>
      </c>
      <c r="J1458" s="28" t="s">
        <v>718</v>
      </c>
      <c r="K1458" s="29">
        <v>20</v>
      </c>
      <c r="L1458" s="55" t="s">
        <v>571</v>
      </c>
      <c r="M1458" s="29" t="s">
        <v>727</v>
      </c>
      <c r="N1458" s="32" t="s">
        <v>572</v>
      </c>
      <c r="O1458" s="28"/>
      <c r="P1458" s="28"/>
      <c r="Q1458" s="28"/>
      <c r="R1458" s="29"/>
      <c r="S1458" s="28"/>
      <c r="T1458" s="28"/>
      <c r="U1458" s="28" t="s">
        <v>75</v>
      </c>
      <c r="V1458" s="28" t="s">
        <v>75</v>
      </c>
      <c r="W1458" s="28"/>
    </row>
    <row r="1459" spans="1:23">
      <c r="A1459" s="46" t="s">
        <v>711</v>
      </c>
      <c r="B1459" s="28" t="s">
        <v>1333</v>
      </c>
      <c r="C1459" s="28" t="s">
        <v>944</v>
      </c>
      <c r="D1459" s="28" t="s">
        <v>2674</v>
      </c>
      <c r="E1459" s="28" t="s">
        <v>90</v>
      </c>
      <c r="F1459" s="31" t="s">
        <v>14</v>
      </c>
      <c r="G1459" s="31" t="s">
        <v>14</v>
      </c>
      <c r="H1459" s="31" t="s">
        <v>2675</v>
      </c>
      <c r="I1459" s="28" t="str">
        <f>VLOOKUP(E1459,표준용어사전!$C$2:$D$494, 2, FALSE)</f>
        <v>연월일시분초TS</v>
      </c>
      <c r="J1459" s="56" t="s">
        <v>719</v>
      </c>
      <c r="K1459" s="29" t="s">
        <v>927</v>
      </c>
      <c r="L1459" s="55" t="s">
        <v>571</v>
      </c>
      <c r="M1459" s="29" t="s">
        <v>726</v>
      </c>
      <c r="N1459" s="32" t="s">
        <v>572</v>
      </c>
      <c r="O1459" s="28"/>
      <c r="P1459" s="28"/>
      <c r="Q1459" s="28"/>
      <c r="R1459" s="29"/>
      <c r="S1459" s="28"/>
      <c r="T1459" s="28"/>
      <c r="U1459" s="28" t="s">
        <v>75</v>
      </c>
      <c r="V1459" s="28" t="s">
        <v>75</v>
      </c>
      <c r="W1459" s="28"/>
    </row>
    <row r="1460" spans="1:23">
      <c r="A1460" s="46" t="s">
        <v>711</v>
      </c>
      <c r="B1460" s="28" t="s">
        <v>1333</v>
      </c>
      <c r="C1460" s="28" t="s">
        <v>944</v>
      </c>
      <c r="D1460" s="28" t="s">
        <v>2674</v>
      </c>
      <c r="E1460" s="28" t="s">
        <v>91</v>
      </c>
      <c r="F1460" s="31" t="s">
        <v>369</v>
      </c>
      <c r="G1460" s="31" t="s">
        <v>369</v>
      </c>
      <c r="H1460" s="31" t="s">
        <v>2675</v>
      </c>
      <c r="I1460" s="28" t="str">
        <f>VLOOKUP(E1460,표준용어사전!$C$2:$D$494, 2, FALSE)</f>
        <v>명V20</v>
      </c>
      <c r="J1460" s="28" t="s">
        <v>718</v>
      </c>
      <c r="K1460" s="29">
        <v>20</v>
      </c>
      <c r="L1460" s="55" t="s">
        <v>571</v>
      </c>
      <c r="M1460" s="29" t="s">
        <v>727</v>
      </c>
      <c r="N1460" s="32" t="s">
        <v>572</v>
      </c>
      <c r="O1460" s="28"/>
      <c r="P1460" s="28"/>
      <c r="Q1460" s="28"/>
      <c r="R1460" s="29"/>
      <c r="S1460" s="28"/>
      <c r="T1460" s="28"/>
      <c r="U1460" s="28" t="s">
        <v>75</v>
      </c>
      <c r="V1460" s="28" t="s">
        <v>75</v>
      </c>
      <c r="W1460" s="28"/>
    </row>
    <row r="1461" spans="1:23">
      <c r="A1461" s="46" t="s">
        <v>711</v>
      </c>
      <c r="B1461" s="28" t="s">
        <v>1333</v>
      </c>
      <c r="C1461" s="28" t="s">
        <v>944</v>
      </c>
      <c r="D1461" s="28" t="s">
        <v>2674</v>
      </c>
      <c r="E1461" s="28" t="s">
        <v>92</v>
      </c>
      <c r="F1461" s="31" t="s">
        <v>15</v>
      </c>
      <c r="G1461" s="31" t="s">
        <v>15</v>
      </c>
      <c r="H1461" s="31" t="s">
        <v>2675</v>
      </c>
      <c r="I1461" s="28" t="str">
        <f>VLOOKUP(E1461,표준용어사전!$C$2:$D$494, 2, FALSE)</f>
        <v>연월일시분초TS</v>
      </c>
      <c r="J1461" s="56" t="s">
        <v>719</v>
      </c>
      <c r="K1461" s="29" t="s">
        <v>927</v>
      </c>
      <c r="L1461" s="55" t="s">
        <v>571</v>
      </c>
      <c r="M1461" s="29" t="s">
        <v>726</v>
      </c>
      <c r="N1461" s="32" t="s">
        <v>572</v>
      </c>
      <c r="O1461" s="28"/>
      <c r="P1461" s="28"/>
      <c r="Q1461" s="28"/>
      <c r="R1461" s="29"/>
      <c r="S1461" s="28"/>
      <c r="T1461" s="28"/>
      <c r="U1461" s="28" t="s">
        <v>75</v>
      </c>
      <c r="V1461" s="28" t="s">
        <v>75</v>
      </c>
      <c r="W1461" s="28"/>
    </row>
    <row r="1462" spans="1:23">
      <c r="A1462" s="46" t="s">
        <v>711</v>
      </c>
      <c r="B1462" s="28" t="s">
        <v>1333</v>
      </c>
      <c r="C1462" s="28" t="s">
        <v>944</v>
      </c>
      <c r="D1462" s="28" t="s">
        <v>2674</v>
      </c>
      <c r="E1462" s="28" t="s">
        <v>93</v>
      </c>
      <c r="F1462" s="31" t="s">
        <v>370</v>
      </c>
      <c r="G1462" s="31" t="s">
        <v>370</v>
      </c>
      <c r="H1462" s="31" t="s">
        <v>2675</v>
      </c>
      <c r="I1462" s="28" t="str">
        <f>VLOOKUP(E1462,표준용어사전!$C$2:$D$494, 2, FALSE)</f>
        <v>명V20</v>
      </c>
      <c r="J1462" s="28" t="s">
        <v>718</v>
      </c>
      <c r="K1462" s="29">
        <v>20</v>
      </c>
      <c r="L1462" s="55" t="s">
        <v>571</v>
      </c>
      <c r="M1462" s="29" t="s">
        <v>727</v>
      </c>
      <c r="N1462" s="32" t="s">
        <v>572</v>
      </c>
      <c r="O1462" s="28"/>
      <c r="P1462" s="28" t="s">
        <v>76</v>
      </c>
      <c r="Q1462" s="28"/>
      <c r="R1462" s="29"/>
      <c r="S1462" s="28"/>
      <c r="T1462" s="28"/>
      <c r="U1462" s="28" t="s">
        <v>75</v>
      </c>
      <c r="V1462" s="28" t="s">
        <v>75</v>
      </c>
      <c r="W1462" s="28"/>
    </row>
    <row r="1463" spans="1:23">
      <c r="A1463" s="46" t="s">
        <v>711</v>
      </c>
      <c r="B1463" s="28" t="s">
        <v>1333</v>
      </c>
      <c r="C1463" s="28" t="s">
        <v>944</v>
      </c>
      <c r="D1463" s="28" t="s">
        <v>2674</v>
      </c>
      <c r="E1463" s="28" t="s">
        <v>2673</v>
      </c>
      <c r="F1463" s="31" t="s">
        <v>2672</v>
      </c>
      <c r="G1463" s="31" t="s">
        <v>2672</v>
      </c>
      <c r="H1463" s="31" t="s">
        <v>2675</v>
      </c>
      <c r="I1463" s="28" t="str">
        <f>VLOOKUP(E1463,표준용어사전!$C$2:$D$494, 2, FALSE)</f>
        <v>수N10,3</v>
      </c>
      <c r="J1463" s="56" t="s">
        <v>748</v>
      </c>
      <c r="K1463" s="29">
        <v>10</v>
      </c>
      <c r="L1463" s="55">
        <v>3</v>
      </c>
      <c r="M1463" s="29" t="s">
        <v>2593</v>
      </c>
      <c r="N1463" s="32" t="s">
        <v>572</v>
      </c>
      <c r="O1463" s="28"/>
      <c r="P1463" s="28" t="s">
        <v>76</v>
      </c>
      <c r="Q1463" s="28"/>
      <c r="R1463" s="29"/>
      <c r="S1463" s="28"/>
      <c r="T1463" s="28"/>
      <c r="U1463" s="28" t="s">
        <v>75</v>
      </c>
      <c r="V1463" s="28" t="s">
        <v>75</v>
      </c>
      <c r="W1463" s="28"/>
    </row>
    <row r="1048516" spans="11:11">
      <c r="K1048516" s="34" t="s">
        <v>2646</v>
      </c>
    </row>
  </sheetData>
  <autoFilter ref="A1:W1463" xr:uid="{2D860B57-3AD4-435E-9D0B-2815E8DDDA01}"/>
  <phoneticPr fontId="19" type="noConversion"/>
  <conditionalFormatting sqref="F519">
    <cfRule type="duplicateValues" dxfId="24" priority="15"/>
  </conditionalFormatting>
  <conditionalFormatting sqref="F519">
    <cfRule type="duplicateValues" dxfId="23" priority="16"/>
  </conditionalFormatting>
  <conditionalFormatting sqref="G519">
    <cfRule type="duplicateValues" dxfId="22" priority="13"/>
  </conditionalFormatting>
  <conditionalFormatting sqref="G519">
    <cfRule type="duplicateValues" dxfId="21" priority="14"/>
  </conditionalFormatting>
  <conditionalFormatting sqref="F127">
    <cfRule type="duplicateValues" dxfId="20" priority="11"/>
  </conditionalFormatting>
  <conditionalFormatting sqref="F127">
    <cfRule type="duplicateValues" dxfId="19" priority="12"/>
  </conditionalFormatting>
  <conditionalFormatting sqref="F128">
    <cfRule type="duplicateValues" dxfId="18" priority="9"/>
  </conditionalFormatting>
  <conditionalFormatting sqref="F128">
    <cfRule type="duplicateValues" dxfId="17" priority="10"/>
  </conditionalFormatting>
  <conditionalFormatting sqref="G127">
    <cfRule type="duplicateValues" dxfId="16" priority="7"/>
  </conditionalFormatting>
  <conditionalFormatting sqref="G127">
    <cfRule type="duplicateValues" dxfId="15" priority="8"/>
  </conditionalFormatting>
  <conditionalFormatting sqref="G128">
    <cfRule type="duplicateValues" dxfId="14" priority="5"/>
  </conditionalFormatting>
  <conditionalFormatting sqref="G128">
    <cfRule type="duplicateValues" dxfId="13" priority="6"/>
  </conditionalFormatting>
  <conditionalFormatting sqref="F1447">
    <cfRule type="duplicateValues" dxfId="12" priority="3"/>
  </conditionalFormatting>
  <conditionalFormatting sqref="F1447">
    <cfRule type="duplicateValues" dxfId="11" priority="4"/>
  </conditionalFormatting>
  <conditionalFormatting sqref="G1447">
    <cfRule type="duplicateValues" dxfId="10" priority="1"/>
  </conditionalFormatting>
  <conditionalFormatting sqref="G1447">
    <cfRule type="duplicateValues" dxfId="9" priority="2"/>
  </conditionalFormatting>
  <pageMargins left="0.25" right="0.25" top="0.75" bottom="0.75" header="0.3" footer="0.3"/>
  <pageSetup paperSize="9" scale="2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2"/>
  <sheetViews>
    <sheetView view="pageLayout" zoomScale="85" zoomScaleNormal="100" zoomScaleSheetLayoutView="85" zoomScalePageLayoutView="85" workbookViewId="0"/>
  </sheetViews>
  <sheetFormatPr defaultRowHeight="16.5"/>
  <cols>
    <col min="1" max="1" width="13.75" style="2" bestFit="1" customWidth="1"/>
    <col min="2" max="2" width="97.875" style="3" customWidth="1"/>
  </cols>
  <sheetData>
    <row r="1" spans="1:3" ht="21" customHeight="1">
      <c r="A1" s="1" t="s">
        <v>0</v>
      </c>
      <c r="B1" s="1" t="s">
        <v>1</v>
      </c>
      <c r="C1" s="1" t="s">
        <v>66</v>
      </c>
    </row>
    <row r="2" spans="1:3" ht="18.75" customHeight="1">
      <c r="A2" s="4" t="s">
        <v>18</v>
      </c>
      <c r="B2" s="5" t="s">
        <v>36</v>
      </c>
      <c r="C2" s="5" t="s">
        <v>67</v>
      </c>
    </row>
    <row r="3" spans="1:3" ht="18.75" customHeight="1">
      <c r="A3" s="4" t="s">
        <v>19</v>
      </c>
      <c r="B3" s="5" t="s">
        <v>20</v>
      </c>
      <c r="C3" s="5" t="s">
        <v>67</v>
      </c>
    </row>
    <row r="4" spans="1:3" ht="18.75" customHeight="1">
      <c r="A4" s="4" t="s">
        <v>21</v>
      </c>
      <c r="B4" s="5" t="s">
        <v>22</v>
      </c>
      <c r="C4" s="5" t="s">
        <v>67</v>
      </c>
    </row>
    <row r="5" spans="1:3" ht="18.75" customHeight="1">
      <c r="A5" s="4" t="s">
        <v>12</v>
      </c>
      <c r="B5" s="5" t="s">
        <v>13</v>
      </c>
      <c r="C5" s="5" t="s">
        <v>67</v>
      </c>
    </row>
    <row r="6" spans="1:3" ht="29.25" customHeight="1">
      <c r="A6" s="4" t="s">
        <v>2</v>
      </c>
      <c r="B6" s="5" t="s">
        <v>3</v>
      </c>
      <c r="C6" s="5" t="s">
        <v>67</v>
      </c>
    </row>
    <row r="7" spans="1:3" ht="32.25" customHeight="1">
      <c r="A7" s="4" t="s">
        <v>4</v>
      </c>
      <c r="B7" s="6" t="s">
        <v>5</v>
      </c>
      <c r="C7" s="5" t="s">
        <v>67</v>
      </c>
    </row>
    <row r="8" spans="1:3" ht="21.75" customHeight="1">
      <c r="A8" s="4" t="s">
        <v>6</v>
      </c>
      <c r="B8" s="5" t="s">
        <v>7</v>
      </c>
      <c r="C8" s="5" t="s">
        <v>67</v>
      </c>
    </row>
    <row r="9" spans="1:3" ht="39" customHeight="1">
      <c r="A9" s="4" t="s">
        <v>23</v>
      </c>
      <c r="B9" s="6" t="s">
        <v>35</v>
      </c>
      <c r="C9" s="5" t="s">
        <v>67</v>
      </c>
    </row>
    <row r="10" spans="1:3" ht="39" customHeight="1">
      <c r="A10" s="4" t="s">
        <v>644</v>
      </c>
      <c r="B10" s="6" t="s">
        <v>645</v>
      </c>
      <c r="C10" s="5" t="s">
        <v>67</v>
      </c>
    </row>
    <row r="11" spans="1:3" ht="31.5" customHeight="1">
      <c r="A11" s="4" t="s">
        <v>24</v>
      </c>
      <c r="B11" s="5" t="s">
        <v>37</v>
      </c>
      <c r="C11" s="5" t="s">
        <v>67</v>
      </c>
    </row>
    <row r="12" spans="1:3" ht="31.5" customHeight="1">
      <c r="A12" s="4" t="s">
        <v>25</v>
      </c>
      <c r="B12" s="5" t="s">
        <v>38</v>
      </c>
      <c r="C12" s="5" t="s">
        <v>67</v>
      </c>
    </row>
    <row r="13" spans="1:3" ht="31.5" customHeight="1">
      <c r="A13" s="4" t="s">
        <v>642</v>
      </c>
      <c r="B13" s="5" t="s">
        <v>643</v>
      </c>
      <c r="C13" s="5" t="s">
        <v>67</v>
      </c>
    </row>
    <row r="14" spans="1:3" ht="33" customHeight="1">
      <c r="A14" s="4" t="s">
        <v>40</v>
      </c>
      <c r="B14" s="5" t="s">
        <v>39</v>
      </c>
      <c r="C14" s="5" t="s">
        <v>67</v>
      </c>
    </row>
    <row r="15" spans="1:3" ht="39.75" customHeight="1">
      <c r="A15" s="4" t="s">
        <v>8</v>
      </c>
      <c r="B15" s="5" t="s">
        <v>9</v>
      </c>
      <c r="C15" s="5" t="s">
        <v>67</v>
      </c>
    </row>
    <row r="16" spans="1:3" ht="21.75" customHeight="1">
      <c r="A16" s="4" t="s">
        <v>10</v>
      </c>
      <c r="B16" s="5" t="s">
        <v>11</v>
      </c>
      <c r="C16" s="5" t="s">
        <v>67</v>
      </c>
    </row>
    <row r="17" spans="1:3" ht="21.75" customHeight="1">
      <c r="A17" s="4" t="s">
        <v>72</v>
      </c>
      <c r="B17" s="5" t="s">
        <v>70</v>
      </c>
      <c r="C17" s="5" t="s">
        <v>68</v>
      </c>
    </row>
    <row r="18" spans="1:3" ht="21.75" customHeight="1">
      <c r="A18" s="4" t="s">
        <v>71</v>
      </c>
      <c r="B18" s="5" t="s">
        <v>70</v>
      </c>
      <c r="C18" s="5" t="s">
        <v>68</v>
      </c>
    </row>
    <row r="19" spans="1:3" ht="21.75" customHeight="1">
      <c r="A19" s="4" t="s">
        <v>69</v>
      </c>
      <c r="B19" s="5" t="s">
        <v>11</v>
      </c>
      <c r="C19" s="5" t="s">
        <v>68</v>
      </c>
    </row>
    <row r="20" spans="1:3" ht="21.75" customHeight="1">
      <c r="A20" s="4" t="s">
        <v>29</v>
      </c>
      <c r="B20" s="5" t="s">
        <v>30</v>
      </c>
      <c r="C20" s="5" t="s">
        <v>67</v>
      </c>
    </row>
    <row r="21" spans="1:3" ht="21.75" customHeight="1">
      <c r="A21" s="4" t="s">
        <v>31</v>
      </c>
      <c r="B21" s="5" t="s">
        <v>32</v>
      </c>
      <c r="C21" s="5" t="s">
        <v>67</v>
      </c>
    </row>
    <row r="22" spans="1:3" ht="21.75" customHeight="1">
      <c r="A22" s="4" t="s">
        <v>33</v>
      </c>
      <c r="B22" s="5" t="s">
        <v>34</v>
      </c>
      <c r="C22" s="5" t="s">
        <v>67</v>
      </c>
    </row>
  </sheetData>
  <phoneticPr fontId="19" type="noConversion"/>
  <pageMargins left="0.70866141732283472" right="0.70866141732283472" top="0.74803149606299213" bottom="0.74803149606299213" header="0.31496062992125984" footer="0.31496062992125984"/>
  <pageSetup paperSize="9" fitToHeight="0" orientation="landscape" verticalDpi="300" r:id="rId1"/>
  <headerFooter>
    <oddHeader>&amp;L컬럼정의서&amp;R생태복지 실현과 국민 알권리 증진을 위한 생태·자연도 개방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1858-6C5C-4BF9-A680-8DF080B188BB}">
  <sheetPr>
    <pageSetUpPr fitToPage="1"/>
  </sheetPr>
  <dimension ref="A1:D673"/>
  <sheetViews>
    <sheetView view="pageBreakPreview" topLeftCell="A313" zoomScaleNormal="70" zoomScaleSheetLayoutView="100" zoomScalePageLayoutView="70" workbookViewId="0">
      <selection activeCell="B326" sqref="B326"/>
    </sheetView>
  </sheetViews>
  <sheetFormatPr defaultRowHeight="16.5"/>
  <cols>
    <col min="1" max="1" width="9.75" style="19" customWidth="1"/>
    <col min="2" max="2" width="50.5" style="20" customWidth="1"/>
    <col min="3" max="3" width="56.125" bestFit="1" customWidth="1"/>
    <col min="4" max="4" width="17.875" style="21" customWidth="1"/>
  </cols>
  <sheetData>
    <row r="1" spans="1:4" s="16" customFormat="1">
      <c r="A1" s="13" t="s">
        <v>598</v>
      </c>
      <c r="B1" s="14" t="s">
        <v>599</v>
      </c>
      <c r="C1" s="15" t="s">
        <v>600</v>
      </c>
      <c r="D1" s="15" t="s">
        <v>601</v>
      </c>
    </row>
    <row r="2" spans="1:4" s="18" customFormat="1" ht="16.5" customHeight="1">
      <c r="A2" s="30">
        <v>1</v>
      </c>
      <c r="B2" s="28" t="s">
        <v>549</v>
      </c>
      <c r="C2" s="28" t="s">
        <v>1960</v>
      </c>
      <c r="D2" s="57" t="s">
        <v>618</v>
      </c>
    </row>
    <row r="3" spans="1:4" s="18" customFormat="1" ht="16.5" customHeight="1">
      <c r="A3" s="30">
        <v>2</v>
      </c>
      <c r="B3" s="28" t="s">
        <v>550</v>
      </c>
      <c r="C3" s="28" t="s">
        <v>339</v>
      </c>
      <c r="D3" s="57" t="s">
        <v>617</v>
      </c>
    </row>
    <row r="4" spans="1:4" s="18" customFormat="1" ht="16.5" customHeight="1">
      <c r="A4" s="30">
        <v>3</v>
      </c>
      <c r="B4" s="28" t="s">
        <v>551</v>
      </c>
      <c r="C4" s="28" t="s">
        <v>340</v>
      </c>
      <c r="D4" s="57" t="s">
        <v>617</v>
      </c>
    </row>
    <row r="5" spans="1:4" s="17" customFormat="1" ht="16.5" customHeight="1">
      <c r="A5" s="30">
        <v>4</v>
      </c>
      <c r="B5" s="28" t="s">
        <v>552</v>
      </c>
      <c r="C5" s="28" t="s">
        <v>1961</v>
      </c>
      <c r="D5" s="57" t="s">
        <v>617</v>
      </c>
    </row>
    <row r="6" spans="1:4" s="18" customFormat="1" ht="16.5" customHeight="1">
      <c r="A6" s="30">
        <v>5</v>
      </c>
      <c r="B6" s="28" t="s">
        <v>553</v>
      </c>
      <c r="C6" s="28" t="s">
        <v>342</v>
      </c>
      <c r="D6" s="57" t="s">
        <v>1962</v>
      </c>
    </row>
    <row r="7" spans="1:4" s="18" customFormat="1" ht="16.5" customHeight="1">
      <c r="A7" s="30">
        <v>6</v>
      </c>
      <c r="B7" s="28" t="s">
        <v>554</v>
      </c>
      <c r="C7" s="28" t="s">
        <v>343</v>
      </c>
      <c r="D7" s="57" t="s">
        <v>1962</v>
      </c>
    </row>
    <row r="8" spans="1:4" s="18" customFormat="1" ht="16.5" customHeight="1">
      <c r="A8" s="30">
        <v>7</v>
      </c>
      <c r="B8" s="28" t="s">
        <v>555</v>
      </c>
      <c r="C8" s="28" t="s">
        <v>1963</v>
      </c>
      <c r="D8" s="57" t="s">
        <v>1962</v>
      </c>
    </row>
    <row r="9" spans="1:4" s="18" customFormat="1" ht="16.5" customHeight="1">
      <c r="A9" s="30">
        <v>8</v>
      </c>
      <c r="B9" s="28" t="s">
        <v>1964</v>
      </c>
      <c r="C9" s="28" t="s">
        <v>1965</v>
      </c>
      <c r="D9" s="57" t="s">
        <v>1966</v>
      </c>
    </row>
    <row r="10" spans="1:4" s="18" customFormat="1" ht="16.5" customHeight="1">
      <c r="A10" s="30">
        <v>9</v>
      </c>
      <c r="B10" s="28" t="s">
        <v>443</v>
      </c>
      <c r="C10" s="28" t="s">
        <v>1967</v>
      </c>
      <c r="D10" s="57" t="s">
        <v>1968</v>
      </c>
    </row>
    <row r="11" spans="1:4" s="18" customFormat="1" ht="16.5" customHeight="1">
      <c r="A11" s="30">
        <v>10</v>
      </c>
      <c r="B11" s="28" t="s">
        <v>14</v>
      </c>
      <c r="C11" s="28" t="s">
        <v>90</v>
      </c>
      <c r="D11" s="57" t="s">
        <v>2723</v>
      </c>
    </row>
    <row r="12" spans="1:4" s="18" customFormat="1" ht="16.5" customHeight="1">
      <c r="A12" s="30">
        <v>11</v>
      </c>
      <c r="B12" s="28" t="s">
        <v>369</v>
      </c>
      <c r="C12" s="28" t="s">
        <v>91</v>
      </c>
      <c r="D12" s="57" t="s">
        <v>614</v>
      </c>
    </row>
    <row r="13" spans="1:4" s="18" customFormat="1" ht="16.5" customHeight="1">
      <c r="A13" s="30">
        <v>12</v>
      </c>
      <c r="B13" s="28" t="s">
        <v>15</v>
      </c>
      <c r="C13" s="28" t="s">
        <v>92</v>
      </c>
      <c r="D13" s="57" t="s">
        <v>2723</v>
      </c>
    </row>
    <row r="14" spans="1:4" s="18" customFormat="1" ht="16.5" customHeight="1">
      <c r="A14" s="30">
        <v>13</v>
      </c>
      <c r="B14" s="28" t="s">
        <v>370</v>
      </c>
      <c r="C14" s="28" t="s">
        <v>93</v>
      </c>
      <c r="D14" s="57" t="s">
        <v>614</v>
      </c>
    </row>
    <row r="15" spans="1:4" s="18" customFormat="1" ht="16.5" customHeight="1">
      <c r="A15" s="30">
        <v>14</v>
      </c>
      <c r="B15" s="28" t="s">
        <v>442</v>
      </c>
      <c r="C15" s="28" t="s">
        <v>191</v>
      </c>
      <c r="D15" s="57" t="s">
        <v>1968</v>
      </c>
    </row>
    <row r="16" spans="1:4" s="18" customFormat="1" ht="16.5" customHeight="1">
      <c r="A16" s="30">
        <v>15</v>
      </c>
      <c r="B16" s="28" t="s">
        <v>1969</v>
      </c>
      <c r="C16" s="28" t="s">
        <v>1970</v>
      </c>
      <c r="D16" s="57" t="s">
        <v>611</v>
      </c>
    </row>
    <row r="17" spans="1:4" s="18" customFormat="1" ht="16.5" customHeight="1">
      <c r="A17" s="30">
        <v>16</v>
      </c>
      <c r="B17" s="28" t="s">
        <v>441</v>
      </c>
      <c r="C17" s="28" t="s">
        <v>189</v>
      </c>
      <c r="D17" s="57" t="s">
        <v>1968</v>
      </c>
    </row>
    <row r="18" spans="1:4" s="18" customFormat="1" ht="16.5" customHeight="1">
      <c r="A18" s="30">
        <v>17</v>
      </c>
      <c r="B18" s="28" t="s">
        <v>371</v>
      </c>
      <c r="C18" s="28" t="s">
        <v>1971</v>
      </c>
      <c r="D18" s="57" t="s">
        <v>605</v>
      </c>
    </row>
    <row r="19" spans="1:4" s="18" customFormat="1" ht="16.5" customHeight="1">
      <c r="A19" s="30">
        <v>18</v>
      </c>
      <c r="B19" s="28" t="s">
        <v>372</v>
      </c>
      <c r="C19" s="28" t="s">
        <v>1972</v>
      </c>
      <c r="D19" s="57" t="s">
        <v>605</v>
      </c>
    </row>
    <row r="20" spans="1:4" s="18" customFormat="1" ht="16.5" customHeight="1">
      <c r="A20" s="30">
        <v>19</v>
      </c>
      <c r="B20" s="28" t="s">
        <v>1973</v>
      </c>
      <c r="C20" s="28" t="s">
        <v>1974</v>
      </c>
      <c r="D20" s="57" t="s">
        <v>1966</v>
      </c>
    </row>
    <row r="21" spans="1:4" s="18" customFormat="1" ht="16.5" customHeight="1">
      <c r="A21" s="30">
        <v>20</v>
      </c>
      <c r="B21" s="28" t="s">
        <v>1975</v>
      </c>
      <c r="C21" s="28" t="s">
        <v>1976</v>
      </c>
      <c r="D21" s="57" t="s">
        <v>604</v>
      </c>
    </row>
    <row r="22" spans="1:4" s="18" customFormat="1" ht="16.5" customHeight="1">
      <c r="A22" s="30">
        <v>21</v>
      </c>
      <c r="B22" s="28" t="s">
        <v>1977</v>
      </c>
      <c r="C22" s="28" t="s">
        <v>1978</v>
      </c>
      <c r="D22" s="57" t="s">
        <v>612</v>
      </c>
    </row>
    <row r="23" spans="1:4" s="18" customFormat="1" ht="16.5" customHeight="1">
      <c r="A23" s="30">
        <v>22</v>
      </c>
      <c r="B23" s="28" t="s">
        <v>1979</v>
      </c>
      <c r="C23" s="28" t="s">
        <v>1980</v>
      </c>
      <c r="D23" s="57" t="s">
        <v>611</v>
      </c>
    </row>
    <row r="24" spans="1:4" s="18" customFormat="1" ht="16.5" customHeight="1">
      <c r="A24" s="30">
        <v>23</v>
      </c>
      <c r="B24" s="28" t="s">
        <v>1981</v>
      </c>
      <c r="C24" s="28" t="s">
        <v>1982</v>
      </c>
      <c r="D24" s="57" t="s">
        <v>605</v>
      </c>
    </row>
    <row r="25" spans="1:4" s="18" customFormat="1" ht="16.5" customHeight="1">
      <c r="A25" s="30">
        <v>24</v>
      </c>
      <c r="B25" s="28" t="s">
        <v>1983</v>
      </c>
      <c r="C25" s="28" t="s">
        <v>1984</v>
      </c>
      <c r="D25" s="57" t="s">
        <v>613</v>
      </c>
    </row>
    <row r="26" spans="1:4" s="18" customFormat="1" ht="16.5" customHeight="1">
      <c r="A26" s="30">
        <v>25</v>
      </c>
      <c r="B26" s="28" t="s">
        <v>1985</v>
      </c>
      <c r="C26" s="28" t="s">
        <v>1986</v>
      </c>
      <c r="D26" s="57" t="s">
        <v>2724</v>
      </c>
    </row>
    <row r="27" spans="1:4" s="18" customFormat="1" ht="16.5" customHeight="1">
      <c r="A27" s="30">
        <v>26</v>
      </c>
      <c r="B27" s="28" t="s">
        <v>1987</v>
      </c>
      <c r="C27" s="28" t="s">
        <v>1988</v>
      </c>
      <c r="D27" s="57" t="s">
        <v>2724</v>
      </c>
    </row>
    <row r="28" spans="1:4" s="18" customFormat="1" ht="16.5" customHeight="1">
      <c r="A28" s="30">
        <v>27</v>
      </c>
      <c r="B28" s="28" t="s">
        <v>1989</v>
      </c>
      <c r="C28" s="28" t="s">
        <v>1990</v>
      </c>
      <c r="D28" s="57" t="s">
        <v>613</v>
      </c>
    </row>
    <row r="29" spans="1:4" s="18" customFormat="1" ht="16.5" customHeight="1">
      <c r="A29" s="30">
        <v>28</v>
      </c>
      <c r="B29" s="28" t="s">
        <v>436</v>
      </c>
      <c r="C29" s="28" t="s">
        <v>182</v>
      </c>
      <c r="D29" s="57" t="s">
        <v>607</v>
      </c>
    </row>
    <row r="30" spans="1:4" s="18" customFormat="1" ht="16.5" customHeight="1">
      <c r="A30" s="30">
        <v>29</v>
      </c>
      <c r="B30" s="28" t="s">
        <v>437</v>
      </c>
      <c r="C30" s="28" t="s">
        <v>1991</v>
      </c>
      <c r="D30" s="57" t="s">
        <v>608</v>
      </c>
    </row>
    <row r="31" spans="1:4" s="18" customFormat="1" ht="16.5" customHeight="1">
      <c r="A31" s="30">
        <v>30</v>
      </c>
      <c r="B31" s="28" t="s">
        <v>79</v>
      </c>
      <c r="C31" s="28" t="s">
        <v>153</v>
      </c>
      <c r="D31" s="57" t="s">
        <v>1992</v>
      </c>
    </row>
    <row r="32" spans="1:4" s="18" customFormat="1" ht="16.5" customHeight="1">
      <c r="A32" s="30">
        <v>31</v>
      </c>
      <c r="B32" s="28" t="s">
        <v>438</v>
      </c>
      <c r="C32" s="28" t="s">
        <v>184</v>
      </c>
      <c r="D32" s="57" t="s">
        <v>614</v>
      </c>
    </row>
    <row r="33" spans="1:4" s="17" customFormat="1" ht="16.5" customHeight="1">
      <c r="A33" s="30">
        <v>32</v>
      </c>
      <c r="B33" s="28" t="s">
        <v>712</v>
      </c>
      <c r="C33" s="28" t="s">
        <v>825</v>
      </c>
      <c r="D33" s="57" t="s">
        <v>608</v>
      </c>
    </row>
    <row r="34" spans="1:4" s="18" customFormat="1" ht="16.5" customHeight="1">
      <c r="A34" s="30">
        <v>33</v>
      </c>
      <c r="B34" s="28" t="s">
        <v>1993</v>
      </c>
      <c r="C34" s="28" t="s">
        <v>1994</v>
      </c>
      <c r="D34" s="57" t="s">
        <v>1995</v>
      </c>
    </row>
    <row r="35" spans="1:4" s="18" customFormat="1" ht="16.5" customHeight="1">
      <c r="A35" s="30">
        <v>34</v>
      </c>
      <c r="B35" s="28" t="s">
        <v>428</v>
      </c>
      <c r="C35" s="28" t="s">
        <v>1996</v>
      </c>
      <c r="D35" s="57" t="s">
        <v>611</v>
      </c>
    </row>
    <row r="36" spans="1:4" s="17" customFormat="1" ht="16.5" customHeight="1">
      <c r="A36" s="30">
        <v>35</v>
      </c>
      <c r="B36" s="28" t="s">
        <v>429</v>
      </c>
      <c r="C36" s="28" t="s">
        <v>1997</v>
      </c>
      <c r="D36" s="57" t="s">
        <v>611</v>
      </c>
    </row>
    <row r="37" spans="1:4" s="18" customFormat="1" ht="16.5" customHeight="1">
      <c r="A37" s="30">
        <v>36</v>
      </c>
      <c r="B37" s="28" t="s">
        <v>1998</v>
      </c>
      <c r="C37" s="28" t="s">
        <v>1999</v>
      </c>
      <c r="D37" s="57" t="s">
        <v>1995</v>
      </c>
    </row>
    <row r="38" spans="1:4" s="18" customFormat="1" ht="16.5" customHeight="1">
      <c r="A38" s="30">
        <v>37</v>
      </c>
      <c r="B38" s="28" t="s">
        <v>426</v>
      </c>
      <c r="C38" s="28" t="s">
        <v>170</v>
      </c>
      <c r="D38" s="57" t="s">
        <v>1968</v>
      </c>
    </row>
    <row r="39" spans="1:4" s="18" customFormat="1" ht="16.5" customHeight="1">
      <c r="A39" s="30">
        <v>38</v>
      </c>
      <c r="B39" s="28" t="s">
        <v>84</v>
      </c>
      <c r="C39" s="28" t="s">
        <v>82</v>
      </c>
      <c r="D39" s="57" t="s">
        <v>611</v>
      </c>
    </row>
    <row r="40" spans="1:4" s="18" customFormat="1" ht="16.5" customHeight="1">
      <c r="A40" s="30">
        <v>39</v>
      </c>
      <c r="B40" s="28" t="s">
        <v>424</v>
      </c>
      <c r="C40" s="28" t="s">
        <v>167</v>
      </c>
      <c r="D40" s="57" t="s">
        <v>1968</v>
      </c>
    </row>
    <row r="41" spans="1:4" s="18" customFormat="1" ht="16.5" customHeight="1">
      <c r="A41" s="30">
        <v>40</v>
      </c>
      <c r="B41" s="28" t="s">
        <v>423</v>
      </c>
      <c r="C41" s="28" t="s">
        <v>2000</v>
      </c>
      <c r="D41" s="57" t="s">
        <v>1968</v>
      </c>
    </row>
    <row r="42" spans="1:4" s="18" customFormat="1" ht="16.5" customHeight="1">
      <c r="A42" s="30">
        <v>41</v>
      </c>
      <c r="B42" s="28" t="s">
        <v>580</v>
      </c>
      <c r="C42" s="28" t="s">
        <v>2511</v>
      </c>
      <c r="D42" s="57" t="s">
        <v>614</v>
      </c>
    </row>
    <row r="43" spans="1:4" s="17" customFormat="1" ht="16.5" customHeight="1">
      <c r="A43" s="30">
        <v>42</v>
      </c>
      <c r="B43" s="28" t="s">
        <v>507</v>
      </c>
      <c r="C43" s="28" t="s">
        <v>2567</v>
      </c>
      <c r="D43" s="57" t="s">
        <v>1968</v>
      </c>
    </row>
    <row r="44" spans="1:4" s="17" customFormat="1" ht="16.5" customHeight="1">
      <c r="A44" s="30">
        <v>43</v>
      </c>
      <c r="B44" s="28" t="s">
        <v>581</v>
      </c>
      <c r="C44" s="28" t="s">
        <v>2570</v>
      </c>
      <c r="D44" s="57" t="s">
        <v>1968</v>
      </c>
    </row>
    <row r="45" spans="1:4" s="18" customFormat="1" ht="16.5" customHeight="1">
      <c r="A45" s="30">
        <v>44</v>
      </c>
      <c r="B45" s="28" t="s">
        <v>582</v>
      </c>
      <c r="C45" s="28" t="s">
        <v>2571</v>
      </c>
      <c r="D45" s="57" t="s">
        <v>604</v>
      </c>
    </row>
    <row r="46" spans="1:4" s="18" customFormat="1" ht="16.5" customHeight="1">
      <c r="A46" s="30">
        <v>45</v>
      </c>
      <c r="B46" s="28" t="s">
        <v>714</v>
      </c>
      <c r="C46" s="28" t="s">
        <v>2572</v>
      </c>
      <c r="D46" s="57" t="s">
        <v>604</v>
      </c>
    </row>
    <row r="47" spans="1:4" s="18" customFormat="1" ht="16.5" customHeight="1">
      <c r="A47" s="30">
        <v>46</v>
      </c>
      <c r="B47" s="28" t="s">
        <v>508</v>
      </c>
      <c r="C47" s="28" t="s">
        <v>2573</v>
      </c>
      <c r="D47" s="57" t="s">
        <v>604</v>
      </c>
    </row>
    <row r="48" spans="1:4" s="18" customFormat="1" ht="16.5" customHeight="1">
      <c r="A48" s="30">
        <v>47</v>
      </c>
      <c r="B48" s="28" t="s">
        <v>509</v>
      </c>
      <c r="C48" s="28" t="s">
        <v>2574</v>
      </c>
      <c r="D48" s="57" t="s">
        <v>604</v>
      </c>
    </row>
    <row r="49" spans="1:4" s="18" customFormat="1" ht="16.5" customHeight="1">
      <c r="A49" s="30">
        <v>48</v>
      </c>
      <c r="B49" s="28" t="s">
        <v>373</v>
      </c>
      <c r="C49" s="28" t="s">
        <v>2544</v>
      </c>
      <c r="D49" s="57" t="s">
        <v>1966</v>
      </c>
    </row>
    <row r="50" spans="1:4" s="18" customFormat="1" ht="16.5" customHeight="1">
      <c r="A50" s="30">
        <v>49</v>
      </c>
      <c r="B50" s="28" t="s">
        <v>558</v>
      </c>
      <c r="C50" s="28" t="s">
        <v>2566</v>
      </c>
      <c r="D50" s="57" t="s">
        <v>618</v>
      </c>
    </row>
    <row r="51" spans="1:4" s="18" customFormat="1" ht="16.5" customHeight="1">
      <c r="A51" s="30">
        <v>50</v>
      </c>
      <c r="B51" s="28" t="s">
        <v>559</v>
      </c>
      <c r="C51" s="28" t="s">
        <v>2568</v>
      </c>
      <c r="D51" s="57" t="s">
        <v>617</v>
      </c>
    </row>
    <row r="52" spans="1:4" s="17" customFormat="1" ht="16.5" customHeight="1">
      <c r="A52" s="30">
        <v>51</v>
      </c>
      <c r="B52" s="28" t="s">
        <v>511</v>
      </c>
      <c r="C52" s="28" t="s">
        <v>2560</v>
      </c>
      <c r="D52" s="57" t="s">
        <v>1968</v>
      </c>
    </row>
    <row r="53" spans="1:4" s="17" customFormat="1" ht="16.5" customHeight="1">
      <c r="A53" s="30">
        <v>52</v>
      </c>
      <c r="B53" s="28" t="s">
        <v>596</v>
      </c>
      <c r="C53" s="28" t="s">
        <v>2563</v>
      </c>
      <c r="D53" s="57" t="s">
        <v>1968</v>
      </c>
    </row>
    <row r="54" spans="1:4" s="18" customFormat="1" ht="16.5" customHeight="1">
      <c r="A54" s="30">
        <v>53</v>
      </c>
      <c r="B54" s="28" t="s">
        <v>512</v>
      </c>
      <c r="C54" s="28" t="s">
        <v>2564</v>
      </c>
      <c r="D54" s="57" t="s">
        <v>2001</v>
      </c>
    </row>
    <row r="55" spans="1:4" s="18" customFormat="1" ht="16.5" customHeight="1">
      <c r="A55" s="30">
        <v>54</v>
      </c>
      <c r="B55" s="28" t="s">
        <v>513</v>
      </c>
      <c r="C55" s="28" t="s">
        <v>2565</v>
      </c>
      <c r="D55" s="57" t="s">
        <v>2001</v>
      </c>
    </row>
    <row r="56" spans="1:4" s="18" customFormat="1" ht="16.5" customHeight="1">
      <c r="A56" s="30">
        <v>55</v>
      </c>
      <c r="B56" s="28" t="s">
        <v>562</v>
      </c>
      <c r="C56" s="28" t="s">
        <v>2559</v>
      </c>
      <c r="D56" s="57" t="s">
        <v>618</v>
      </c>
    </row>
    <row r="57" spans="1:4" s="18" customFormat="1" ht="16.5" customHeight="1">
      <c r="A57" s="30">
        <v>56</v>
      </c>
      <c r="B57" s="28" t="s">
        <v>563</v>
      </c>
      <c r="C57" s="28" t="s">
        <v>2561</v>
      </c>
      <c r="D57" s="57" t="s">
        <v>617</v>
      </c>
    </row>
    <row r="58" spans="1:4" s="18" customFormat="1" ht="16.5" customHeight="1">
      <c r="A58" s="30">
        <v>57</v>
      </c>
      <c r="B58" s="28" t="s">
        <v>716</v>
      </c>
      <c r="C58" s="28" t="s">
        <v>2002</v>
      </c>
      <c r="D58" s="57" t="s">
        <v>1995</v>
      </c>
    </row>
    <row r="59" spans="1:4" s="18" customFormat="1" ht="16.5" customHeight="1">
      <c r="A59" s="30">
        <v>58</v>
      </c>
      <c r="B59" s="28" t="s">
        <v>17</v>
      </c>
      <c r="C59" s="28" t="s">
        <v>246</v>
      </c>
      <c r="D59" s="57" t="s">
        <v>614</v>
      </c>
    </row>
    <row r="60" spans="1:4" s="17" customFormat="1" ht="16.5" customHeight="1">
      <c r="A60" s="30">
        <v>59</v>
      </c>
      <c r="B60" s="28" t="s">
        <v>501</v>
      </c>
      <c r="C60" s="28" t="s">
        <v>89</v>
      </c>
      <c r="D60" s="57" t="s">
        <v>614</v>
      </c>
    </row>
    <row r="61" spans="1:4" s="18" customFormat="1" ht="16.5" customHeight="1">
      <c r="A61" s="30">
        <v>60</v>
      </c>
      <c r="B61" s="28" t="s">
        <v>477</v>
      </c>
      <c r="C61" s="28" t="s">
        <v>2003</v>
      </c>
      <c r="D61" s="57" t="s">
        <v>612</v>
      </c>
    </row>
    <row r="62" spans="1:4" s="18" customFormat="1" ht="16.5" customHeight="1">
      <c r="A62" s="30">
        <v>61</v>
      </c>
      <c r="B62" s="28" t="s">
        <v>77</v>
      </c>
      <c r="C62" s="28" t="s">
        <v>252</v>
      </c>
      <c r="D62" s="57" t="s">
        <v>2724</v>
      </c>
    </row>
    <row r="63" spans="1:4" s="18" customFormat="1" ht="16.5" customHeight="1">
      <c r="A63" s="30">
        <v>62</v>
      </c>
      <c r="B63" s="28" t="s">
        <v>459</v>
      </c>
      <c r="C63" s="28" t="s">
        <v>2004</v>
      </c>
      <c r="D63" s="57" t="s">
        <v>614</v>
      </c>
    </row>
    <row r="64" spans="1:4" s="18" customFormat="1" ht="16.5" customHeight="1">
      <c r="A64" s="30">
        <v>63</v>
      </c>
      <c r="B64" s="28" t="s">
        <v>466</v>
      </c>
      <c r="C64" s="28" t="s">
        <v>2005</v>
      </c>
      <c r="D64" s="57" t="s">
        <v>614</v>
      </c>
    </row>
    <row r="65" spans="1:4" s="18" customFormat="1" ht="16.5" customHeight="1">
      <c r="A65" s="30">
        <v>64</v>
      </c>
      <c r="B65" s="28" t="s">
        <v>467</v>
      </c>
      <c r="C65" s="28" t="s">
        <v>2006</v>
      </c>
      <c r="D65" s="57" t="s">
        <v>2725</v>
      </c>
    </row>
    <row r="66" spans="1:4" s="18" customFormat="1" ht="16.5" customHeight="1">
      <c r="A66" s="30">
        <v>65</v>
      </c>
      <c r="B66" s="28" t="s">
        <v>468</v>
      </c>
      <c r="C66" s="28" t="s">
        <v>2529</v>
      </c>
      <c r="D66" s="57" t="s">
        <v>2724</v>
      </c>
    </row>
    <row r="67" spans="1:4" s="18" customFormat="1" ht="16.5" customHeight="1">
      <c r="A67" s="30">
        <v>66</v>
      </c>
      <c r="B67" s="28" t="s">
        <v>469</v>
      </c>
      <c r="C67" s="28" t="s">
        <v>2007</v>
      </c>
      <c r="D67" s="57" t="s">
        <v>2724</v>
      </c>
    </row>
    <row r="68" spans="1:4" s="17" customFormat="1" ht="16.5" customHeight="1">
      <c r="A68" s="30">
        <v>67</v>
      </c>
      <c r="B68" s="28" t="s">
        <v>470</v>
      </c>
      <c r="C68" s="28" t="s">
        <v>2008</v>
      </c>
      <c r="D68" s="57" t="s">
        <v>2724</v>
      </c>
    </row>
    <row r="69" spans="1:4" s="17" customFormat="1" ht="16.5" customHeight="1">
      <c r="A69" s="30">
        <v>68</v>
      </c>
      <c r="B69" s="28" t="s">
        <v>471</v>
      </c>
      <c r="C69" s="28" t="s">
        <v>2558</v>
      </c>
      <c r="D69" s="57" t="s">
        <v>2724</v>
      </c>
    </row>
    <row r="70" spans="1:4" s="17" customFormat="1" ht="16.5" customHeight="1">
      <c r="A70" s="30">
        <v>69</v>
      </c>
      <c r="B70" s="28" t="s">
        <v>472</v>
      </c>
      <c r="C70" s="28" t="s">
        <v>2009</v>
      </c>
      <c r="D70" s="57" t="s">
        <v>607</v>
      </c>
    </row>
    <row r="71" spans="1:4" s="17" customFormat="1" ht="16.5" customHeight="1">
      <c r="A71" s="30">
        <v>70</v>
      </c>
      <c r="B71" s="28" t="s">
        <v>473</v>
      </c>
      <c r="C71" s="28" t="s">
        <v>2010</v>
      </c>
      <c r="D71" s="57" t="s">
        <v>607</v>
      </c>
    </row>
    <row r="72" spans="1:4" s="17" customFormat="1" ht="16.5" customHeight="1">
      <c r="A72" s="30">
        <v>71</v>
      </c>
      <c r="B72" s="28" t="s">
        <v>474</v>
      </c>
      <c r="C72" s="28" t="s">
        <v>2011</v>
      </c>
      <c r="D72" s="57" t="s">
        <v>607</v>
      </c>
    </row>
    <row r="73" spans="1:4" s="17" customFormat="1" ht="16.5" customHeight="1">
      <c r="A73" s="30">
        <v>72</v>
      </c>
      <c r="B73" s="28" t="s">
        <v>2012</v>
      </c>
      <c r="C73" s="28" t="s">
        <v>2013</v>
      </c>
      <c r="D73" s="57" t="s">
        <v>613</v>
      </c>
    </row>
    <row r="74" spans="1:4" s="17" customFormat="1" ht="16.5" customHeight="1">
      <c r="A74" s="30">
        <v>73</v>
      </c>
      <c r="B74" s="28" t="s">
        <v>2014</v>
      </c>
      <c r="C74" s="28" t="s">
        <v>2015</v>
      </c>
      <c r="D74" s="57" t="s">
        <v>613</v>
      </c>
    </row>
    <row r="75" spans="1:4" s="18" customFormat="1" ht="16.5" customHeight="1">
      <c r="A75" s="30">
        <v>74</v>
      </c>
      <c r="B75" s="28" t="s">
        <v>476</v>
      </c>
      <c r="C75" s="28" t="s">
        <v>2016</v>
      </c>
      <c r="D75" s="57" t="s">
        <v>608</v>
      </c>
    </row>
    <row r="76" spans="1:4" s="17" customFormat="1" ht="16.5" customHeight="1">
      <c r="A76" s="30">
        <v>75</v>
      </c>
      <c r="B76" s="28" t="s">
        <v>724</v>
      </c>
      <c r="C76" s="28" t="s">
        <v>2017</v>
      </c>
      <c r="D76" s="57" t="s">
        <v>608</v>
      </c>
    </row>
    <row r="77" spans="1:4" s="17" customFormat="1" ht="16.5" customHeight="1">
      <c r="A77" s="30">
        <v>76</v>
      </c>
      <c r="B77" s="28" t="s">
        <v>465</v>
      </c>
      <c r="C77" s="28" t="s">
        <v>2018</v>
      </c>
      <c r="D77" s="57" t="s">
        <v>1995</v>
      </c>
    </row>
    <row r="78" spans="1:4" s="17" customFormat="1" ht="16.5" customHeight="1">
      <c r="A78" s="30">
        <v>77</v>
      </c>
      <c r="B78" s="28" t="s">
        <v>2019</v>
      </c>
      <c r="C78" s="28" t="s">
        <v>2020</v>
      </c>
      <c r="D78" s="57" t="s">
        <v>613</v>
      </c>
    </row>
    <row r="79" spans="1:4" s="17" customFormat="1" ht="16.5" customHeight="1">
      <c r="A79" s="30">
        <v>78</v>
      </c>
      <c r="B79" s="28" t="s">
        <v>510</v>
      </c>
      <c r="C79" s="28" t="s">
        <v>2552</v>
      </c>
      <c r="D79" s="57" t="s">
        <v>1968</v>
      </c>
    </row>
    <row r="80" spans="1:4" s="17" customFormat="1" ht="16.5" customHeight="1">
      <c r="A80" s="30">
        <v>79</v>
      </c>
      <c r="B80" s="28" t="s">
        <v>597</v>
      </c>
      <c r="C80" s="28" t="s">
        <v>2555</v>
      </c>
      <c r="D80" s="57" t="s">
        <v>1968</v>
      </c>
    </row>
    <row r="81" spans="1:4" s="17" customFormat="1" ht="16.5" customHeight="1">
      <c r="A81" s="30">
        <v>80</v>
      </c>
      <c r="B81" s="28" t="s">
        <v>460</v>
      </c>
      <c r="C81" s="28" t="s">
        <v>2021</v>
      </c>
      <c r="D81" s="57" t="s">
        <v>1968</v>
      </c>
    </row>
    <row r="82" spans="1:4" s="17" customFormat="1" ht="16.5" customHeight="1">
      <c r="A82" s="30">
        <v>81</v>
      </c>
      <c r="B82" s="28" t="s">
        <v>734</v>
      </c>
      <c r="C82" s="28" t="s">
        <v>2556</v>
      </c>
      <c r="D82" s="57" t="s">
        <v>605</v>
      </c>
    </row>
    <row r="83" spans="1:4" s="17" customFormat="1" ht="16.5" customHeight="1">
      <c r="A83" s="30">
        <v>82</v>
      </c>
      <c r="B83" s="28" t="s">
        <v>735</v>
      </c>
      <c r="C83" s="28" t="s">
        <v>2557</v>
      </c>
      <c r="D83" s="57" t="s">
        <v>605</v>
      </c>
    </row>
    <row r="84" spans="1:4" s="18" customFormat="1" ht="16.5" customHeight="1">
      <c r="A84" s="30">
        <v>83</v>
      </c>
      <c r="B84" s="28" t="s">
        <v>461</v>
      </c>
      <c r="C84" s="28" t="s">
        <v>219</v>
      </c>
      <c r="D84" s="57" t="s">
        <v>2022</v>
      </c>
    </row>
    <row r="85" spans="1:4" s="18" customFormat="1" ht="16.5" customHeight="1">
      <c r="A85" s="30">
        <v>84</v>
      </c>
      <c r="B85" s="28" t="s">
        <v>462</v>
      </c>
      <c r="C85" s="28" t="s">
        <v>220</v>
      </c>
      <c r="D85" s="57" t="s">
        <v>605</v>
      </c>
    </row>
    <row r="86" spans="1:4" s="17" customFormat="1" ht="16.5" customHeight="1">
      <c r="A86" s="30">
        <v>85</v>
      </c>
      <c r="B86" s="28" t="s">
        <v>463</v>
      </c>
      <c r="C86" s="28" t="s">
        <v>221</v>
      </c>
      <c r="D86" s="57" t="s">
        <v>605</v>
      </c>
    </row>
    <row r="87" spans="1:4" s="18" customFormat="1" ht="16.5" customHeight="1">
      <c r="A87" s="30">
        <v>86</v>
      </c>
      <c r="B87" s="28" t="s">
        <v>464</v>
      </c>
      <c r="C87" s="28" t="s">
        <v>222</v>
      </c>
      <c r="D87" s="57" t="s">
        <v>605</v>
      </c>
    </row>
    <row r="88" spans="1:4" s="18" customFormat="1" ht="16.5" customHeight="1">
      <c r="A88" s="30">
        <v>87</v>
      </c>
      <c r="B88" s="28" t="s">
        <v>1596</v>
      </c>
      <c r="C88" s="28" t="s">
        <v>2023</v>
      </c>
      <c r="D88" s="57" t="s">
        <v>617</v>
      </c>
    </row>
    <row r="89" spans="1:4" s="18" customFormat="1" ht="16.5" customHeight="1">
      <c r="A89" s="30">
        <v>88</v>
      </c>
      <c r="B89" s="28" t="s">
        <v>560</v>
      </c>
      <c r="C89" s="28" t="s">
        <v>2551</v>
      </c>
      <c r="D89" s="57" t="s">
        <v>618</v>
      </c>
    </row>
    <row r="90" spans="1:4" s="17" customFormat="1" ht="16.5" customHeight="1">
      <c r="A90" s="30">
        <v>89</v>
      </c>
      <c r="B90" s="28" t="s">
        <v>561</v>
      </c>
      <c r="C90" s="28" t="s">
        <v>2553</v>
      </c>
      <c r="D90" s="57" t="s">
        <v>617</v>
      </c>
    </row>
    <row r="91" spans="1:4" s="18" customFormat="1" ht="16.5" customHeight="1">
      <c r="A91" s="30">
        <v>90</v>
      </c>
      <c r="B91" s="28" t="s">
        <v>741</v>
      </c>
      <c r="C91" s="28" t="s">
        <v>2024</v>
      </c>
      <c r="D91" s="57" t="s">
        <v>1995</v>
      </c>
    </row>
    <row r="92" spans="1:4" s="18" customFormat="1" ht="16.5" customHeight="1">
      <c r="A92" s="30">
        <v>91</v>
      </c>
      <c r="B92" s="28" t="s">
        <v>566</v>
      </c>
      <c r="C92" s="28" t="s">
        <v>364</v>
      </c>
      <c r="D92" s="57" t="s">
        <v>614</v>
      </c>
    </row>
    <row r="93" spans="1:4" s="18" customFormat="1" ht="16.5" customHeight="1">
      <c r="A93" s="30">
        <v>92</v>
      </c>
      <c r="B93" s="28" t="s">
        <v>567</v>
      </c>
      <c r="C93" s="28" t="s">
        <v>2025</v>
      </c>
      <c r="D93" s="57" t="s">
        <v>2026</v>
      </c>
    </row>
    <row r="94" spans="1:4" s="18" customFormat="1" ht="16.5" customHeight="1">
      <c r="A94" s="30">
        <v>93</v>
      </c>
      <c r="B94" s="28" t="s">
        <v>2027</v>
      </c>
      <c r="C94" s="28" t="s">
        <v>2028</v>
      </c>
      <c r="D94" s="57" t="s">
        <v>2029</v>
      </c>
    </row>
    <row r="95" spans="1:4" s="18" customFormat="1" ht="16.5" customHeight="1">
      <c r="A95" s="30">
        <v>94</v>
      </c>
      <c r="B95" s="28" t="s">
        <v>2030</v>
      </c>
      <c r="C95" s="28" t="s">
        <v>367</v>
      </c>
      <c r="D95" s="57" t="s">
        <v>2031</v>
      </c>
    </row>
    <row r="96" spans="1:4" s="18" customFormat="1" ht="16.5" customHeight="1">
      <c r="A96" s="30">
        <v>95</v>
      </c>
      <c r="B96" s="28" t="s">
        <v>569</v>
      </c>
      <c r="C96" s="28" t="s">
        <v>368</v>
      </c>
      <c r="D96" s="57" t="s">
        <v>608</v>
      </c>
    </row>
    <row r="97" spans="1:4" s="18" customFormat="1" ht="16.5" customHeight="1">
      <c r="A97" s="30">
        <v>96</v>
      </c>
      <c r="B97" s="28" t="s">
        <v>1542</v>
      </c>
      <c r="C97" s="28" t="s">
        <v>833</v>
      </c>
      <c r="D97" s="57" t="s">
        <v>1966</v>
      </c>
    </row>
    <row r="98" spans="1:4" s="18" customFormat="1" ht="16.5" customHeight="1">
      <c r="A98" s="30">
        <v>97</v>
      </c>
      <c r="B98" s="28" t="s">
        <v>2032</v>
      </c>
      <c r="C98" s="28" t="s">
        <v>639</v>
      </c>
      <c r="D98" s="57" t="s">
        <v>2026</v>
      </c>
    </row>
    <row r="99" spans="1:4" s="18" customFormat="1" ht="16.5" customHeight="1">
      <c r="A99" s="30">
        <v>98</v>
      </c>
      <c r="B99" s="28" t="s">
        <v>745</v>
      </c>
      <c r="C99" s="28" t="s">
        <v>2033</v>
      </c>
      <c r="D99" s="57" t="s">
        <v>1992</v>
      </c>
    </row>
    <row r="100" spans="1:4" s="18" customFormat="1" ht="16.5" customHeight="1">
      <c r="A100" s="30">
        <v>99</v>
      </c>
      <c r="B100" s="28" t="s">
        <v>1543</v>
      </c>
      <c r="C100" s="28" t="s">
        <v>834</v>
      </c>
      <c r="D100" s="57" t="s">
        <v>2264</v>
      </c>
    </row>
    <row r="101" spans="1:4" s="18" customFormat="1" ht="16.5" customHeight="1">
      <c r="A101" s="30">
        <v>100</v>
      </c>
      <c r="B101" s="28" t="s">
        <v>747</v>
      </c>
      <c r="C101" s="28" t="s">
        <v>835</v>
      </c>
      <c r="D101" s="57" t="s">
        <v>605</v>
      </c>
    </row>
    <row r="102" spans="1:4" s="12" customFormat="1" ht="16.5" customHeight="1">
      <c r="A102" s="30">
        <v>101</v>
      </c>
      <c r="B102" s="28" t="s">
        <v>458</v>
      </c>
      <c r="C102" s="28" t="s">
        <v>2034</v>
      </c>
      <c r="D102" s="57" t="s">
        <v>1995</v>
      </c>
    </row>
    <row r="103" spans="1:4" s="12" customFormat="1" ht="16.5" customHeight="1">
      <c r="A103" s="30">
        <v>102</v>
      </c>
      <c r="B103" s="28" t="s">
        <v>451</v>
      </c>
      <c r="C103" s="28" t="s">
        <v>202</v>
      </c>
      <c r="D103" s="57" t="s">
        <v>614</v>
      </c>
    </row>
    <row r="104" spans="1:4" s="12" customFormat="1" ht="16.5" customHeight="1">
      <c r="A104" s="30">
        <v>103</v>
      </c>
      <c r="B104" s="28" t="s">
        <v>749</v>
      </c>
      <c r="C104" s="28" t="s">
        <v>2035</v>
      </c>
      <c r="D104" s="57" t="s">
        <v>2725</v>
      </c>
    </row>
    <row r="105" spans="1:4" s="12" customFormat="1" ht="16.5" customHeight="1">
      <c r="A105" s="30">
        <v>104</v>
      </c>
      <c r="B105" s="28" t="s">
        <v>457</v>
      </c>
      <c r="C105" s="28" t="s">
        <v>2036</v>
      </c>
      <c r="D105" s="57" t="s">
        <v>1995</v>
      </c>
    </row>
    <row r="106" spans="1:4" s="12" customFormat="1" ht="16.5" customHeight="1">
      <c r="A106" s="30">
        <v>105</v>
      </c>
      <c r="B106" s="28" t="s">
        <v>479</v>
      </c>
      <c r="C106" s="28" t="s">
        <v>2037</v>
      </c>
      <c r="D106" s="57" t="s">
        <v>2725</v>
      </c>
    </row>
    <row r="107" spans="1:4" s="12" customFormat="1" ht="16.5" customHeight="1">
      <c r="A107" s="30">
        <v>106</v>
      </c>
      <c r="B107" s="28" t="s">
        <v>2038</v>
      </c>
      <c r="C107" s="28" t="s">
        <v>2550</v>
      </c>
      <c r="D107" s="57" t="s">
        <v>1995</v>
      </c>
    </row>
    <row r="108" spans="1:4" s="12" customFormat="1" ht="16.5" customHeight="1">
      <c r="A108" s="30">
        <v>107</v>
      </c>
      <c r="B108" s="28" t="s">
        <v>2039</v>
      </c>
      <c r="C108" s="28" t="s">
        <v>2547</v>
      </c>
      <c r="D108" s="57" t="s">
        <v>606</v>
      </c>
    </row>
    <row r="109" spans="1:4" s="12" customFormat="1" ht="16.5" customHeight="1">
      <c r="A109" s="30">
        <v>108</v>
      </c>
      <c r="B109" s="28" t="s">
        <v>2040</v>
      </c>
      <c r="C109" s="28" t="s">
        <v>2041</v>
      </c>
      <c r="D109" s="57" t="s">
        <v>605</v>
      </c>
    </row>
    <row r="110" spans="1:4" s="12" customFormat="1" ht="16.5" customHeight="1">
      <c r="A110" s="30">
        <v>109</v>
      </c>
      <c r="B110" s="28" t="s">
        <v>2042</v>
      </c>
      <c r="C110" s="28" t="s">
        <v>2548</v>
      </c>
      <c r="D110" s="57" t="s">
        <v>611</v>
      </c>
    </row>
    <row r="111" spans="1:4" s="12" customFormat="1" ht="16.5" customHeight="1">
      <c r="A111" s="30">
        <v>110</v>
      </c>
      <c r="B111" s="28" t="s">
        <v>2043</v>
      </c>
      <c r="C111" s="28" t="s">
        <v>2524</v>
      </c>
      <c r="D111" s="57" t="s">
        <v>2725</v>
      </c>
    </row>
    <row r="112" spans="1:4" s="12" customFormat="1" ht="16.5" customHeight="1">
      <c r="A112" s="30">
        <v>111</v>
      </c>
      <c r="B112" s="28" t="s">
        <v>2044</v>
      </c>
      <c r="C112" s="28" t="s">
        <v>2527</v>
      </c>
      <c r="D112" s="57" t="s">
        <v>613</v>
      </c>
    </row>
    <row r="113" spans="1:4" s="12" customFormat="1" ht="16.5" customHeight="1">
      <c r="A113" s="30">
        <v>112</v>
      </c>
      <c r="B113" s="28" t="s">
        <v>2045</v>
      </c>
      <c r="C113" s="28" t="s">
        <v>2533</v>
      </c>
      <c r="D113" s="57" t="s">
        <v>608</v>
      </c>
    </row>
    <row r="114" spans="1:4" s="12" customFormat="1" ht="16.5" customHeight="1">
      <c r="A114" s="30">
        <v>113</v>
      </c>
      <c r="B114" s="28" t="s">
        <v>2046</v>
      </c>
      <c r="C114" s="28" t="s">
        <v>2549</v>
      </c>
      <c r="D114" s="57" t="s">
        <v>608</v>
      </c>
    </row>
    <row r="115" spans="1:4" s="12" customFormat="1" ht="16.5" customHeight="1">
      <c r="A115" s="30">
        <v>114</v>
      </c>
      <c r="B115" s="28" t="s">
        <v>2047</v>
      </c>
      <c r="C115" s="28" t="s">
        <v>2525</v>
      </c>
      <c r="D115" s="57" t="s">
        <v>2724</v>
      </c>
    </row>
    <row r="116" spans="1:4" s="12" customFormat="1" ht="16.5" customHeight="1">
      <c r="A116" s="30">
        <v>115</v>
      </c>
      <c r="B116" s="28" t="s">
        <v>2048</v>
      </c>
      <c r="C116" s="28" t="s">
        <v>2546</v>
      </c>
      <c r="D116" s="57" t="s">
        <v>2724</v>
      </c>
    </row>
    <row r="117" spans="1:4" s="12" customFormat="1" ht="16.5" customHeight="1">
      <c r="A117" s="30">
        <v>116</v>
      </c>
      <c r="B117" s="28" t="s">
        <v>2049</v>
      </c>
      <c r="C117" s="28" t="s">
        <v>2545</v>
      </c>
      <c r="D117" s="57" t="s">
        <v>1995</v>
      </c>
    </row>
    <row r="118" spans="1:4" s="12" customFormat="1" ht="16.5" customHeight="1">
      <c r="A118" s="30">
        <v>117</v>
      </c>
      <c r="B118" s="28" t="s">
        <v>1609</v>
      </c>
      <c r="C118" s="28" t="s">
        <v>842</v>
      </c>
      <c r="D118" s="57" t="s">
        <v>2724</v>
      </c>
    </row>
    <row r="119" spans="1:4" s="12" customFormat="1" ht="16.5" customHeight="1">
      <c r="A119" s="30">
        <v>118</v>
      </c>
      <c r="B119" s="28" t="s">
        <v>502</v>
      </c>
      <c r="C119" s="28" t="s">
        <v>2536</v>
      </c>
      <c r="D119" s="57" t="s">
        <v>1968</v>
      </c>
    </row>
    <row r="120" spans="1:4" s="12" customFormat="1" ht="16.5" customHeight="1">
      <c r="A120" s="30">
        <v>119</v>
      </c>
      <c r="B120" s="28" t="s">
        <v>594</v>
      </c>
      <c r="C120" s="28" t="s">
        <v>2539</v>
      </c>
      <c r="D120" s="57" t="s">
        <v>1968</v>
      </c>
    </row>
    <row r="121" spans="1:4" s="12" customFormat="1" ht="16.5" customHeight="1">
      <c r="A121" s="30">
        <v>120</v>
      </c>
      <c r="B121" s="28" t="s">
        <v>503</v>
      </c>
      <c r="C121" s="28" t="s">
        <v>2540</v>
      </c>
      <c r="D121" s="57" t="s">
        <v>612</v>
      </c>
    </row>
    <row r="122" spans="1:4" s="12" customFormat="1" ht="16.5" customHeight="1">
      <c r="A122" s="30">
        <v>121</v>
      </c>
      <c r="B122" s="28" t="s">
        <v>504</v>
      </c>
      <c r="C122" s="28" t="s">
        <v>2541</v>
      </c>
      <c r="D122" s="57" t="s">
        <v>612</v>
      </c>
    </row>
    <row r="123" spans="1:4" s="12" customFormat="1" ht="16.5" customHeight="1">
      <c r="A123" s="30">
        <v>122</v>
      </c>
      <c r="B123" s="28" t="s">
        <v>505</v>
      </c>
      <c r="C123" s="28" t="s">
        <v>2542</v>
      </c>
      <c r="D123" s="57" t="s">
        <v>605</v>
      </c>
    </row>
    <row r="124" spans="1:4" s="12" customFormat="1" ht="16.5" customHeight="1">
      <c r="A124" s="30">
        <v>123</v>
      </c>
      <c r="B124" s="28" t="s">
        <v>506</v>
      </c>
      <c r="C124" s="28" t="s">
        <v>2543</v>
      </c>
      <c r="D124" s="57" t="s">
        <v>605</v>
      </c>
    </row>
    <row r="125" spans="1:4" s="12" customFormat="1" ht="16.5" customHeight="1">
      <c r="A125" s="30">
        <v>124</v>
      </c>
      <c r="B125" s="28" t="s">
        <v>556</v>
      </c>
      <c r="C125" s="28" t="s">
        <v>2535</v>
      </c>
      <c r="D125" s="57" t="s">
        <v>618</v>
      </c>
    </row>
    <row r="126" spans="1:4" s="12" customFormat="1" ht="16.5" customHeight="1">
      <c r="A126" s="30">
        <v>125</v>
      </c>
      <c r="B126" s="28" t="s">
        <v>557</v>
      </c>
      <c r="C126" s="28" t="s">
        <v>2537</v>
      </c>
      <c r="D126" s="57" t="s">
        <v>617</v>
      </c>
    </row>
    <row r="127" spans="1:4" s="12" customFormat="1" ht="16.5" customHeight="1">
      <c r="A127" s="30">
        <v>126</v>
      </c>
      <c r="B127" s="28" t="s">
        <v>413</v>
      </c>
      <c r="C127" s="28" t="s">
        <v>151</v>
      </c>
      <c r="D127" s="57" t="s">
        <v>1966</v>
      </c>
    </row>
    <row r="128" spans="1:4" s="12" customFormat="1" ht="16.5" customHeight="1">
      <c r="A128" s="30">
        <v>127</v>
      </c>
      <c r="B128" s="28" t="s">
        <v>2050</v>
      </c>
      <c r="C128" s="28" t="s">
        <v>843</v>
      </c>
      <c r="D128" s="57" t="s">
        <v>606</v>
      </c>
    </row>
    <row r="129" spans="1:4" s="12" customFormat="1" ht="16.5" customHeight="1">
      <c r="A129" s="30">
        <v>128</v>
      </c>
      <c r="B129" s="28" t="s">
        <v>2051</v>
      </c>
      <c r="C129" s="28" t="s">
        <v>2532</v>
      </c>
      <c r="D129" s="57" t="s">
        <v>2724</v>
      </c>
    </row>
    <row r="130" spans="1:4" s="12" customFormat="1" ht="16.5" customHeight="1">
      <c r="A130" s="30">
        <v>129</v>
      </c>
      <c r="B130" s="28" t="s">
        <v>2052</v>
      </c>
      <c r="C130" s="28" t="s">
        <v>2534</v>
      </c>
      <c r="D130" s="57" t="s">
        <v>608</v>
      </c>
    </row>
    <row r="131" spans="1:4" s="12" customFormat="1" ht="16.5" customHeight="1">
      <c r="A131" s="30">
        <v>130</v>
      </c>
      <c r="B131" s="28" t="s">
        <v>757</v>
      </c>
      <c r="C131" s="28" t="s">
        <v>845</v>
      </c>
      <c r="D131" s="57" t="s">
        <v>608</v>
      </c>
    </row>
    <row r="132" spans="1:4" s="12" customFormat="1" ht="16.5" customHeight="1">
      <c r="A132" s="30">
        <v>131</v>
      </c>
      <c r="B132" s="28" t="s">
        <v>2053</v>
      </c>
      <c r="C132" s="28" t="s">
        <v>2531</v>
      </c>
      <c r="D132" s="57" t="s">
        <v>1995</v>
      </c>
    </row>
    <row r="133" spans="1:4" s="12" customFormat="1" ht="16.5" customHeight="1">
      <c r="A133" s="30">
        <v>132</v>
      </c>
      <c r="B133" s="28" t="s">
        <v>2054</v>
      </c>
      <c r="C133" s="28" t="s">
        <v>2530</v>
      </c>
      <c r="D133" s="57" t="s">
        <v>1995</v>
      </c>
    </row>
    <row r="134" spans="1:4" s="12" customFormat="1" ht="16.5" customHeight="1">
      <c r="A134" s="30">
        <v>133</v>
      </c>
      <c r="B134" s="28" t="s">
        <v>514</v>
      </c>
      <c r="C134" s="28" t="s">
        <v>2517</v>
      </c>
      <c r="D134" s="57" t="s">
        <v>1968</v>
      </c>
    </row>
    <row r="135" spans="1:4" s="12" customFormat="1" ht="16.5" customHeight="1">
      <c r="A135" s="30">
        <v>134</v>
      </c>
      <c r="B135" s="28" t="s">
        <v>595</v>
      </c>
      <c r="C135" s="28" t="s">
        <v>2520</v>
      </c>
      <c r="D135" s="57" t="s">
        <v>1968</v>
      </c>
    </row>
    <row r="136" spans="1:4" s="12" customFormat="1" ht="16.5" customHeight="1">
      <c r="A136" s="30">
        <v>135</v>
      </c>
      <c r="B136" s="28" t="s">
        <v>515</v>
      </c>
      <c r="C136" s="28" t="s">
        <v>2521</v>
      </c>
      <c r="D136" s="57" t="s">
        <v>2001</v>
      </c>
    </row>
    <row r="137" spans="1:4" s="12" customFormat="1" ht="16.5" customHeight="1">
      <c r="A137" s="30">
        <v>136</v>
      </c>
      <c r="B137" s="28" t="s">
        <v>516</v>
      </c>
      <c r="C137" s="28" t="s">
        <v>2522</v>
      </c>
      <c r="D137" s="57" t="s">
        <v>2001</v>
      </c>
    </row>
    <row r="138" spans="1:4" s="12" customFormat="1" ht="16.5" customHeight="1">
      <c r="A138" s="30">
        <v>137</v>
      </c>
      <c r="B138" s="28" t="s">
        <v>564</v>
      </c>
      <c r="C138" s="28" t="s">
        <v>2516</v>
      </c>
      <c r="D138" s="57" t="s">
        <v>618</v>
      </c>
    </row>
    <row r="139" spans="1:4" s="12" customFormat="1" ht="16.5" customHeight="1">
      <c r="A139" s="30">
        <v>138</v>
      </c>
      <c r="B139" s="28" t="s">
        <v>565</v>
      </c>
      <c r="C139" s="28" t="s">
        <v>2518</v>
      </c>
      <c r="D139" s="57" t="s">
        <v>617</v>
      </c>
    </row>
    <row r="140" spans="1:4" s="12" customFormat="1" ht="16.5" customHeight="1">
      <c r="A140" s="30">
        <v>139</v>
      </c>
      <c r="B140" s="28" t="s">
        <v>759</v>
      </c>
      <c r="C140" s="28" t="s">
        <v>848</v>
      </c>
      <c r="D140" s="57" t="s">
        <v>1995</v>
      </c>
    </row>
    <row r="141" spans="1:4" s="12" customFormat="1" ht="16.5" customHeight="1">
      <c r="A141" s="30">
        <v>140</v>
      </c>
      <c r="B141" s="28" t="s">
        <v>380</v>
      </c>
      <c r="C141" s="28" t="s">
        <v>103</v>
      </c>
      <c r="D141" s="57" t="s">
        <v>606</v>
      </c>
    </row>
    <row r="142" spans="1:4" s="12" customFormat="1" ht="16.5" customHeight="1">
      <c r="A142" s="30">
        <v>141</v>
      </c>
      <c r="B142" s="28" t="s">
        <v>444</v>
      </c>
      <c r="C142" s="28" t="s">
        <v>2055</v>
      </c>
      <c r="D142" s="57" t="s">
        <v>615</v>
      </c>
    </row>
    <row r="143" spans="1:4" s="12" customFormat="1" ht="16.5" customHeight="1">
      <c r="A143" s="30">
        <v>142</v>
      </c>
      <c r="B143" s="28" t="s">
        <v>445</v>
      </c>
      <c r="C143" s="28" t="s">
        <v>2056</v>
      </c>
      <c r="D143" s="57" t="s">
        <v>616</v>
      </c>
    </row>
    <row r="144" spans="1:4" s="12" customFormat="1" ht="16.5" customHeight="1">
      <c r="A144" s="30">
        <v>143</v>
      </c>
      <c r="B144" s="28" t="s">
        <v>446</v>
      </c>
      <c r="C144" s="28" t="s">
        <v>2057</v>
      </c>
      <c r="D144" s="57" t="s">
        <v>615</v>
      </c>
    </row>
    <row r="145" spans="1:4" s="12" customFormat="1" ht="16.5" customHeight="1">
      <c r="A145" s="30">
        <v>144</v>
      </c>
      <c r="B145" s="28" t="s">
        <v>447</v>
      </c>
      <c r="C145" s="28" t="s">
        <v>2058</v>
      </c>
      <c r="D145" s="57" t="s">
        <v>616</v>
      </c>
    </row>
    <row r="146" spans="1:4" s="12" customFormat="1" ht="16.5" customHeight="1">
      <c r="A146" s="30">
        <v>145</v>
      </c>
      <c r="B146" s="28" t="s">
        <v>2059</v>
      </c>
      <c r="C146" s="28" t="s">
        <v>2060</v>
      </c>
      <c r="D146" s="57" t="s">
        <v>609</v>
      </c>
    </row>
    <row r="147" spans="1:4" s="12" customFormat="1" ht="16.5" customHeight="1">
      <c r="A147" s="30">
        <v>146</v>
      </c>
      <c r="B147" s="28" t="s">
        <v>2061</v>
      </c>
      <c r="C147" s="28" t="s">
        <v>2062</v>
      </c>
      <c r="D147" s="57" t="s">
        <v>609</v>
      </c>
    </row>
    <row r="148" spans="1:4" s="12" customFormat="1" ht="16.5" customHeight="1">
      <c r="A148" s="30">
        <v>147</v>
      </c>
      <c r="B148" s="28" t="s">
        <v>450</v>
      </c>
      <c r="C148" s="28" t="s">
        <v>201</v>
      </c>
      <c r="D148" s="57" t="s">
        <v>617</v>
      </c>
    </row>
    <row r="149" spans="1:4" s="12" customFormat="1" ht="16.5" customHeight="1">
      <c r="A149" s="30">
        <v>148</v>
      </c>
      <c r="B149" s="28" t="s">
        <v>2063</v>
      </c>
      <c r="C149" s="28" t="s">
        <v>2064</v>
      </c>
      <c r="D149" s="57" t="s">
        <v>1966</v>
      </c>
    </row>
    <row r="150" spans="1:4" s="12" customFormat="1" ht="16.5" customHeight="1">
      <c r="A150" s="30">
        <v>149</v>
      </c>
      <c r="B150" s="28" t="s">
        <v>420</v>
      </c>
      <c r="C150" s="28" t="s">
        <v>161</v>
      </c>
      <c r="D150" s="57" t="s">
        <v>2724</v>
      </c>
    </row>
    <row r="151" spans="1:4" s="12" customFormat="1" ht="16.5" customHeight="1">
      <c r="A151" s="30">
        <v>150</v>
      </c>
      <c r="B151" s="28" t="s">
        <v>421</v>
      </c>
      <c r="C151" s="28" t="s">
        <v>162</v>
      </c>
      <c r="D151" s="57" t="s">
        <v>608</v>
      </c>
    </row>
    <row r="152" spans="1:4" s="12" customFormat="1" ht="16.5" customHeight="1">
      <c r="A152" s="30">
        <v>151</v>
      </c>
      <c r="B152" s="28" t="s">
        <v>2065</v>
      </c>
      <c r="C152" s="28" t="s">
        <v>2066</v>
      </c>
      <c r="D152" s="57" t="s">
        <v>613</v>
      </c>
    </row>
    <row r="153" spans="1:4" s="12" customFormat="1" ht="16.5" customHeight="1">
      <c r="A153" s="30">
        <v>152</v>
      </c>
      <c r="B153" s="28" t="s">
        <v>1613</v>
      </c>
      <c r="C153" s="28" t="s">
        <v>137</v>
      </c>
      <c r="D153" s="57" t="s">
        <v>606</v>
      </c>
    </row>
    <row r="154" spans="1:4" s="12" customFormat="1" ht="16.5" customHeight="1">
      <c r="A154" s="30">
        <v>153</v>
      </c>
      <c r="B154" s="28" t="s">
        <v>414</v>
      </c>
      <c r="C154" s="28" t="s">
        <v>154</v>
      </c>
      <c r="D154" s="57" t="s">
        <v>608</v>
      </c>
    </row>
    <row r="155" spans="1:4" s="12" customFormat="1" ht="16.5" customHeight="1">
      <c r="A155" s="30">
        <v>154</v>
      </c>
      <c r="B155" s="28" t="s">
        <v>415</v>
      </c>
      <c r="C155" s="28" t="s">
        <v>2067</v>
      </c>
      <c r="D155" s="57" t="s">
        <v>611</v>
      </c>
    </row>
    <row r="156" spans="1:4" s="12" customFormat="1" ht="16.5" customHeight="1">
      <c r="A156" s="30">
        <v>155</v>
      </c>
      <c r="B156" s="28" t="s">
        <v>416</v>
      </c>
      <c r="C156" s="28" t="s">
        <v>156</v>
      </c>
      <c r="D156" s="57" t="s">
        <v>612</v>
      </c>
    </row>
    <row r="157" spans="1:4" s="12" customFormat="1" ht="16.5" customHeight="1">
      <c r="A157" s="30">
        <v>156</v>
      </c>
      <c r="B157" s="28" t="s">
        <v>417</v>
      </c>
      <c r="C157" s="28" t="s">
        <v>157</v>
      </c>
      <c r="D157" s="57" t="s">
        <v>2724</v>
      </c>
    </row>
    <row r="158" spans="1:4" s="12" customFormat="1" ht="16.5" customHeight="1">
      <c r="A158" s="30">
        <v>157</v>
      </c>
      <c r="B158" s="28" t="s">
        <v>418</v>
      </c>
      <c r="C158" s="28" t="s">
        <v>158</v>
      </c>
      <c r="D158" s="57" t="s">
        <v>2724</v>
      </c>
    </row>
    <row r="159" spans="1:4" s="12" customFormat="1" ht="16.5" customHeight="1">
      <c r="A159" s="30">
        <v>158</v>
      </c>
      <c r="B159" s="28" t="s">
        <v>406</v>
      </c>
      <c r="C159" s="28" t="s">
        <v>2068</v>
      </c>
      <c r="D159" s="57" t="s">
        <v>611</v>
      </c>
    </row>
    <row r="160" spans="1:4" s="12" customFormat="1" ht="16.5" customHeight="1">
      <c r="A160" s="30">
        <v>159</v>
      </c>
      <c r="B160" s="28" t="s">
        <v>2069</v>
      </c>
      <c r="C160" s="28" t="s">
        <v>2070</v>
      </c>
      <c r="D160" s="57" t="s">
        <v>613</v>
      </c>
    </row>
    <row r="161" spans="1:4" s="12" customFormat="1" ht="16.5" customHeight="1">
      <c r="A161" s="30">
        <v>160</v>
      </c>
      <c r="B161" s="28" t="s">
        <v>419</v>
      </c>
      <c r="C161" s="28" t="s">
        <v>2071</v>
      </c>
      <c r="D161" s="57" t="s">
        <v>608</v>
      </c>
    </row>
    <row r="162" spans="1:4" s="12" customFormat="1" ht="16.5" customHeight="1">
      <c r="A162" s="30">
        <v>161</v>
      </c>
      <c r="B162" s="28" t="s">
        <v>761</v>
      </c>
      <c r="C162" s="28" t="s">
        <v>849</v>
      </c>
      <c r="D162" s="57" t="s">
        <v>608</v>
      </c>
    </row>
    <row r="163" spans="1:4" s="12" customFormat="1" ht="16.5" customHeight="1">
      <c r="A163" s="30">
        <v>162</v>
      </c>
      <c r="B163" s="28" t="s">
        <v>762</v>
      </c>
      <c r="C163" s="28" t="s">
        <v>850</v>
      </c>
      <c r="D163" s="57" t="s">
        <v>1995</v>
      </c>
    </row>
    <row r="164" spans="1:4" s="12" customFormat="1" ht="16.5" customHeight="1">
      <c r="A164" s="30">
        <v>163</v>
      </c>
      <c r="B164" s="28" t="s">
        <v>764</v>
      </c>
      <c r="C164" s="28" t="s">
        <v>851</v>
      </c>
      <c r="D164" s="57" t="s">
        <v>1995</v>
      </c>
    </row>
    <row r="165" spans="1:4" s="12" customFormat="1" ht="16.5" customHeight="1">
      <c r="A165" s="30">
        <v>164</v>
      </c>
      <c r="B165" s="28" t="s">
        <v>2072</v>
      </c>
      <c r="C165" s="28" t="s">
        <v>852</v>
      </c>
      <c r="D165" s="57" t="s">
        <v>1992</v>
      </c>
    </row>
    <row r="166" spans="1:4" s="12" customFormat="1" ht="16.5" customHeight="1">
      <c r="A166" s="30">
        <v>165</v>
      </c>
      <c r="B166" s="28" t="s">
        <v>2073</v>
      </c>
      <c r="C166" s="28" t="s">
        <v>150</v>
      </c>
      <c r="D166" s="57" t="s">
        <v>2724</v>
      </c>
    </row>
    <row r="167" spans="1:4" s="12" customFormat="1" ht="16.5" customHeight="1">
      <c r="A167" s="30">
        <v>166</v>
      </c>
      <c r="B167" s="28" t="s">
        <v>2074</v>
      </c>
      <c r="C167" s="28" t="s">
        <v>145</v>
      </c>
      <c r="D167" s="57" t="s">
        <v>1995</v>
      </c>
    </row>
    <row r="168" spans="1:4" s="12" customFormat="1" ht="16.5" customHeight="1">
      <c r="A168" s="30">
        <v>167</v>
      </c>
      <c r="B168" s="28" t="s">
        <v>2075</v>
      </c>
      <c r="C168" s="28" t="s">
        <v>138</v>
      </c>
      <c r="D168" s="57" t="s">
        <v>1968</v>
      </c>
    </row>
    <row r="169" spans="1:4" s="12" customFormat="1" ht="16.5" customHeight="1">
      <c r="A169" s="30">
        <v>168</v>
      </c>
      <c r="B169" s="28" t="s">
        <v>2076</v>
      </c>
      <c r="C169" s="28" t="s">
        <v>146</v>
      </c>
      <c r="D169" s="57" t="s">
        <v>612</v>
      </c>
    </row>
    <row r="170" spans="1:4" s="12" customFormat="1" ht="16.5" customHeight="1">
      <c r="A170" s="30">
        <v>169</v>
      </c>
      <c r="B170" s="28" t="s">
        <v>2077</v>
      </c>
      <c r="C170" s="28" t="s">
        <v>2078</v>
      </c>
      <c r="D170" s="57" t="s">
        <v>2029</v>
      </c>
    </row>
    <row r="171" spans="1:4" s="12" customFormat="1" ht="16.5" customHeight="1">
      <c r="A171" s="30">
        <v>170</v>
      </c>
      <c r="B171" s="28" t="s">
        <v>767</v>
      </c>
      <c r="C171" s="28" t="s">
        <v>853</v>
      </c>
      <c r="D171" s="57" t="s">
        <v>611</v>
      </c>
    </row>
    <row r="172" spans="1:4" s="12" customFormat="1" ht="16.5" customHeight="1">
      <c r="A172" s="30">
        <v>171</v>
      </c>
      <c r="B172" s="28" t="s">
        <v>768</v>
      </c>
      <c r="C172" s="28" t="s">
        <v>854</v>
      </c>
      <c r="D172" s="57" t="s">
        <v>611</v>
      </c>
    </row>
    <row r="173" spans="1:4" s="12" customFormat="1" ht="16.5" customHeight="1">
      <c r="A173" s="30">
        <v>172</v>
      </c>
      <c r="B173" s="28" t="s">
        <v>2079</v>
      </c>
      <c r="C173" s="28" t="s">
        <v>2080</v>
      </c>
      <c r="D173" s="57" t="s">
        <v>2725</v>
      </c>
    </row>
    <row r="174" spans="1:4" s="12" customFormat="1" ht="16.5" customHeight="1">
      <c r="A174" s="30">
        <v>173</v>
      </c>
      <c r="B174" s="28" t="s">
        <v>2081</v>
      </c>
      <c r="C174" s="28" t="s">
        <v>2082</v>
      </c>
      <c r="D174" s="57" t="s">
        <v>613</v>
      </c>
    </row>
    <row r="175" spans="1:4" s="12" customFormat="1" ht="16.5" customHeight="1">
      <c r="A175" s="30">
        <v>174</v>
      </c>
      <c r="B175" s="28" t="s">
        <v>411</v>
      </c>
      <c r="C175" s="28" t="s">
        <v>2083</v>
      </c>
      <c r="D175" s="57" t="s">
        <v>611</v>
      </c>
    </row>
    <row r="176" spans="1:4" s="12" customFormat="1" ht="16.5" customHeight="1">
      <c r="A176" s="30">
        <v>175</v>
      </c>
      <c r="B176" s="28" t="s">
        <v>2084</v>
      </c>
      <c r="C176" s="28" t="s">
        <v>856</v>
      </c>
      <c r="D176" s="57" t="s">
        <v>1995</v>
      </c>
    </row>
    <row r="177" spans="1:4" s="12" customFormat="1" ht="16.5" customHeight="1">
      <c r="A177" s="30">
        <v>176</v>
      </c>
      <c r="B177" s="28" t="s">
        <v>402</v>
      </c>
      <c r="C177" s="28" t="s">
        <v>136</v>
      </c>
      <c r="D177" s="57" t="s">
        <v>1995</v>
      </c>
    </row>
    <row r="178" spans="1:4" s="12" customFormat="1" ht="16.5" customHeight="1">
      <c r="A178" s="30">
        <v>177</v>
      </c>
      <c r="B178" s="28" t="s">
        <v>404</v>
      </c>
      <c r="C178" s="28" t="s">
        <v>139</v>
      </c>
      <c r="D178" s="57" t="s">
        <v>612</v>
      </c>
    </row>
    <row r="179" spans="1:4" s="12" customFormat="1" ht="16.5" customHeight="1">
      <c r="A179" s="30">
        <v>178</v>
      </c>
      <c r="B179" s="28" t="s">
        <v>519</v>
      </c>
      <c r="C179" s="28" t="s">
        <v>2085</v>
      </c>
      <c r="D179" s="57" t="s">
        <v>614</v>
      </c>
    </row>
    <row r="180" spans="1:4" s="12" customFormat="1" ht="16.5" customHeight="1">
      <c r="A180" s="30">
        <v>179</v>
      </c>
      <c r="B180" s="28" t="s">
        <v>2086</v>
      </c>
      <c r="C180" s="28" t="s">
        <v>2087</v>
      </c>
      <c r="D180" s="57" t="s">
        <v>613</v>
      </c>
    </row>
    <row r="181" spans="1:4" s="12" customFormat="1" ht="16.5" customHeight="1">
      <c r="A181" s="30">
        <v>180</v>
      </c>
      <c r="B181" s="28" t="s">
        <v>521</v>
      </c>
      <c r="C181" s="28" t="s">
        <v>2088</v>
      </c>
      <c r="D181" s="57" t="s">
        <v>612</v>
      </c>
    </row>
    <row r="182" spans="1:4" s="12" customFormat="1" ht="16.5" customHeight="1">
      <c r="A182" s="30">
        <v>181</v>
      </c>
      <c r="B182" s="28" t="s">
        <v>2089</v>
      </c>
      <c r="C182" s="28" t="s">
        <v>2090</v>
      </c>
      <c r="D182" s="57" t="s">
        <v>605</v>
      </c>
    </row>
    <row r="183" spans="1:4" s="12" customFormat="1" ht="16.5" customHeight="1">
      <c r="A183" s="30">
        <v>182</v>
      </c>
      <c r="B183" s="28" t="s">
        <v>523</v>
      </c>
      <c r="C183" s="28" t="s">
        <v>2091</v>
      </c>
      <c r="D183" s="57" t="s">
        <v>2723</v>
      </c>
    </row>
    <row r="184" spans="1:4" s="12" customFormat="1" ht="16.5" customHeight="1">
      <c r="A184" s="30">
        <v>183</v>
      </c>
      <c r="B184" s="28" t="s">
        <v>527</v>
      </c>
      <c r="C184" s="28" t="s">
        <v>2092</v>
      </c>
      <c r="D184" s="57" t="s">
        <v>614</v>
      </c>
    </row>
    <row r="185" spans="1:4" s="12" customFormat="1" ht="16.5" customHeight="1">
      <c r="A185" s="30">
        <v>184</v>
      </c>
      <c r="B185" s="28" t="s">
        <v>524</v>
      </c>
      <c r="C185" s="28" t="s">
        <v>2093</v>
      </c>
      <c r="D185" s="57" t="s">
        <v>604</v>
      </c>
    </row>
    <row r="186" spans="1:4" s="12" customFormat="1" ht="16.5" customHeight="1">
      <c r="A186" s="30">
        <v>185</v>
      </c>
      <c r="B186" s="28" t="s">
        <v>525</v>
      </c>
      <c r="C186" s="28" t="s">
        <v>2094</v>
      </c>
      <c r="D186" s="57" t="s">
        <v>614</v>
      </c>
    </row>
    <row r="187" spans="1:4" s="12" customFormat="1" ht="16.5" customHeight="1">
      <c r="A187" s="30">
        <v>186</v>
      </c>
      <c r="B187" s="28" t="s">
        <v>526</v>
      </c>
      <c r="C187" s="28" t="s">
        <v>2095</v>
      </c>
      <c r="D187" s="57" t="s">
        <v>2723</v>
      </c>
    </row>
    <row r="188" spans="1:4" s="12" customFormat="1" ht="16.5" customHeight="1">
      <c r="A188" s="30">
        <v>187</v>
      </c>
      <c r="B188" s="28" t="s">
        <v>528</v>
      </c>
      <c r="C188" s="28" t="s">
        <v>2096</v>
      </c>
      <c r="D188" s="57" t="s">
        <v>2723</v>
      </c>
    </row>
    <row r="189" spans="1:4">
      <c r="A189" s="30">
        <v>188</v>
      </c>
      <c r="B189" s="28" t="s">
        <v>2097</v>
      </c>
      <c r="C189" s="28" t="s">
        <v>2098</v>
      </c>
      <c r="D189" s="57" t="s">
        <v>2031</v>
      </c>
    </row>
    <row r="190" spans="1:4">
      <c r="A190" s="30">
        <v>189</v>
      </c>
      <c r="B190" s="28" t="s">
        <v>529</v>
      </c>
      <c r="C190" s="28" t="s">
        <v>2099</v>
      </c>
      <c r="D190" s="57" t="s">
        <v>610</v>
      </c>
    </row>
    <row r="191" spans="1:4">
      <c r="A191" s="30">
        <v>190</v>
      </c>
      <c r="B191" s="28" t="s">
        <v>530</v>
      </c>
      <c r="C191" s="28" t="s">
        <v>2100</v>
      </c>
      <c r="D191" s="57" t="s">
        <v>605</v>
      </c>
    </row>
    <row r="192" spans="1:4">
      <c r="A192" s="30">
        <v>191</v>
      </c>
      <c r="B192" s="28" t="s">
        <v>773</v>
      </c>
      <c r="C192" s="28" t="s">
        <v>2101</v>
      </c>
      <c r="D192" s="57" t="s">
        <v>610</v>
      </c>
    </row>
    <row r="193" spans="1:4">
      <c r="A193" s="30">
        <v>192</v>
      </c>
      <c r="B193" s="28" t="s">
        <v>2102</v>
      </c>
      <c r="C193" s="28" t="s">
        <v>2103</v>
      </c>
      <c r="D193" s="57" t="s">
        <v>606</v>
      </c>
    </row>
    <row r="194" spans="1:4">
      <c r="A194" s="30">
        <v>193</v>
      </c>
      <c r="B194" s="28" t="s">
        <v>2104</v>
      </c>
      <c r="C194" s="28" t="s">
        <v>2105</v>
      </c>
      <c r="D194" s="57" t="s">
        <v>611</v>
      </c>
    </row>
    <row r="195" spans="1:4">
      <c r="A195" s="30">
        <v>194</v>
      </c>
      <c r="B195" s="28" t="s">
        <v>518</v>
      </c>
      <c r="C195" s="28" t="s">
        <v>295</v>
      </c>
      <c r="D195" s="57" t="s">
        <v>606</v>
      </c>
    </row>
    <row r="196" spans="1:4">
      <c r="A196" s="30">
        <v>195</v>
      </c>
      <c r="B196" s="28" t="s">
        <v>2106</v>
      </c>
      <c r="C196" s="28" t="s">
        <v>2107</v>
      </c>
      <c r="D196" s="57" t="s">
        <v>650</v>
      </c>
    </row>
    <row r="197" spans="1:4">
      <c r="A197" s="30">
        <v>196</v>
      </c>
      <c r="B197" s="28" t="s">
        <v>2108</v>
      </c>
      <c r="C197" s="28" t="s">
        <v>2109</v>
      </c>
      <c r="D197" s="57" t="s">
        <v>650</v>
      </c>
    </row>
    <row r="198" spans="1:4">
      <c r="A198" s="30">
        <v>197</v>
      </c>
      <c r="B198" s="28" t="s">
        <v>2110</v>
      </c>
      <c r="C198" s="28" t="s">
        <v>2111</v>
      </c>
      <c r="D198" s="57" t="s">
        <v>2723</v>
      </c>
    </row>
    <row r="199" spans="1:4">
      <c r="A199" s="30">
        <v>198</v>
      </c>
      <c r="B199" s="28" t="s">
        <v>535</v>
      </c>
      <c r="C199" s="28" t="s">
        <v>2112</v>
      </c>
      <c r="D199" s="57" t="s">
        <v>614</v>
      </c>
    </row>
    <row r="200" spans="1:4">
      <c r="A200" s="30">
        <v>199</v>
      </c>
      <c r="B200" s="28" t="s">
        <v>2113</v>
      </c>
      <c r="C200" s="28" t="s">
        <v>2114</v>
      </c>
      <c r="D200" s="57" t="s">
        <v>2031</v>
      </c>
    </row>
    <row r="201" spans="1:4">
      <c r="A201" s="30">
        <v>200</v>
      </c>
      <c r="B201" s="28" t="s">
        <v>2115</v>
      </c>
      <c r="C201" s="28" t="s">
        <v>2116</v>
      </c>
      <c r="D201" s="57" t="s">
        <v>2031</v>
      </c>
    </row>
    <row r="202" spans="1:4">
      <c r="A202" s="30">
        <v>201</v>
      </c>
      <c r="B202" s="28" t="s">
        <v>2117</v>
      </c>
      <c r="C202" s="28" t="s">
        <v>2118</v>
      </c>
      <c r="D202" s="57" t="s">
        <v>2031</v>
      </c>
    </row>
    <row r="203" spans="1:4">
      <c r="A203" s="30">
        <v>202</v>
      </c>
      <c r="B203" s="28" t="s">
        <v>536</v>
      </c>
      <c r="C203" s="28" t="s">
        <v>2119</v>
      </c>
      <c r="D203" s="57" t="s">
        <v>617</v>
      </c>
    </row>
    <row r="204" spans="1:4">
      <c r="A204" s="30">
        <v>203</v>
      </c>
      <c r="B204" s="28" t="s">
        <v>537</v>
      </c>
      <c r="C204" s="28" t="s">
        <v>2120</v>
      </c>
      <c r="D204" s="57" t="s">
        <v>608</v>
      </c>
    </row>
    <row r="205" spans="1:4">
      <c r="A205" s="30">
        <v>204</v>
      </c>
      <c r="B205" s="28" t="s">
        <v>538</v>
      </c>
      <c r="C205" s="28" t="s">
        <v>2121</v>
      </c>
      <c r="D205" s="57" t="s">
        <v>612</v>
      </c>
    </row>
    <row r="206" spans="1:4">
      <c r="A206" s="30">
        <v>205</v>
      </c>
      <c r="B206" s="28" t="s">
        <v>539</v>
      </c>
      <c r="C206" s="28" t="s">
        <v>2122</v>
      </c>
      <c r="D206" s="57" t="s">
        <v>605</v>
      </c>
    </row>
    <row r="207" spans="1:4">
      <c r="A207" s="30">
        <v>206</v>
      </c>
      <c r="B207" s="28" t="s">
        <v>540</v>
      </c>
      <c r="C207" s="28" t="s">
        <v>2123</v>
      </c>
      <c r="D207" s="57" t="s">
        <v>614</v>
      </c>
    </row>
    <row r="208" spans="1:4">
      <c r="A208" s="30">
        <v>207</v>
      </c>
      <c r="B208" s="28" t="s">
        <v>541</v>
      </c>
      <c r="C208" s="28" t="s">
        <v>2124</v>
      </c>
      <c r="D208" s="57" t="s">
        <v>2723</v>
      </c>
    </row>
    <row r="209" spans="1:4">
      <c r="A209" s="30">
        <v>208</v>
      </c>
      <c r="B209" s="28" t="s">
        <v>542</v>
      </c>
      <c r="C209" s="28" t="s">
        <v>2125</v>
      </c>
      <c r="D209" s="57" t="s">
        <v>2723</v>
      </c>
    </row>
    <row r="210" spans="1:4">
      <c r="A210" s="30">
        <v>209</v>
      </c>
      <c r="B210" s="28" t="s">
        <v>543</v>
      </c>
      <c r="C210" s="28" t="s">
        <v>2126</v>
      </c>
      <c r="D210" s="57" t="s">
        <v>614</v>
      </c>
    </row>
    <row r="211" spans="1:4">
      <c r="A211" s="30">
        <v>210</v>
      </c>
      <c r="B211" s="28" t="s">
        <v>544</v>
      </c>
      <c r="C211" s="28" t="s">
        <v>2127</v>
      </c>
      <c r="D211" s="57" t="s">
        <v>605</v>
      </c>
    </row>
    <row r="212" spans="1:4">
      <c r="A212" s="30">
        <v>211</v>
      </c>
      <c r="B212" s="28" t="s">
        <v>545</v>
      </c>
      <c r="C212" s="28" t="s">
        <v>2128</v>
      </c>
      <c r="D212" s="57" t="s">
        <v>614</v>
      </c>
    </row>
    <row r="213" spans="1:4">
      <c r="A213" s="30">
        <v>212</v>
      </c>
      <c r="B213" s="28" t="s">
        <v>546</v>
      </c>
      <c r="C213" s="28" t="s">
        <v>2129</v>
      </c>
      <c r="D213" s="57" t="s">
        <v>2723</v>
      </c>
    </row>
    <row r="214" spans="1:4">
      <c r="A214" s="30">
        <v>213</v>
      </c>
      <c r="B214" s="28" t="s">
        <v>547</v>
      </c>
      <c r="C214" s="28" t="s">
        <v>2130</v>
      </c>
      <c r="D214" s="57" t="s">
        <v>2723</v>
      </c>
    </row>
    <row r="215" spans="1:4">
      <c r="A215" s="30">
        <v>214</v>
      </c>
      <c r="B215" s="28" t="s">
        <v>548</v>
      </c>
      <c r="C215" s="28" t="s">
        <v>2131</v>
      </c>
      <c r="D215" s="57" t="s">
        <v>614</v>
      </c>
    </row>
    <row r="216" spans="1:4">
      <c r="A216" s="30">
        <v>215</v>
      </c>
      <c r="B216" s="28" t="s">
        <v>780</v>
      </c>
      <c r="C216" s="28" t="s">
        <v>2132</v>
      </c>
      <c r="D216" s="57" t="s">
        <v>608</v>
      </c>
    </row>
    <row r="217" spans="1:4">
      <c r="A217" s="30">
        <v>216</v>
      </c>
      <c r="B217" s="28" t="s">
        <v>2133</v>
      </c>
      <c r="C217" s="28" t="s">
        <v>247</v>
      </c>
      <c r="D217" s="57" t="s">
        <v>1992</v>
      </c>
    </row>
    <row r="218" spans="1:4">
      <c r="A218" s="30">
        <v>217</v>
      </c>
      <c r="B218" s="28" t="s">
        <v>2134</v>
      </c>
      <c r="C218" s="28" t="s">
        <v>248</v>
      </c>
      <c r="D218" s="57" t="s">
        <v>1992</v>
      </c>
    </row>
    <row r="219" spans="1:4">
      <c r="A219" s="30">
        <v>218</v>
      </c>
      <c r="B219" s="28" t="s">
        <v>2135</v>
      </c>
      <c r="C219" s="28" t="s">
        <v>249</v>
      </c>
      <c r="D219" s="57" t="s">
        <v>1992</v>
      </c>
    </row>
    <row r="220" spans="1:4">
      <c r="A220" s="30">
        <v>219</v>
      </c>
      <c r="B220" s="28" t="s">
        <v>483</v>
      </c>
      <c r="C220" s="28" t="s">
        <v>250</v>
      </c>
      <c r="D220" s="57" t="s">
        <v>2723</v>
      </c>
    </row>
    <row r="221" spans="1:4">
      <c r="A221" s="30">
        <v>220</v>
      </c>
      <c r="B221" s="28" t="s">
        <v>784</v>
      </c>
      <c r="C221" s="28" t="s">
        <v>859</v>
      </c>
      <c r="D221" s="57" t="s">
        <v>1966</v>
      </c>
    </row>
    <row r="222" spans="1:4">
      <c r="A222" s="30">
        <v>221</v>
      </c>
      <c r="B222" s="28" t="s">
        <v>785</v>
      </c>
      <c r="C222" s="28" t="s">
        <v>860</v>
      </c>
      <c r="D222" s="57" t="s">
        <v>2723</v>
      </c>
    </row>
    <row r="223" spans="1:4">
      <c r="A223" s="30">
        <v>222</v>
      </c>
      <c r="B223" s="28" t="s">
        <v>786</v>
      </c>
      <c r="C223" s="28" t="s">
        <v>861</v>
      </c>
      <c r="D223" s="57" t="s">
        <v>2723</v>
      </c>
    </row>
    <row r="224" spans="1:4">
      <c r="A224" s="30">
        <v>223</v>
      </c>
      <c r="B224" s="28" t="s">
        <v>484</v>
      </c>
      <c r="C224" s="28" t="s">
        <v>251</v>
      </c>
      <c r="D224" s="57" t="s">
        <v>1995</v>
      </c>
    </row>
    <row r="225" spans="1:4">
      <c r="A225" s="30">
        <v>224</v>
      </c>
      <c r="B225" s="28" t="s">
        <v>1597</v>
      </c>
      <c r="C225" s="28" t="s">
        <v>862</v>
      </c>
      <c r="D225" s="57" t="s">
        <v>614</v>
      </c>
    </row>
    <row r="226" spans="1:4">
      <c r="A226" s="30">
        <v>225</v>
      </c>
      <c r="B226" s="28" t="s">
        <v>2136</v>
      </c>
      <c r="C226" s="28" t="s">
        <v>2137</v>
      </c>
      <c r="D226" s="57" t="s">
        <v>2138</v>
      </c>
    </row>
    <row r="227" spans="1:4">
      <c r="A227" s="30">
        <v>226</v>
      </c>
      <c r="B227" s="28" t="s">
        <v>787</v>
      </c>
      <c r="C227" s="28" t="s">
        <v>864</v>
      </c>
      <c r="D227" s="57" t="s">
        <v>614</v>
      </c>
    </row>
    <row r="228" spans="1:4">
      <c r="A228" s="30">
        <v>227</v>
      </c>
      <c r="B228" s="28" t="s">
        <v>789</v>
      </c>
      <c r="C228" s="28" t="s">
        <v>2139</v>
      </c>
      <c r="D228" s="57" t="s">
        <v>1995</v>
      </c>
    </row>
    <row r="229" spans="1:4">
      <c r="A229" s="30">
        <v>228</v>
      </c>
      <c r="B229" s="28" t="s">
        <v>2140</v>
      </c>
      <c r="C229" s="28" t="s">
        <v>243</v>
      </c>
      <c r="D229" s="57" t="s">
        <v>1992</v>
      </c>
    </row>
    <row r="230" spans="1:4">
      <c r="A230" s="30">
        <v>229</v>
      </c>
      <c r="B230" s="28" t="s">
        <v>2141</v>
      </c>
      <c r="C230" s="28" t="s">
        <v>244</v>
      </c>
      <c r="D230" s="57" t="s">
        <v>1992</v>
      </c>
    </row>
    <row r="231" spans="1:4">
      <c r="A231" s="30">
        <v>230</v>
      </c>
      <c r="B231" s="28" t="s">
        <v>482</v>
      </c>
      <c r="C231" s="28" t="s">
        <v>245</v>
      </c>
      <c r="D231" s="57" t="s">
        <v>605</v>
      </c>
    </row>
    <row r="232" spans="1:4">
      <c r="A232" s="30">
        <v>231</v>
      </c>
      <c r="B232" s="28" t="s">
        <v>395</v>
      </c>
      <c r="C232" s="28" t="s">
        <v>2142</v>
      </c>
      <c r="D232" s="57" t="s">
        <v>610</v>
      </c>
    </row>
    <row r="233" spans="1:4">
      <c r="A233" s="30">
        <v>232</v>
      </c>
      <c r="B233" s="28" t="s">
        <v>396</v>
      </c>
      <c r="C233" s="28" t="s">
        <v>2143</v>
      </c>
      <c r="D233" s="57" t="s">
        <v>610</v>
      </c>
    </row>
    <row r="234" spans="1:4">
      <c r="A234" s="30">
        <v>233</v>
      </c>
      <c r="B234" s="28" t="s">
        <v>397</v>
      </c>
      <c r="C234" s="28" t="s">
        <v>131</v>
      </c>
      <c r="D234" s="57" t="s">
        <v>610</v>
      </c>
    </row>
    <row r="235" spans="1:4">
      <c r="A235" s="30">
        <v>234</v>
      </c>
      <c r="B235" s="28" t="s">
        <v>398</v>
      </c>
      <c r="C235" s="28" t="s">
        <v>132</v>
      </c>
      <c r="D235" s="57" t="s">
        <v>610</v>
      </c>
    </row>
    <row r="236" spans="1:4">
      <c r="A236" s="30">
        <v>235</v>
      </c>
      <c r="B236" s="28" t="s">
        <v>2144</v>
      </c>
      <c r="C236" s="28" t="s">
        <v>866</v>
      </c>
      <c r="D236" s="57" t="s">
        <v>610</v>
      </c>
    </row>
    <row r="237" spans="1:4">
      <c r="A237" s="30">
        <v>236</v>
      </c>
      <c r="B237" s="28" t="s">
        <v>401</v>
      </c>
      <c r="C237" s="28" t="s">
        <v>135</v>
      </c>
      <c r="D237" s="57" t="s">
        <v>610</v>
      </c>
    </row>
    <row r="238" spans="1:4">
      <c r="A238" s="30">
        <v>237</v>
      </c>
      <c r="B238" s="28" t="s">
        <v>2145</v>
      </c>
      <c r="C238" s="28" t="s">
        <v>2508</v>
      </c>
      <c r="D238" s="57" t="s">
        <v>610</v>
      </c>
    </row>
    <row r="239" spans="1:4">
      <c r="A239" s="30">
        <v>238</v>
      </c>
      <c r="B239" s="28" t="s">
        <v>400</v>
      </c>
      <c r="C239" s="28" t="s">
        <v>2146</v>
      </c>
      <c r="D239" s="57" t="s">
        <v>610</v>
      </c>
    </row>
    <row r="240" spans="1:4">
      <c r="A240" s="30">
        <v>239</v>
      </c>
      <c r="B240" s="28" t="s">
        <v>2147</v>
      </c>
      <c r="C240" s="28" t="s">
        <v>2509</v>
      </c>
      <c r="D240" s="57" t="s">
        <v>610</v>
      </c>
    </row>
    <row r="241" spans="1:4">
      <c r="A241" s="30">
        <v>240</v>
      </c>
      <c r="B241" s="28" t="s">
        <v>1615</v>
      </c>
      <c r="C241" s="28" t="s">
        <v>635</v>
      </c>
      <c r="D241" s="57" t="s">
        <v>614</v>
      </c>
    </row>
    <row r="242" spans="1:4">
      <c r="A242" s="30">
        <v>241</v>
      </c>
      <c r="B242" s="28" t="s">
        <v>2148</v>
      </c>
      <c r="C242" s="28" t="s">
        <v>636</v>
      </c>
      <c r="D242" s="57" t="s">
        <v>2031</v>
      </c>
    </row>
    <row r="243" spans="1:4">
      <c r="A243" s="30">
        <v>242</v>
      </c>
      <c r="B243" s="28" t="s">
        <v>2149</v>
      </c>
      <c r="C243" s="28" t="s">
        <v>2150</v>
      </c>
      <c r="D243" s="57" t="s">
        <v>1968</v>
      </c>
    </row>
    <row r="244" spans="1:4">
      <c r="A244" s="30">
        <v>243</v>
      </c>
      <c r="B244" s="28" t="s">
        <v>1619</v>
      </c>
      <c r="C244" s="28" t="s">
        <v>2151</v>
      </c>
      <c r="D244" s="57" t="s">
        <v>605</v>
      </c>
    </row>
    <row r="245" spans="1:4">
      <c r="A245" s="30">
        <v>244</v>
      </c>
      <c r="B245" s="28" t="s">
        <v>1620</v>
      </c>
      <c r="C245" s="28" t="s">
        <v>640</v>
      </c>
      <c r="D245" s="57" t="s">
        <v>612</v>
      </c>
    </row>
    <row r="246" spans="1:4">
      <c r="A246" s="30">
        <v>245</v>
      </c>
      <c r="B246" s="28" t="s">
        <v>517</v>
      </c>
      <c r="C246" s="28" t="s">
        <v>2152</v>
      </c>
      <c r="D246" s="57" t="s">
        <v>606</v>
      </c>
    </row>
    <row r="247" spans="1:4">
      <c r="A247" s="30">
        <v>246</v>
      </c>
      <c r="B247" s="28" t="s">
        <v>478</v>
      </c>
      <c r="C247" s="28" t="s">
        <v>2153</v>
      </c>
      <c r="D247" s="57" t="s">
        <v>606</v>
      </c>
    </row>
    <row r="248" spans="1:4">
      <c r="A248" s="30">
        <v>247</v>
      </c>
      <c r="B248" s="28" t="s">
        <v>794</v>
      </c>
      <c r="C248" s="28" t="s">
        <v>868</v>
      </c>
      <c r="D248" s="57" t="s">
        <v>608</v>
      </c>
    </row>
    <row r="249" spans="1:4">
      <c r="A249" s="30">
        <v>248</v>
      </c>
      <c r="B249" s="28" t="s">
        <v>795</v>
      </c>
      <c r="C249" s="28" t="s">
        <v>869</v>
      </c>
      <c r="D249" s="57" t="s">
        <v>605</v>
      </c>
    </row>
    <row r="250" spans="1:4">
      <c r="A250" s="30">
        <v>249</v>
      </c>
      <c r="B250" s="28" t="s">
        <v>796</v>
      </c>
      <c r="C250" s="28" t="s">
        <v>870</v>
      </c>
      <c r="D250" s="57" t="s">
        <v>608</v>
      </c>
    </row>
    <row r="251" spans="1:4">
      <c r="A251" s="30">
        <v>250</v>
      </c>
      <c r="B251" s="28" t="s">
        <v>797</v>
      </c>
      <c r="C251" s="28" t="s">
        <v>2154</v>
      </c>
      <c r="D251" s="57" t="s">
        <v>2723</v>
      </c>
    </row>
    <row r="252" spans="1:4">
      <c r="A252" s="30">
        <v>251</v>
      </c>
      <c r="B252" s="28" t="s">
        <v>798</v>
      </c>
      <c r="C252" s="28" t="s">
        <v>2155</v>
      </c>
      <c r="D252" s="57" t="s">
        <v>610</v>
      </c>
    </row>
    <row r="253" spans="1:4">
      <c r="A253" s="30">
        <v>252</v>
      </c>
      <c r="B253" s="28" t="s">
        <v>799</v>
      </c>
      <c r="C253" s="28" t="s">
        <v>2156</v>
      </c>
      <c r="D253" s="57" t="s">
        <v>610</v>
      </c>
    </row>
    <row r="254" spans="1:4">
      <c r="A254" s="30">
        <v>253</v>
      </c>
      <c r="B254" s="28" t="s">
        <v>800</v>
      </c>
      <c r="C254" s="28" t="s">
        <v>2157</v>
      </c>
      <c r="D254" s="57" t="s">
        <v>2723</v>
      </c>
    </row>
    <row r="255" spans="1:4">
      <c r="A255" s="30">
        <v>254</v>
      </c>
      <c r="B255" s="28" t="s">
        <v>801</v>
      </c>
      <c r="C255" s="28" t="s">
        <v>2158</v>
      </c>
      <c r="D255" s="57" t="s">
        <v>610</v>
      </c>
    </row>
    <row r="256" spans="1:4">
      <c r="A256" s="30">
        <v>255</v>
      </c>
      <c r="B256" s="28" t="s">
        <v>802</v>
      </c>
      <c r="C256" s="28" t="s">
        <v>2159</v>
      </c>
      <c r="D256" s="57" t="s">
        <v>610</v>
      </c>
    </row>
    <row r="257" spans="1:4">
      <c r="A257" s="30">
        <v>256</v>
      </c>
      <c r="B257" s="28" t="s">
        <v>803</v>
      </c>
      <c r="C257" s="28" t="s">
        <v>877</v>
      </c>
      <c r="D257" s="57" t="s">
        <v>2723</v>
      </c>
    </row>
    <row r="258" spans="1:4">
      <c r="A258" s="30">
        <v>257</v>
      </c>
      <c r="B258" s="28" t="s">
        <v>804</v>
      </c>
      <c r="C258" s="28" t="s">
        <v>878</v>
      </c>
      <c r="D258" s="57" t="s">
        <v>610</v>
      </c>
    </row>
    <row r="259" spans="1:4">
      <c r="A259" s="30">
        <v>258</v>
      </c>
      <c r="B259" s="28" t="s">
        <v>805</v>
      </c>
      <c r="C259" s="28" t="s">
        <v>879</v>
      </c>
      <c r="D259" s="57" t="s">
        <v>610</v>
      </c>
    </row>
    <row r="260" spans="1:4">
      <c r="A260" s="30">
        <v>259</v>
      </c>
      <c r="B260" s="28" t="s">
        <v>485</v>
      </c>
      <c r="C260" s="28" t="s">
        <v>253</v>
      </c>
      <c r="D260" s="57" t="s">
        <v>608</v>
      </c>
    </row>
    <row r="261" spans="1:4">
      <c r="A261" s="30">
        <v>260</v>
      </c>
      <c r="B261" s="28" t="s">
        <v>806</v>
      </c>
      <c r="C261" s="28" t="s">
        <v>880</v>
      </c>
      <c r="D261" s="57" t="s">
        <v>2723</v>
      </c>
    </row>
    <row r="262" spans="1:4">
      <c r="A262" s="30">
        <v>261</v>
      </c>
      <c r="B262" s="28" t="s">
        <v>486</v>
      </c>
      <c r="C262" s="28" t="s">
        <v>254</v>
      </c>
      <c r="D262" s="57" t="s">
        <v>610</v>
      </c>
    </row>
    <row r="263" spans="1:4">
      <c r="A263" s="30">
        <v>262</v>
      </c>
      <c r="B263" s="28" t="s">
        <v>487</v>
      </c>
      <c r="C263" s="28" t="s">
        <v>255</v>
      </c>
      <c r="D263" s="57" t="s">
        <v>610</v>
      </c>
    </row>
    <row r="264" spans="1:4">
      <c r="A264" s="30">
        <v>263</v>
      </c>
      <c r="B264" s="28" t="s">
        <v>2160</v>
      </c>
      <c r="C264" s="28" t="s">
        <v>881</v>
      </c>
      <c r="D264" s="57" t="s">
        <v>608</v>
      </c>
    </row>
    <row r="265" spans="1:4">
      <c r="A265" s="30">
        <v>264</v>
      </c>
      <c r="B265" s="28" t="s">
        <v>2161</v>
      </c>
      <c r="C265" s="28" t="s">
        <v>882</v>
      </c>
      <c r="D265" s="57" t="s">
        <v>2723</v>
      </c>
    </row>
    <row r="266" spans="1:4">
      <c r="A266" s="30">
        <v>265</v>
      </c>
      <c r="B266" s="28" t="s">
        <v>2162</v>
      </c>
      <c r="C266" s="28" t="s">
        <v>883</v>
      </c>
      <c r="D266" s="57" t="s">
        <v>610</v>
      </c>
    </row>
    <row r="267" spans="1:4">
      <c r="A267" s="30">
        <v>266</v>
      </c>
      <c r="B267" s="28" t="s">
        <v>2163</v>
      </c>
      <c r="C267" s="28" t="s">
        <v>884</v>
      </c>
      <c r="D267" s="57" t="s">
        <v>610</v>
      </c>
    </row>
    <row r="268" spans="1:4">
      <c r="A268" s="30">
        <v>267</v>
      </c>
      <c r="B268" s="28" t="s">
        <v>497</v>
      </c>
      <c r="C268" s="28" t="s">
        <v>265</v>
      </c>
      <c r="D268" s="57" t="s">
        <v>608</v>
      </c>
    </row>
    <row r="269" spans="1:4">
      <c r="A269" s="30">
        <v>268</v>
      </c>
      <c r="B269" s="28" t="s">
        <v>811</v>
      </c>
      <c r="C269" s="28" t="s">
        <v>885</v>
      </c>
      <c r="D269" s="57" t="s">
        <v>2723</v>
      </c>
    </row>
    <row r="270" spans="1:4">
      <c r="A270" s="30">
        <v>269</v>
      </c>
      <c r="B270" s="28" t="s">
        <v>498</v>
      </c>
      <c r="C270" s="28" t="s">
        <v>266</v>
      </c>
      <c r="D270" s="57" t="s">
        <v>610</v>
      </c>
    </row>
    <row r="271" spans="1:4">
      <c r="A271" s="30">
        <v>270</v>
      </c>
      <c r="B271" s="28" t="s">
        <v>499</v>
      </c>
      <c r="C271" s="28" t="s">
        <v>267</v>
      </c>
      <c r="D271" s="57" t="s">
        <v>610</v>
      </c>
    </row>
    <row r="272" spans="1:4">
      <c r="A272" s="30">
        <v>271</v>
      </c>
      <c r="B272" s="28" t="s">
        <v>2164</v>
      </c>
      <c r="C272" s="28" t="s">
        <v>2496</v>
      </c>
      <c r="D272" s="57" t="s">
        <v>608</v>
      </c>
    </row>
    <row r="273" spans="1:4">
      <c r="A273" s="30">
        <v>272</v>
      </c>
      <c r="B273" s="28" t="s">
        <v>2165</v>
      </c>
      <c r="C273" s="28" t="s">
        <v>2497</v>
      </c>
      <c r="D273" s="57" t="s">
        <v>2723</v>
      </c>
    </row>
    <row r="274" spans="1:4">
      <c r="A274" s="30">
        <v>273</v>
      </c>
      <c r="B274" s="28" t="s">
        <v>2166</v>
      </c>
      <c r="C274" s="28" t="s">
        <v>2498</v>
      </c>
      <c r="D274" s="57" t="s">
        <v>610</v>
      </c>
    </row>
    <row r="275" spans="1:4">
      <c r="A275" s="30">
        <v>274</v>
      </c>
      <c r="B275" s="28" t="s">
        <v>2167</v>
      </c>
      <c r="C275" s="28" t="s">
        <v>2499</v>
      </c>
      <c r="D275" s="57" t="s">
        <v>610</v>
      </c>
    </row>
    <row r="276" spans="1:4">
      <c r="A276" s="30">
        <v>275</v>
      </c>
      <c r="B276" s="28" t="s">
        <v>494</v>
      </c>
      <c r="C276" s="28" t="s">
        <v>2168</v>
      </c>
      <c r="D276" s="57" t="s">
        <v>608</v>
      </c>
    </row>
    <row r="277" spans="1:4">
      <c r="A277" s="30">
        <v>276</v>
      </c>
      <c r="B277" s="28" t="s">
        <v>813</v>
      </c>
      <c r="C277" s="28" t="s">
        <v>2169</v>
      </c>
      <c r="D277" s="57" t="s">
        <v>2723</v>
      </c>
    </row>
    <row r="278" spans="1:4">
      <c r="A278" s="30">
        <v>277</v>
      </c>
      <c r="B278" s="28" t="s">
        <v>495</v>
      </c>
      <c r="C278" s="28" t="s">
        <v>2170</v>
      </c>
      <c r="D278" s="57" t="s">
        <v>610</v>
      </c>
    </row>
    <row r="279" spans="1:4">
      <c r="A279" s="30">
        <v>278</v>
      </c>
      <c r="B279" s="28" t="s">
        <v>496</v>
      </c>
      <c r="C279" s="28" t="s">
        <v>2171</v>
      </c>
      <c r="D279" s="57" t="s">
        <v>610</v>
      </c>
    </row>
    <row r="280" spans="1:4">
      <c r="A280" s="30">
        <v>279</v>
      </c>
      <c r="B280" s="28" t="s">
        <v>2172</v>
      </c>
      <c r="C280" s="28" t="s">
        <v>2500</v>
      </c>
      <c r="D280" s="57" t="s">
        <v>608</v>
      </c>
    </row>
    <row r="281" spans="1:4">
      <c r="A281" s="30">
        <v>280</v>
      </c>
      <c r="B281" s="28" t="s">
        <v>2173</v>
      </c>
      <c r="C281" s="28" t="s">
        <v>2501</v>
      </c>
      <c r="D281" s="57" t="s">
        <v>2723</v>
      </c>
    </row>
    <row r="282" spans="1:4">
      <c r="A282" s="30">
        <v>281</v>
      </c>
      <c r="B282" s="28" t="s">
        <v>2174</v>
      </c>
      <c r="C282" s="28" t="s">
        <v>2502</v>
      </c>
      <c r="D282" s="57" t="s">
        <v>610</v>
      </c>
    </row>
    <row r="283" spans="1:4">
      <c r="A283" s="30">
        <v>282</v>
      </c>
      <c r="B283" s="28" t="s">
        <v>2175</v>
      </c>
      <c r="C283" s="28" t="s">
        <v>2503</v>
      </c>
      <c r="D283" s="57" t="s">
        <v>610</v>
      </c>
    </row>
    <row r="284" spans="1:4">
      <c r="A284" s="30">
        <v>283</v>
      </c>
      <c r="B284" s="28" t="s">
        <v>815</v>
      </c>
      <c r="C284" s="28" t="s">
        <v>2176</v>
      </c>
      <c r="D284" s="57" t="s">
        <v>1995</v>
      </c>
    </row>
    <row r="285" spans="1:4">
      <c r="A285" s="30">
        <v>284</v>
      </c>
      <c r="B285" s="28" t="s">
        <v>393</v>
      </c>
      <c r="C285" s="28" t="s">
        <v>125</v>
      </c>
      <c r="D285" s="57" t="s">
        <v>1968</v>
      </c>
    </row>
    <row r="286" spans="1:4">
      <c r="A286" s="30">
        <v>285</v>
      </c>
      <c r="B286" s="28" t="s">
        <v>394</v>
      </c>
      <c r="C286" s="28" t="s">
        <v>2177</v>
      </c>
      <c r="D286" s="57" t="s">
        <v>612</v>
      </c>
    </row>
    <row r="287" spans="1:4">
      <c r="A287" s="30">
        <v>286</v>
      </c>
      <c r="B287" s="28" t="s">
        <v>392</v>
      </c>
      <c r="C287" s="28" t="s">
        <v>2178</v>
      </c>
      <c r="D287" s="57" t="s">
        <v>1995</v>
      </c>
    </row>
    <row r="288" spans="1:4">
      <c r="A288" s="30">
        <v>287</v>
      </c>
      <c r="B288" s="28" t="s">
        <v>62</v>
      </c>
      <c r="C288" s="28" t="s">
        <v>2179</v>
      </c>
      <c r="D288" s="57" t="s">
        <v>2180</v>
      </c>
    </row>
    <row r="289" spans="1:4">
      <c r="A289" s="30">
        <v>288</v>
      </c>
      <c r="B289" s="28" t="s">
        <v>374</v>
      </c>
      <c r="C289" s="28" t="s">
        <v>95</v>
      </c>
      <c r="D289" s="57" t="s">
        <v>1995</v>
      </c>
    </row>
    <row r="290" spans="1:4">
      <c r="A290" s="30">
        <v>289</v>
      </c>
      <c r="B290" s="28" t="s">
        <v>375</v>
      </c>
      <c r="C290" s="28" t="s">
        <v>97</v>
      </c>
      <c r="D290" s="57" t="s">
        <v>1968</v>
      </c>
    </row>
    <row r="291" spans="1:4">
      <c r="A291" s="30">
        <v>290</v>
      </c>
      <c r="B291" s="28" t="s">
        <v>376</v>
      </c>
      <c r="C291" s="28" t="s">
        <v>2181</v>
      </c>
      <c r="D291" s="57" t="s">
        <v>608</v>
      </c>
    </row>
    <row r="292" spans="1:4">
      <c r="A292" s="30">
        <v>291</v>
      </c>
      <c r="B292" s="28" t="s">
        <v>377</v>
      </c>
      <c r="C292" s="28" t="s">
        <v>99</v>
      </c>
      <c r="D292" s="57" t="s">
        <v>611</v>
      </c>
    </row>
    <row r="293" spans="1:4">
      <c r="A293" s="30">
        <v>292</v>
      </c>
      <c r="B293" s="28" t="s">
        <v>378</v>
      </c>
      <c r="C293" s="28" t="s">
        <v>101</v>
      </c>
      <c r="D293" s="57" t="s">
        <v>606</v>
      </c>
    </row>
    <row r="294" spans="1:4">
      <c r="A294" s="30">
        <v>293</v>
      </c>
      <c r="B294" s="28" t="s">
        <v>379</v>
      </c>
      <c r="C294" s="28" t="s">
        <v>102</v>
      </c>
      <c r="D294" s="57" t="s">
        <v>606</v>
      </c>
    </row>
    <row r="295" spans="1:4">
      <c r="A295" s="30">
        <v>294</v>
      </c>
      <c r="B295" s="28" t="s">
        <v>816</v>
      </c>
      <c r="C295" s="28" t="s">
        <v>2182</v>
      </c>
      <c r="D295" s="57" t="s">
        <v>608</v>
      </c>
    </row>
    <row r="296" spans="1:4">
      <c r="A296" s="30">
        <v>295</v>
      </c>
      <c r="B296" s="28" t="s">
        <v>381</v>
      </c>
      <c r="C296" s="28" t="s">
        <v>104</v>
      </c>
      <c r="D296" s="57" t="s">
        <v>606</v>
      </c>
    </row>
    <row r="297" spans="1:4">
      <c r="A297" s="30">
        <v>296</v>
      </c>
      <c r="B297" s="28" t="s">
        <v>382</v>
      </c>
      <c r="C297" s="28" t="s">
        <v>105</v>
      </c>
      <c r="D297" s="57" t="s">
        <v>2183</v>
      </c>
    </row>
    <row r="298" spans="1:4">
      <c r="A298" s="30">
        <v>297</v>
      </c>
      <c r="B298" s="28" t="s">
        <v>383</v>
      </c>
      <c r="C298" s="28" t="s">
        <v>106</v>
      </c>
      <c r="D298" s="57" t="s">
        <v>611</v>
      </c>
    </row>
    <row r="299" spans="1:4">
      <c r="A299" s="30">
        <v>298</v>
      </c>
      <c r="B299" s="28" t="s">
        <v>817</v>
      </c>
      <c r="C299" s="28" t="s">
        <v>891</v>
      </c>
      <c r="D299" s="57" t="s">
        <v>611</v>
      </c>
    </row>
    <row r="300" spans="1:4">
      <c r="A300" s="30">
        <v>299</v>
      </c>
      <c r="B300" s="28" t="s">
        <v>384</v>
      </c>
      <c r="C300" s="28" t="s">
        <v>2184</v>
      </c>
      <c r="D300" s="57" t="s">
        <v>608</v>
      </c>
    </row>
    <row r="301" spans="1:4">
      <c r="A301" s="30">
        <v>300</v>
      </c>
      <c r="B301" s="28" t="s">
        <v>385</v>
      </c>
      <c r="C301" s="28" t="s">
        <v>108</v>
      </c>
      <c r="D301" s="57" t="s">
        <v>608</v>
      </c>
    </row>
    <row r="302" spans="1:4">
      <c r="A302" s="30">
        <v>301</v>
      </c>
      <c r="B302" s="28" t="s">
        <v>85</v>
      </c>
      <c r="C302" s="28" t="s">
        <v>2185</v>
      </c>
      <c r="D302" s="57" t="s">
        <v>2180</v>
      </c>
    </row>
    <row r="303" spans="1:4">
      <c r="A303" s="30">
        <v>302</v>
      </c>
      <c r="B303" s="28" t="s">
        <v>87</v>
      </c>
      <c r="C303" s="28" t="s">
        <v>110</v>
      </c>
      <c r="D303" s="57" t="s">
        <v>2186</v>
      </c>
    </row>
    <row r="304" spans="1:4">
      <c r="A304" s="30">
        <v>303</v>
      </c>
      <c r="B304" s="28" t="s">
        <v>386</v>
      </c>
      <c r="C304" s="28" t="s">
        <v>111</v>
      </c>
      <c r="D304" s="57" t="s">
        <v>606</v>
      </c>
    </row>
    <row r="305" spans="1:4">
      <c r="A305" s="30">
        <v>304</v>
      </c>
      <c r="B305" s="28" t="s">
        <v>46</v>
      </c>
      <c r="C305" s="28" t="s">
        <v>2187</v>
      </c>
      <c r="D305" s="57" t="s">
        <v>2180</v>
      </c>
    </row>
    <row r="306" spans="1:4">
      <c r="A306" s="30">
        <v>305</v>
      </c>
      <c r="B306" s="28" t="s">
        <v>45</v>
      </c>
      <c r="C306" s="28" t="s">
        <v>113</v>
      </c>
      <c r="D306" s="57" t="s">
        <v>2186</v>
      </c>
    </row>
    <row r="307" spans="1:4">
      <c r="A307" s="30">
        <v>306</v>
      </c>
      <c r="B307" s="28" t="s">
        <v>387</v>
      </c>
      <c r="C307" s="28" t="s">
        <v>114</v>
      </c>
      <c r="D307" s="57" t="s">
        <v>606</v>
      </c>
    </row>
    <row r="308" spans="1:4">
      <c r="A308" s="30">
        <v>307</v>
      </c>
      <c r="B308" s="28" t="s">
        <v>50</v>
      </c>
      <c r="C308" s="28" t="s">
        <v>2188</v>
      </c>
      <c r="D308" s="57" t="s">
        <v>2180</v>
      </c>
    </row>
    <row r="309" spans="1:4">
      <c r="A309" s="30">
        <v>308</v>
      </c>
      <c r="B309" s="28" t="s">
        <v>48</v>
      </c>
      <c r="C309" s="28" t="s">
        <v>47</v>
      </c>
      <c r="D309" s="57" t="s">
        <v>2186</v>
      </c>
    </row>
    <row r="310" spans="1:4">
      <c r="A310" s="30">
        <v>309</v>
      </c>
      <c r="B310" s="28" t="s">
        <v>80</v>
      </c>
      <c r="C310" s="28" t="s">
        <v>81</v>
      </c>
      <c r="D310" s="57" t="s">
        <v>606</v>
      </c>
    </row>
    <row r="311" spans="1:4">
      <c r="A311" s="30">
        <v>310</v>
      </c>
      <c r="B311" s="28" t="s">
        <v>52</v>
      </c>
      <c r="C311" s="28" t="s">
        <v>2189</v>
      </c>
      <c r="D311" s="57" t="s">
        <v>2180</v>
      </c>
    </row>
    <row r="312" spans="1:4">
      <c r="A312" s="30">
        <v>311</v>
      </c>
      <c r="B312" s="28" t="s">
        <v>51</v>
      </c>
      <c r="C312" s="28" t="s">
        <v>116</v>
      </c>
      <c r="D312" s="57" t="s">
        <v>2186</v>
      </c>
    </row>
    <row r="313" spans="1:4">
      <c r="A313" s="30">
        <v>312</v>
      </c>
      <c r="B313" s="28" t="s">
        <v>388</v>
      </c>
      <c r="C313" s="28" t="s">
        <v>117</v>
      </c>
      <c r="D313" s="57" t="s">
        <v>606</v>
      </c>
    </row>
    <row r="314" spans="1:4">
      <c r="A314" s="30">
        <v>313</v>
      </c>
      <c r="B314" s="28" t="s">
        <v>54</v>
      </c>
      <c r="C314" s="28" t="s">
        <v>2190</v>
      </c>
      <c r="D314" s="57" t="s">
        <v>2180</v>
      </c>
    </row>
    <row r="315" spans="1:4">
      <c r="A315" s="30">
        <v>314</v>
      </c>
      <c r="B315" s="28" t="s">
        <v>53</v>
      </c>
      <c r="C315" s="28" t="s">
        <v>119</v>
      </c>
      <c r="D315" s="57" t="s">
        <v>2186</v>
      </c>
    </row>
    <row r="316" spans="1:4">
      <c r="A316" s="30">
        <v>315</v>
      </c>
      <c r="B316" s="28" t="s">
        <v>389</v>
      </c>
      <c r="C316" s="28" t="s">
        <v>120</v>
      </c>
      <c r="D316" s="57" t="s">
        <v>606</v>
      </c>
    </row>
    <row r="317" spans="1:4">
      <c r="A317" s="30">
        <v>316</v>
      </c>
      <c r="B317" s="28" t="s">
        <v>58</v>
      </c>
      <c r="C317" s="28" t="s">
        <v>2191</v>
      </c>
      <c r="D317" s="57" t="s">
        <v>2180</v>
      </c>
    </row>
    <row r="318" spans="1:4">
      <c r="A318" s="30">
        <v>317</v>
      </c>
      <c r="B318" s="28" t="s">
        <v>56</v>
      </c>
      <c r="C318" s="28" t="s">
        <v>55</v>
      </c>
      <c r="D318" s="57" t="s">
        <v>2186</v>
      </c>
    </row>
    <row r="319" spans="1:4">
      <c r="A319" s="30">
        <v>318</v>
      </c>
      <c r="B319" s="28" t="s">
        <v>390</v>
      </c>
      <c r="C319" s="28" t="s">
        <v>121</v>
      </c>
      <c r="D319" s="57" t="s">
        <v>606</v>
      </c>
    </row>
    <row r="320" spans="1:4">
      <c r="A320" s="30">
        <v>319</v>
      </c>
      <c r="B320" s="28" t="s">
        <v>60</v>
      </c>
      <c r="C320" s="28" t="s">
        <v>59</v>
      </c>
      <c r="D320" s="57" t="s">
        <v>2186</v>
      </c>
    </row>
    <row r="321" spans="1:4">
      <c r="A321" s="30">
        <v>320</v>
      </c>
      <c r="B321" s="28" t="s">
        <v>391</v>
      </c>
      <c r="C321" s="28" t="s">
        <v>122</v>
      </c>
      <c r="D321" s="57" t="s">
        <v>2724</v>
      </c>
    </row>
    <row r="322" spans="1:4">
      <c r="A322" s="30">
        <v>321</v>
      </c>
      <c r="B322" s="28" t="s">
        <v>818</v>
      </c>
      <c r="C322" s="28" t="s">
        <v>2192</v>
      </c>
      <c r="D322" s="57" t="s">
        <v>608</v>
      </c>
    </row>
    <row r="323" spans="1:4">
      <c r="A323" s="30">
        <v>322</v>
      </c>
      <c r="B323" s="28" t="s">
        <v>819</v>
      </c>
      <c r="C323" s="28" t="s">
        <v>893</v>
      </c>
      <c r="D323" s="57" t="s">
        <v>1968</v>
      </c>
    </row>
    <row r="324" spans="1:4">
      <c r="A324" s="30">
        <v>323</v>
      </c>
      <c r="B324" s="28" t="s">
        <v>1544</v>
      </c>
      <c r="C324" s="28" t="s">
        <v>894</v>
      </c>
      <c r="D324" s="57" t="s">
        <v>2193</v>
      </c>
    </row>
    <row r="325" spans="1:4">
      <c r="A325" s="30">
        <v>324</v>
      </c>
      <c r="B325" s="28" t="s">
        <v>2194</v>
      </c>
      <c r="C325" s="28" t="s">
        <v>2195</v>
      </c>
      <c r="D325" s="57" t="s">
        <v>2196</v>
      </c>
    </row>
    <row r="326" spans="1:4">
      <c r="A326" s="30">
        <v>325</v>
      </c>
      <c r="B326" s="28" t="s">
        <v>1545</v>
      </c>
      <c r="C326" s="28" t="s">
        <v>2513</v>
      </c>
      <c r="D326" s="57" t="s">
        <v>611</v>
      </c>
    </row>
    <row r="327" spans="1:4">
      <c r="A327" s="30">
        <v>326</v>
      </c>
      <c r="B327" s="28" t="s">
        <v>2197</v>
      </c>
      <c r="C327" s="28" t="s">
        <v>2514</v>
      </c>
      <c r="D327" s="57" t="s">
        <v>2026</v>
      </c>
    </row>
    <row r="328" spans="1:4">
      <c r="A328" s="30">
        <v>327</v>
      </c>
      <c r="B328" s="28" t="s">
        <v>926</v>
      </c>
      <c r="C328" s="28" t="s">
        <v>2515</v>
      </c>
      <c r="D328" s="57" t="s">
        <v>608</v>
      </c>
    </row>
    <row r="329" spans="1:4" s="25" customFormat="1">
      <c r="A329" s="30">
        <v>328</v>
      </c>
      <c r="B329" s="28" t="s">
        <v>2198</v>
      </c>
      <c r="C329" s="28" t="s">
        <v>2199</v>
      </c>
      <c r="D329" s="57" t="s">
        <v>607</v>
      </c>
    </row>
    <row r="330" spans="1:4">
      <c r="A330" s="30">
        <v>329</v>
      </c>
      <c r="B330" s="28" t="s">
        <v>953</v>
      </c>
      <c r="C330" s="28" t="s">
        <v>954</v>
      </c>
      <c r="D330" s="57" t="s">
        <v>650</v>
      </c>
    </row>
    <row r="331" spans="1:4">
      <c r="A331" s="30">
        <v>330</v>
      </c>
      <c r="B331" s="28" t="s">
        <v>952</v>
      </c>
      <c r="C331" s="28" t="s">
        <v>951</v>
      </c>
      <c r="D331" s="57" t="s">
        <v>650</v>
      </c>
    </row>
    <row r="332" spans="1:4">
      <c r="A332" s="30">
        <v>331</v>
      </c>
      <c r="B332" s="28" t="s">
        <v>1341</v>
      </c>
      <c r="C332" s="28" t="s">
        <v>2200</v>
      </c>
      <c r="D332" s="57" t="s">
        <v>650</v>
      </c>
    </row>
    <row r="333" spans="1:4">
      <c r="A333" s="30">
        <v>332</v>
      </c>
      <c r="B333" s="28" t="s">
        <v>1546</v>
      </c>
      <c r="C333" s="28" t="s">
        <v>2201</v>
      </c>
      <c r="D333" s="57" t="s">
        <v>650</v>
      </c>
    </row>
    <row r="334" spans="1:4">
      <c r="A334" s="30">
        <v>333</v>
      </c>
      <c r="B334" s="28" t="s">
        <v>1547</v>
      </c>
      <c r="C334" s="28" t="s">
        <v>2202</v>
      </c>
      <c r="D334" s="57" t="s">
        <v>650</v>
      </c>
    </row>
    <row r="335" spans="1:4">
      <c r="A335" s="30">
        <v>334</v>
      </c>
      <c r="B335" s="28" t="s">
        <v>1346</v>
      </c>
      <c r="C335" s="28" t="s">
        <v>1345</v>
      </c>
      <c r="D335" s="57" t="s">
        <v>650</v>
      </c>
    </row>
    <row r="336" spans="1:4">
      <c r="A336" s="30">
        <v>335</v>
      </c>
      <c r="B336" s="28" t="s">
        <v>1601</v>
      </c>
      <c r="C336" s="28" t="s">
        <v>2576</v>
      </c>
      <c r="D336" s="57" t="s">
        <v>1968</v>
      </c>
    </row>
    <row r="337" spans="1:4">
      <c r="A337" s="30">
        <v>336</v>
      </c>
      <c r="B337" s="28" t="s">
        <v>966</v>
      </c>
      <c r="C337" s="28" t="s">
        <v>2203</v>
      </c>
      <c r="D337" s="57" t="s">
        <v>605</v>
      </c>
    </row>
    <row r="338" spans="1:4">
      <c r="A338" s="30">
        <v>337</v>
      </c>
      <c r="B338" s="28" t="s">
        <v>967</v>
      </c>
      <c r="C338" s="28" t="s">
        <v>2204</v>
      </c>
      <c r="D338" s="57" t="s">
        <v>605</v>
      </c>
    </row>
    <row r="339" spans="1:4">
      <c r="A339" s="30">
        <v>338</v>
      </c>
      <c r="B339" s="28" t="s">
        <v>969</v>
      </c>
      <c r="C339" s="28" t="s">
        <v>2205</v>
      </c>
      <c r="D339" s="57" t="s">
        <v>1968</v>
      </c>
    </row>
    <row r="340" spans="1:4">
      <c r="A340" s="30">
        <v>339</v>
      </c>
      <c r="B340" s="28" t="s">
        <v>971</v>
      </c>
      <c r="C340" s="28" t="s">
        <v>2206</v>
      </c>
      <c r="D340" s="57" t="s">
        <v>1968</v>
      </c>
    </row>
    <row r="341" spans="1:4">
      <c r="A341" s="30">
        <v>340</v>
      </c>
      <c r="B341" s="28" t="s">
        <v>974</v>
      </c>
      <c r="C341" s="28" t="s">
        <v>1189</v>
      </c>
      <c r="D341" s="57" t="s">
        <v>1968</v>
      </c>
    </row>
    <row r="342" spans="1:4">
      <c r="A342" s="30">
        <v>341</v>
      </c>
      <c r="B342" s="28" t="s">
        <v>976</v>
      </c>
      <c r="C342" s="28" t="s">
        <v>1190</v>
      </c>
      <c r="D342" s="57" t="s">
        <v>1968</v>
      </c>
    </row>
    <row r="343" spans="1:4">
      <c r="A343" s="30">
        <v>342</v>
      </c>
      <c r="B343" s="28" t="s">
        <v>1599</v>
      </c>
      <c r="C343" s="28" t="s">
        <v>2575</v>
      </c>
      <c r="D343" s="57" t="s">
        <v>1968</v>
      </c>
    </row>
    <row r="344" spans="1:4">
      <c r="A344" s="30">
        <v>343</v>
      </c>
      <c r="B344" s="28" t="s">
        <v>2207</v>
      </c>
      <c r="C344" s="28" t="s">
        <v>2512</v>
      </c>
      <c r="D344" s="57" t="s">
        <v>2026</v>
      </c>
    </row>
    <row r="345" spans="1:4">
      <c r="A345" s="30">
        <v>344</v>
      </c>
      <c r="B345" s="28" t="s">
        <v>500</v>
      </c>
      <c r="C345" s="28" t="s">
        <v>268</v>
      </c>
      <c r="D345" s="57" t="s">
        <v>2208</v>
      </c>
    </row>
    <row r="346" spans="1:4">
      <c r="A346" s="30">
        <v>345</v>
      </c>
      <c r="B346" s="28" t="s">
        <v>2209</v>
      </c>
      <c r="C346" s="28" t="s">
        <v>1571</v>
      </c>
      <c r="D346" s="57" t="s">
        <v>612</v>
      </c>
    </row>
    <row r="347" spans="1:4">
      <c r="A347" s="30">
        <v>346</v>
      </c>
      <c r="B347" s="28" t="s">
        <v>2210</v>
      </c>
      <c r="C347" s="28" t="s">
        <v>1577</v>
      </c>
      <c r="D347" s="57" t="s">
        <v>614</v>
      </c>
    </row>
    <row r="348" spans="1:4">
      <c r="A348" s="30">
        <v>347</v>
      </c>
      <c r="B348" s="28" t="s">
        <v>2211</v>
      </c>
      <c r="C348" s="28" t="s">
        <v>2212</v>
      </c>
      <c r="D348" s="57" t="s">
        <v>614</v>
      </c>
    </row>
    <row r="349" spans="1:4">
      <c r="A349" s="30">
        <v>348</v>
      </c>
      <c r="B349" s="28" t="s">
        <v>2213</v>
      </c>
      <c r="C349" s="28" t="s">
        <v>2214</v>
      </c>
      <c r="D349" s="57" t="s">
        <v>614</v>
      </c>
    </row>
    <row r="350" spans="1:4">
      <c r="A350" s="30">
        <v>349</v>
      </c>
      <c r="B350" s="28" t="s">
        <v>2215</v>
      </c>
      <c r="C350" s="28" t="s">
        <v>2577</v>
      </c>
      <c r="D350" s="57" t="s">
        <v>1962</v>
      </c>
    </row>
    <row r="351" spans="1:4">
      <c r="A351" s="30">
        <v>350</v>
      </c>
      <c r="B351" s="28" t="s">
        <v>2216</v>
      </c>
      <c r="C351" s="28" t="s">
        <v>1572</v>
      </c>
      <c r="D351" s="57" t="s">
        <v>605</v>
      </c>
    </row>
    <row r="352" spans="1:4">
      <c r="A352" s="30">
        <v>351</v>
      </c>
      <c r="B352" s="28" t="s">
        <v>2217</v>
      </c>
      <c r="C352" s="28" t="s">
        <v>2218</v>
      </c>
      <c r="D352" s="57" t="s">
        <v>605</v>
      </c>
    </row>
    <row r="353" spans="1:4">
      <c r="A353" s="30">
        <v>352</v>
      </c>
      <c r="B353" s="28" t="s">
        <v>2219</v>
      </c>
      <c r="C353" s="28" t="s">
        <v>2220</v>
      </c>
      <c r="D353" s="57" t="s">
        <v>605</v>
      </c>
    </row>
    <row r="354" spans="1:4">
      <c r="A354" s="30">
        <v>353</v>
      </c>
      <c r="B354" s="28" t="s">
        <v>2221</v>
      </c>
      <c r="C354" s="28" t="s">
        <v>1575</v>
      </c>
      <c r="D354" s="57" t="s">
        <v>605</v>
      </c>
    </row>
    <row r="355" spans="1:4">
      <c r="A355" s="30">
        <v>354</v>
      </c>
      <c r="B355" s="28" t="s">
        <v>2222</v>
      </c>
      <c r="C355" s="28" t="s">
        <v>2223</v>
      </c>
      <c r="D355" s="57" t="s">
        <v>605</v>
      </c>
    </row>
    <row r="356" spans="1:4">
      <c r="A356" s="30">
        <v>355</v>
      </c>
      <c r="B356" s="28" t="s">
        <v>2224</v>
      </c>
      <c r="C356" s="28" t="s">
        <v>1579</v>
      </c>
      <c r="D356" s="57" t="s">
        <v>2031</v>
      </c>
    </row>
    <row r="357" spans="1:4">
      <c r="A357" s="30">
        <v>356</v>
      </c>
      <c r="B357" s="28" t="s">
        <v>2225</v>
      </c>
      <c r="C357" s="28" t="s">
        <v>2226</v>
      </c>
      <c r="D357" s="57" t="s">
        <v>613</v>
      </c>
    </row>
    <row r="358" spans="1:4">
      <c r="A358" s="30">
        <v>357</v>
      </c>
      <c r="B358" s="28" t="s">
        <v>2227</v>
      </c>
      <c r="C358" s="28" t="s">
        <v>1570</v>
      </c>
      <c r="D358" s="57" t="s">
        <v>2031</v>
      </c>
    </row>
    <row r="359" spans="1:4">
      <c r="A359" s="30">
        <v>358</v>
      </c>
      <c r="B359" s="28" t="s">
        <v>2228</v>
      </c>
      <c r="C359" s="28" t="s">
        <v>2229</v>
      </c>
      <c r="D359" s="57" t="s">
        <v>611</v>
      </c>
    </row>
    <row r="360" spans="1:4">
      <c r="A360" s="30">
        <v>359</v>
      </c>
      <c r="B360" s="28" t="s">
        <v>2230</v>
      </c>
      <c r="C360" s="28" t="s">
        <v>2526</v>
      </c>
      <c r="D360" s="57" t="s">
        <v>609</v>
      </c>
    </row>
    <row r="361" spans="1:4">
      <c r="A361" s="30">
        <v>360</v>
      </c>
      <c r="B361" s="28" t="s">
        <v>1709</v>
      </c>
      <c r="C361" s="28" t="s">
        <v>1641</v>
      </c>
      <c r="D361" s="57" t="s">
        <v>614</v>
      </c>
    </row>
    <row r="362" spans="1:4">
      <c r="A362" s="30">
        <v>361</v>
      </c>
      <c r="B362" s="28" t="s">
        <v>1710</v>
      </c>
      <c r="C362" s="28" t="s">
        <v>1644</v>
      </c>
      <c r="D362" s="57" t="s">
        <v>611</v>
      </c>
    </row>
    <row r="363" spans="1:4">
      <c r="A363" s="30">
        <v>362</v>
      </c>
      <c r="B363" s="28" t="s">
        <v>1711</v>
      </c>
      <c r="C363" s="28" t="s">
        <v>1646</v>
      </c>
      <c r="D363" s="57" t="s">
        <v>605</v>
      </c>
    </row>
    <row r="364" spans="1:4">
      <c r="A364" s="30">
        <v>363</v>
      </c>
      <c r="B364" s="28" t="s">
        <v>1712</v>
      </c>
      <c r="C364" s="28" t="s">
        <v>1648</v>
      </c>
      <c r="D364" s="57" t="s">
        <v>2231</v>
      </c>
    </row>
    <row r="365" spans="1:4">
      <c r="A365" s="30">
        <v>364</v>
      </c>
      <c r="B365" s="28" t="s">
        <v>1713</v>
      </c>
      <c r="C365" s="28" t="s">
        <v>1650</v>
      </c>
      <c r="D365" s="57" t="s">
        <v>2231</v>
      </c>
    </row>
    <row r="366" spans="1:4">
      <c r="A366" s="30">
        <v>365</v>
      </c>
      <c r="B366" s="28" t="s">
        <v>1714</v>
      </c>
      <c r="C366" s="28" t="s">
        <v>1654</v>
      </c>
      <c r="D366" s="57" t="s">
        <v>608</v>
      </c>
    </row>
    <row r="367" spans="1:4">
      <c r="A367" s="30">
        <v>366</v>
      </c>
      <c r="B367" s="28" t="s">
        <v>1704</v>
      </c>
      <c r="C367" s="28" t="s">
        <v>1657</v>
      </c>
      <c r="D367" s="57" t="s">
        <v>614</v>
      </c>
    </row>
    <row r="368" spans="1:4">
      <c r="A368" s="30">
        <v>367</v>
      </c>
      <c r="B368" s="28" t="s">
        <v>1705</v>
      </c>
      <c r="C368" s="28" t="s">
        <v>1658</v>
      </c>
      <c r="D368" s="57" t="s">
        <v>1995</v>
      </c>
    </row>
    <row r="369" spans="1:4">
      <c r="A369" s="30">
        <v>368</v>
      </c>
      <c r="B369" s="28" t="s">
        <v>1706</v>
      </c>
      <c r="C369" s="28" t="s">
        <v>1660</v>
      </c>
      <c r="D369" s="57" t="s">
        <v>2193</v>
      </c>
    </row>
    <row r="370" spans="1:4">
      <c r="A370" s="30">
        <v>369</v>
      </c>
      <c r="B370" s="28" t="s">
        <v>1715</v>
      </c>
      <c r="C370" s="28" t="s">
        <v>1664</v>
      </c>
      <c r="D370" s="57" t="s">
        <v>614</v>
      </c>
    </row>
    <row r="371" spans="1:4">
      <c r="A371" s="30">
        <v>370</v>
      </c>
      <c r="B371" s="28" t="s">
        <v>2232</v>
      </c>
      <c r="C371" s="28" t="s">
        <v>2233</v>
      </c>
      <c r="D371" s="57" t="s">
        <v>2208</v>
      </c>
    </row>
    <row r="372" spans="1:4">
      <c r="A372" s="30">
        <v>371</v>
      </c>
      <c r="B372" s="28" t="s">
        <v>1716</v>
      </c>
      <c r="C372" s="28" t="s">
        <v>1666</v>
      </c>
      <c r="D372" s="57" t="s">
        <v>1995</v>
      </c>
    </row>
    <row r="373" spans="1:4">
      <c r="A373" s="30">
        <v>372</v>
      </c>
      <c r="B373" s="28" t="s">
        <v>1717</v>
      </c>
      <c r="C373" s="28" t="s">
        <v>1668</v>
      </c>
      <c r="D373" s="57" t="s">
        <v>2193</v>
      </c>
    </row>
    <row r="374" spans="1:4">
      <c r="A374" s="30">
        <v>373</v>
      </c>
      <c r="B374" s="28" t="s">
        <v>1718</v>
      </c>
      <c r="C374" s="28" t="s">
        <v>1673</v>
      </c>
      <c r="D374" s="57" t="s">
        <v>1995</v>
      </c>
    </row>
    <row r="375" spans="1:4">
      <c r="A375" s="30">
        <v>374</v>
      </c>
      <c r="B375" s="28" t="s">
        <v>1719</v>
      </c>
      <c r="C375" s="28" t="s">
        <v>1675</v>
      </c>
      <c r="D375" s="57" t="s">
        <v>2193</v>
      </c>
    </row>
    <row r="376" spans="1:4">
      <c r="A376" s="30">
        <v>375</v>
      </c>
      <c r="B376" s="28" t="s">
        <v>1707</v>
      </c>
      <c r="C376" s="28" t="s">
        <v>1221</v>
      </c>
      <c r="D376" s="57" t="s">
        <v>614</v>
      </c>
    </row>
    <row r="377" spans="1:4">
      <c r="A377" s="30">
        <v>376</v>
      </c>
      <c r="B377" s="28" t="s">
        <v>1720</v>
      </c>
      <c r="C377" s="28" t="s">
        <v>1679</v>
      </c>
      <c r="D377" s="57" t="s">
        <v>2724</v>
      </c>
    </row>
    <row r="378" spans="1:4">
      <c r="A378" s="30">
        <v>377</v>
      </c>
      <c r="B378" s="28" t="s">
        <v>2234</v>
      </c>
      <c r="C378" s="28" t="s">
        <v>2235</v>
      </c>
      <c r="D378" s="57" t="s">
        <v>1968</v>
      </c>
    </row>
    <row r="379" spans="1:4">
      <c r="A379" s="30">
        <v>378</v>
      </c>
      <c r="B379" s="28" t="s">
        <v>1721</v>
      </c>
      <c r="C379" s="28" t="s">
        <v>2236</v>
      </c>
      <c r="D379" s="57" t="s">
        <v>614</v>
      </c>
    </row>
    <row r="380" spans="1:4">
      <c r="A380" s="30">
        <v>379</v>
      </c>
      <c r="B380" s="28" t="s">
        <v>1722</v>
      </c>
      <c r="C380" s="28" t="s">
        <v>2237</v>
      </c>
      <c r="D380" s="57" t="s">
        <v>1992</v>
      </c>
    </row>
    <row r="381" spans="1:4">
      <c r="A381" s="30">
        <v>380</v>
      </c>
      <c r="B381" s="28" t="s">
        <v>2238</v>
      </c>
      <c r="C381" s="28" t="s">
        <v>2239</v>
      </c>
      <c r="D381" s="57" t="s">
        <v>2724</v>
      </c>
    </row>
    <row r="382" spans="1:4">
      <c r="A382" s="30">
        <v>381</v>
      </c>
      <c r="B382" s="28" t="s">
        <v>2240</v>
      </c>
      <c r="C382" s="28" t="s">
        <v>2241</v>
      </c>
      <c r="D382" s="57" t="s">
        <v>614</v>
      </c>
    </row>
    <row r="383" spans="1:4">
      <c r="A383" s="30">
        <v>382</v>
      </c>
      <c r="B383" s="28" t="s">
        <v>2242</v>
      </c>
      <c r="C383" s="28" t="s">
        <v>2243</v>
      </c>
      <c r="D383" s="57" t="s">
        <v>2026</v>
      </c>
    </row>
    <row r="384" spans="1:4">
      <c r="A384" s="30">
        <v>383</v>
      </c>
      <c r="B384" s="28" t="s">
        <v>2244</v>
      </c>
      <c r="C384" s="28" t="s">
        <v>2245</v>
      </c>
      <c r="D384" s="57" t="s">
        <v>605</v>
      </c>
    </row>
    <row r="385" spans="1:4">
      <c r="A385" s="30">
        <v>384</v>
      </c>
      <c r="B385" s="28" t="s">
        <v>1723</v>
      </c>
      <c r="C385" s="28" t="s">
        <v>2246</v>
      </c>
      <c r="D385" s="57" t="s">
        <v>614</v>
      </c>
    </row>
    <row r="386" spans="1:4">
      <c r="A386" s="30">
        <v>385</v>
      </c>
      <c r="B386" s="28" t="s">
        <v>1724</v>
      </c>
      <c r="C386" s="28" t="s">
        <v>2247</v>
      </c>
      <c r="D386" s="57" t="s">
        <v>610</v>
      </c>
    </row>
    <row r="387" spans="1:4">
      <c r="A387" s="30">
        <v>386</v>
      </c>
      <c r="B387" s="28" t="s">
        <v>2248</v>
      </c>
      <c r="C387" s="28" t="s">
        <v>2249</v>
      </c>
      <c r="D387" s="57" t="s">
        <v>605</v>
      </c>
    </row>
    <row r="388" spans="1:4">
      <c r="A388" s="30">
        <v>387</v>
      </c>
      <c r="B388" s="28" t="s">
        <v>2250</v>
      </c>
      <c r="C388" s="28" t="s">
        <v>2251</v>
      </c>
      <c r="D388" s="57" t="s">
        <v>610</v>
      </c>
    </row>
    <row r="389" spans="1:4">
      <c r="A389" s="30">
        <v>388</v>
      </c>
      <c r="B389" s="28" t="s">
        <v>1725</v>
      </c>
      <c r="C389" s="28" t="s">
        <v>2252</v>
      </c>
      <c r="D389" s="57" t="s">
        <v>614</v>
      </c>
    </row>
    <row r="390" spans="1:4">
      <c r="A390" s="30">
        <v>389</v>
      </c>
      <c r="B390" s="28" t="s">
        <v>1726</v>
      </c>
      <c r="C390" s="28" t="s">
        <v>2253</v>
      </c>
      <c r="D390" s="57" t="s">
        <v>610</v>
      </c>
    </row>
    <row r="391" spans="1:4">
      <c r="A391" s="30">
        <v>390</v>
      </c>
      <c r="B391" s="28" t="s">
        <v>1727</v>
      </c>
      <c r="C391" s="28" t="s">
        <v>2254</v>
      </c>
      <c r="D391" s="57" t="s">
        <v>650</v>
      </c>
    </row>
    <row r="392" spans="1:4">
      <c r="A392" s="30">
        <v>391</v>
      </c>
      <c r="B392" s="28" t="s">
        <v>2255</v>
      </c>
      <c r="C392" s="28" t="s">
        <v>2256</v>
      </c>
      <c r="D392" s="57" t="s">
        <v>1992</v>
      </c>
    </row>
    <row r="393" spans="1:4">
      <c r="A393" s="30">
        <v>392</v>
      </c>
      <c r="B393" s="28" t="s">
        <v>2257</v>
      </c>
      <c r="C393" s="28" t="s">
        <v>2258</v>
      </c>
      <c r="D393" s="57" t="s">
        <v>612</v>
      </c>
    </row>
    <row r="394" spans="1:4">
      <c r="A394" s="30">
        <v>393</v>
      </c>
      <c r="B394" s="28" t="s">
        <v>2259</v>
      </c>
      <c r="C394" s="28" t="s">
        <v>2260</v>
      </c>
      <c r="D394" s="57" t="s">
        <v>612</v>
      </c>
    </row>
    <row r="395" spans="1:4">
      <c r="A395" s="30">
        <v>394</v>
      </c>
      <c r="B395" s="28" t="s">
        <v>2261</v>
      </c>
      <c r="C395" s="28" t="s">
        <v>2262</v>
      </c>
      <c r="D395" s="57" t="s">
        <v>608</v>
      </c>
    </row>
    <row r="396" spans="1:4">
      <c r="A396" s="30">
        <v>395</v>
      </c>
      <c r="B396" s="28" t="s">
        <v>1142</v>
      </c>
      <c r="C396" s="28" t="s">
        <v>1329</v>
      </c>
      <c r="D396" s="57" t="s">
        <v>606</v>
      </c>
    </row>
    <row r="397" spans="1:4">
      <c r="A397" s="30">
        <v>396</v>
      </c>
      <c r="B397" s="28" t="s">
        <v>1795</v>
      </c>
      <c r="C397" s="28" t="s">
        <v>1783</v>
      </c>
      <c r="D397" s="57" t="s">
        <v>2193</v>
      </c>
    </row>
    <row r="398" spans="1:4">
      <c r="A398" s="30">
        <v>397</v>
      </c>
      <c r="B398" s="28" t="s">
        <v>2263</v>
      </c>
      <c r="C398" s="28" t="s">
        <v>1235</v>
      </c>
      <c r="D398" s="57" t="s">
        <v>2264</v>
      </c>
    </row>
    <row r="399" spans="1:4">
      <c r="A399" s="30">
        <v>398</v>
      </c>
      <c r="B399" s="28" t="s">
        <v>1796</v>
      </c>
      <c r="C399" s="28" t="s">
        <v>1784</v>
      </c>
      <c r="D399" s="57" t="s">
        <v>2193</v>
      </c>
    </row>
    <row r="400" spans="1:4">
      <c r="A400" s="30">
        <v>399</v>
      </c>
      <c r="B400" s="28" t="s">
        <v>1039</v>
      </c>
      <c r="C400" s="28" t="s">
        <v>1218</v>
      </c>
      <c r="D400" s="57" t="s">
        <v>614</v>
      </c>
    </row>
    <row r="401" spans="1:4">
      <c r="A401" s="30">
        <v>400</v>
      </c>
      <c r="B401" s="28" t="s">
        <v>1797</v>
      </c>
      <c r="C401" s="28" t="s">
        <v>1785</v>
      </c>
      <c r="D401" s="57" t="s">
        <v>2031</v>
      </c>
    </row>
    <row r="402" spans="1:4">
      <c r="A402" s="30">
        <v>401</v>
      </c>
      <c r="B402" s="28" t="s">
        <v>1798</v>
      </c>
      <c r="C402" s="28" t="s">
        <v>1786</v>
      </c>
      <c r="D402" s="57" t="s">
        <v>2265</v>
      </c>
    </row>
    <row r="403" spans="1:4">
      <c r="A403" s="30">
        <v>402</v>
      </c>
      <c r="B403" s="28" t="s">
        <v>1091</v>
      </c>
      <c r="C403" s="28" t="s">
        <v>1787</v>
      </c>
      <c r="D403" s="57" t="s">
        <v>614</v>
      </c>
    </row>
    <row r="404" spans="1:4">
      <c r="A404" s="30">
        <v>403</v>
      </c>
      <c r="B404" s="28" t="s">
        <v>1799</v>
      </c>
      <c r="C404" s="28" t="s">
        <v>1788</v>
      </c>
      <c r="D404" s="57" t="s">
        <v>2193</v>
      </c>
    </row>
    <row r="405" spans="1:4">
      <c r="A405" s="30">
        <v>404</v>
      </c>
      <c r="B405" s="28" t="s">
        <v>1800</v>
      </c>
      <c r="C405" s="28" t="s">
        <v>1789</v>
      </c>
      <c r="D405" s="57" t="s">
        <v>617</v>
      </c>
    </row>
    <row r="406" spans="1:4">
      <c r="A406" s="30">
        <v>405</v>
      </c>
      <c r="B406" s="28" t="s">
        <v>1801</v>
      </c>
      <c r="C406" s="28" t="s">
        <v>1790</v>
      </c>
      <c r="D406" s="57" t="s">
        <v>606</v>
      </c>
    </row>
    <row r="407" spans="1:4">
      <c r="A407" s="30">
        <v>406</v>
      </c>
      <c r="B407" s="28" t="s">
        <v>1149</v>
      </c>
      <c r="C407" s="28" t="s">
        <v>1791</v>
      </c>
      <c r="D407" s="57" t="s">
        <v>614</v>
      </c>
    </row>
    <row r="408" spans="1:4">
      <c r="A408" s="30">
        <v>407</v>
      </c>
      <c r="B408" s="28" t="s">
        <v>1802</v>
      </c>
      <c r="C408" s="28" t="s">
        <v>1792</v>
      </c>
      <c r="D408" s="57" t="s">
        <v>2723</v>
      </c>
    </row>
    <row r="409" spans="1:4">
      <c r="A409" s="30">
        <v>408</v>
      </c>
      <c r="B409" s="28" t="s">
        <v>1045</v>
      </c>
      <c r="C409" s="28" t="s">
        <v>1793</v>
      </c>
      <c r="D409" s="57" t="s">
        <v>2231</v>
      </c>
    </row>
    <row r="410" spans="1:4">
      <c r="A410" s="30">
        <v>409</v>
      </c>
      <c r="B410" s="28" t="s">
        <v>1803</v>
      </c>
      <c r="C410" s="28" t="s">
        <v>1794</v>
      </c>
      <c r="D410" s="57" t="s">
        <v>608</v>
      </c>
    </row>
    <row r="411" spans="1:4">
      <c r="A411" s="30">
        <v>410</v>
      </c>
      <c r="B411" s="28" t="s">
        <v>2266</v>
      </c>
      <c r="C411" s="28" t="s">
        <v>1808</v>
      </c>
      <c r="D411" s="57" t="s">
        <v>2267</v>
      </c>
    </row>
    <row r="412" spans="1:4">
      <c r="A412" s="30">
        <v>411</v>
      </c>
      <c r="B412" s="28" t="s">
        <v>2268</v>
      </c>
      <c r="C412" s="28" t="s">
        <v>1809</v>
      </c>
      <c r="D412" s="57" t="s">
        <v>614</v>
      </c>
    </row>
    <row r="413" spans="1:4">
      <c r="A413" s="30">
        <v>412</v>
      </c>
      <c r="B413" s="28" t="s">
        <v>2269</v>
      </c>
      <c r="C413" s="28" t="s">
        <v>1810</v>
      </c>
      <c r="D413" s="57" t="s">
        <v>605</v>
      </c>
    </row>
    <row r="414" spans="1:4">
      <c r="A414" s="30">
        <v>413</v>
      </c>
      <c r="B414" s="28" t="s">
        <v>2270</v>
      </c>
      <c r="C414" s="28" t="s">
        <v>1811</v>
      </c>
      <c r="D414" s="57" t="s">
        <v>2723</v>
      </c>
    </row>
    <row r="415" spans="1:4" s="25" customFormat="1">
      <c r="A415" s="30">
        <v>414</v>
      </c>
      <c r="B415" s="28" t="s">
        <v>2271</v>
      </c>
      <c r="C415" s="28" t="s">
        <v>1819</v>
      </c>
      <c r="D415" s="57" t="s">
        <v>2724</v>
      </c>
    </row>
    <row r="416" spans="1:4">
      <c r="A416" s="30">
        <v>415</v>
      </c>
      <c r="B416" s="28" t="s">
        <v>2272</v>
      </c>
      <c r="C416" s="28" t="s">
        <v>2519</v>
      </c>
      <c r="D416" s="57" t="s">
        <v>1962</v>
      </c>
    </row>
    <row r="417" spans="1:4">
      <c r="A417" s="30">
        <v>416</v>
      </c>
      <c r="B417" s="28" t="s">
        <v>1828</v>
      </c>
      <c r="C417" s="28" t="s">
        <v>2538</v>
      </c>
      <c r="D417" s="57" t="s">
        <v>1962</v>
      </c>
    </row>
    <row r="418" spans="1:4">
      <c r="A418" s="30">
        <v>417</v>
      </c>
      <c r="B418" s="28" t="s">
        <v>1831</v>
      </c>
      <c r="C418" s="28" t="s">
        <v>2554</v>
      </c>
      <c r="D418" s="57" t="s">
        <v>1962</v>
      </c>
    </row>
    <row r="419" spans="1:4">
      <c r="A419" s="30">
        <v>418</v>
      </c>
      <c r="B419" s="28" t="s">
        <v>1833</v>
      </c>
      <c r="C419" s="28" t="s">
        <v>2562</v>
      </c>
      <c r="D419" s="57" t="s">
        <v>1962</v>
      </c>
    </row>
    <row r="420" spans="1:4">
      <c r="A420" s="30">
        <v>419</v>
      </c>
      <c r="B420" s="28" t="s">
        <v>1837</v>
      </c>
      <c r="C420" s="28" t="s">
        <v>2569</v>
      </c>
      <c r="D420" s="57" t="s">
        <v>1962</v>
      </c>
    </row>
    <row r="421" spans="1:4">
      <c r="A421" s="30">
        <v>420</v>
      </c>
      <c r="B421" s="28" t="s">
        <v>2273</v>
      </c>
      <c r="C421" s="28" t="s">
        <v>2274</v>
      </c>
      <c r="D421" s="57" t="s">
        <v>1968</v>
      </c>
    </row>
    <row r="422" spans="1:4">
      <c r="A422" s="30">
        <v>421</v>
      </c>
      <c r="B422" s="28" t="s">
        <v>1856</v>
      </c>
      <c r="C422" s="28" t="s">
        <v>2275</v>
      </c>
      <c r="D422" s="57" t="s">
        <v>602</v>
      </c>
    </row>
    <row r="423" spans="1:4">
      <c r="A423" s="30">
        <v>422</v>
      </c>
      <c r="B423" s="28" t="s">
        <v>1850</v>
      </c>
      <c r="C423" s="28" t="s">
        <v>2276</v>
      </c>
      <c r="D423" s="57" t="s">
        <v>602</v>
      </c>
    </row>
    <row r="424" spans="1:4">
      <c r="A424" s="30">
        <v>423</v>
      </c>
      <c r="B424" s="28" t="s">
        <v>1859</v>
      </c>
      <c r="C424" s="28" t="s">
        <v>2277</v>
      </c>
      <c r="D424" s="57" t="s">
        <v>602</v>
      </c>
    </row>
    <row r="425" spans="1:4">
      <c r="A425" s="30">
        <v>424</v>
      </c>
      <c r="B425" s="28" t="s">
        <v>1864</v>
      </c>
      <c r="C425" s="28" t="s">
        <v>2278</v>
      </c>
      <c r="D425" s="57" t="s">
        <v>2724</v>
      </c>
    </row>
    <row r="426" spans="1:4">
      <c r="A426" s="30">
        <v>425</v>
      </c>
      <c r="B426" s="28" t="s">
        <v>1867</v>
      </c>
      <c r="C426" s="28" t="s">
        <v>2279</v>
      </c>
      <c r="D426" s="57" t="s">
        <v>607</v>
      </c>
    </row>
    <row r="427" spans="1:4">
      <c r="A427" s="30">
        <v>426</v>
      </c>
      <c r="B427" s="28" t="s">
        <v>1870</v>
      </c>
      <c r="C427" s="28" t="s">
        <v>2280</v>
      </c>
      <c r="D427" s="57" t="s">
        <v>607</v>
      </c>
    </row>
    <row r="428" spans="1:4">
      <c r="A428" s="30">
        <v>427</v>
      </c>
      <c r="B428" s="28" t="s">
        <v>2281</v>
      </c>
      <c r="C428" s="28" t="s">
        <v>2282</v>
      </c>
      <c r="D428" s="57" t="s">
        <v>2029</v>
      </c>
    </row>
    <row r="429" spans="1:4">
      <c r="A429" s="30">
        <v>428</v>
      </c>
      <c r="B429" s="28" t="s">
        <v>1878</v>
      </c>
      <c r="C429" s="28" t="s">
        <v>2283</v>
      </c>
      <c r="D429" s="57" t="s">
        <v>611</v>
      </c>
    </row>
    <row r="430" spans="1:4">
      <c r="A430" s="30">
        <v>429</v>
      </c>
      <c r="B430" s="28" t="s">
        <v>2284</v>
      </c>
      <c r="C430" s="28" t="s">
        <v>2285</v>
      </c>
      <c r="D430" s="57" t="s">
        <v>610</v>
      </c>
    </row>
    <row r="431" spans="1:4">
      <c r="A431" s="30">
        <v>430</v>
      </c>
      <c r="B431" s="28" t="s">
        <v>2286</v>
      </c>
      <c r="C431" s="28" t="s">
        <v>2287</v>
      </c>
      <c r="D431" s="57" t="s">
        <v>2724</v>
      </c>
    </row>
    <row r="432" spans="1:4">
      <c r="A432" s="30">
        <v>431</v>
      </c>
      <c r="B432" s="28" t="s">
        <v>2288</v>
      </c>
      <c r="C432" s="28" t="s">
        <v>2289</v>
      </c>
      <c r="D432" s="57" t="s">
        <v>2208</v>
      </c>
    </row>
    <row r="433" spans="1:4">
      <c r="A433" s="30">
        <v>432</v>
      </c>
      <c r="B433" s="28" t="s">
        <v>2290</v>
      </c>
      <c r="C433" s="28" t="s">
        <v>2291</v>
      </c>
      <c r="D433" s="57" t="s">
        <v>1995</v>
      </c>
    </row>
    <row r="434" spans="1:4">
      <c r="A434" s="30">
        <v>433</v>
      </c>
      <c r="B434" s="28" t="s">
        <v>2292</v>
      </c>
      <c r="C434" s="28" t="s">
        <v>2293</v>
      </c>
      <c r="D434" s="57" t="s">
        <v>1995</v>
      </c>
    </row>
    <row r="435" spans="1:4">
      <c r="A435" s="30">
        <v>434</v>
      </c>
      <c r="B435" s="28" t="s">
        <v>2294</v>
      </c>
      <c r="C435" s="28" t="s">
        <v>2295</v>
      </c>
      <c r="D435" s="57" t="s">
        <v>606</v>
      </c>
    </row>
    <row r="436" spans="1:4">
      <c r="A436" s="30">
        <v>435</v>
      </c>
      <c r="B436" s="28" t="s">
        <v>2296</v>
      </c>
      <c r="C436" s="28" t="s">
        <v>2528</v>
      </c>
      <c r="D436" s="57" t="s">
        <v>1995</v>
      </c>
    </row>
    <row r="437" spans="1:4">
      <c r="A437" s="30">
        <v>436</v>
      </c>
      <c r="B437" s="28" t="s">
        <v>2297</v>
      </c>
      <c r="C437" s="28" t="s">
        <v>2523</v>
      </c>
      <c r="D437" s="57" t="s">
        <v>1995</v>
      </c>
    </row>
    <row r="438" spans="1:4">
      <c r="A438" s="30">
        <v>437</v>
      </c>
      <c r="B438" s="28" t="s">
        <v>1936</v>
      </c>
      <c r="C438" s="28" t="s">
        <v>2298</v>
      </c>
      <c r="D438" s="57" t="s">
        <v>608</v>
      </c>
    </row>
    <row r="439" spans="1:4">
      <c r="A439" s="30">
        <v>438</v>
      </c>
      <c r="B439" s="28" t="s">
        <v>1938</v>
      </c>
      <c r="C439" s="28" t="s">
        <v>2299</v>
      </c>
      <c r="D439" s="57" t="s">
        <v>2723</v>
      </c>
    </row>
    <row r="440" spans="1:4">
      <c r="A440" s="30">
        <v>439</v>
      </c>
      <c r="B440" s="28" t="s">
        <v>1940</v>
      </c>
      <c r="C440" s="28" t="s">
        <v>2300</v>
      </c>
      <c r="D440" s="57" t="s">
        <v>610</v>
      </c>
    </row>
    <row r="441" spans="1:4">
      <c r="A441" s="30">
        <v>440</v>
      </c>
      <c r="B441" s="28" t="s">
        <v>1942</v>
      </c>
      <c r="C441" s="28" t="s">
        <v>2301</v>
      </c>
      <c r="D441" s="57" t="s">
        <v>610</v>
      </c>
    </row>
    <row r="442" spans="1:4">
      <c r="A442" s="30">
        <v>441</v>
      </c>
      <c r="B442" s="28" t="s">
        <v>2302</v>
      </c>
      <c r="C442" s="28" t="s">
        <v>2504</v>
      </c>
      <c r="D442" s="57" t="s">
        <v>608</v>
      </c>
    </row>
    <row r="443" spans="1:4">
      <c r="A443" s="30">
        <v>442</v>
      </c>
      <c r="B443" s="28" t="s">
        <v>2303</v>
      </c>
      <c r="C443" s="28" t="s">
        <v>2505</v>
      </c>
      <c r="D443" s="57" t="s">
        <v>2723</v>
      </c>
    </row>
    <row r="444" spans="1:4">
      <c r="A444" s="30">
        <v>443</v>
      </c>
      <c r="B444" s="28" t="s">
        <v>2304</v>
      </c>
      <c r="C444" s="28" t="s">
        <v>2506</v>
      </c>
      <c r="D444" s="57" t="s">
        <v>610</v>
      </c>
    </row>
    <row r="445" spans="1:4">
      <c r="A445" s="30">
        <v>444</v>
      </c>
      <c r="B445" s="28" t="s">
        <v>2305</v>
      </c>
      <c r="C445" s="28" t="s">
        <v>2507</v>
      </c>
      <c r="D445" s="57" t="s">
        <v>610</v>
      </c>
    </row>
    <row r="446" spans="1:4">
      <c r="A446" s="30">
        <v>445</v>
      </c>
      <c r="B446" s="28" t="s">
        <v>2306</v>
      </c>
      <c r="C446" s="28" t="s">
        <v>2307</v>
      </c>
      <c r="D446" s="57" t="s">
        <v>610</v>
      </c>
    </row>
    <row r="447" spans="1:4">
      <c r="A447" s="30">
        <v>446</v>
      </c>
      <c r="B447" s="28" t="s">
        <v>2308</v>
      </c>
      <c r="C447" s="28" t="s">
        <v>2510</v>
      </c>
      <c r="D447" s="57" t="s">
        <v>610</v>
      </c>
    </row>
    <row r="448" spans="1:4">
      <c r="A448" s="30">
        <v>447</v>
      </c>
      <c r="B448" s="28" t="s">
        <v>2309</v>
      </c>
      <c r="C448" s="28" t="s">
        <v>2310</v>
      </c>
      <c r="D448" s="57" t="s">
        <v>618</v>
      </c>
    </row>
    <row r="449" spans="1:4">
      <c r="A449" s="30">
        <v>448</v>
      </c>
      <c r="B449" s="28" t="s">
        <v>2311</v>
      </c>
      <c r="C449" s="28" t="s">
        <v>2312</v>
      </c>
      <c r="D449" s="57" t="s">
        <v>2313</v>
      </c>
    </row>
    <row r="450" spans="1:4">
      <c r="A450" s="30">
        <v>449</v>
      </c>
      <c r="B450" s="28" t="s">
        <v>2314</v>
      </c>
      <c r="C450" s="28" t="s">
        <v>2315</v>
      </c>
      <c r="D450" s="57" t="s">
        <v>2265</v>
      </c>
    </row>
    <row r="451" spans="1:4">
      <c r="A451" s="30">
        <v>450</v>
      </c>
      <c r="B451" s="28" t="s">
        <v>2316</v>
      </c>
      <c r="C451" s="28" t="s">
        <v>2317</v>
      </c>
      <c r="D451" s="57" t="s">
        <v>611</v>
      </c>
    </row>
    <row r="452" spans="1:4">
      <c r="A452" s="30">
        <v>451</v>
      </c>
      <c r="B452" s="28" t="s">
        <v>2318</v>
      </c>
      <c r="C452" s="28" t="s">
        <v>2319</v>
      </c>
      <c r="D452" s="57" t="s">
        <v>650</v>
      </c>
    </row>
    <row r="453" spans="1:4">
      <c r="A453" s="30">
        <v>452</v>
      </c>
      <c r="B453" s="28" t="s">
        <v>2320</v>
      </c>
      <c r="C453" s="28" t="s">
        <v>2321</v>
      </c>
      <c r="D453" s="57" t="s">
        <v>614</v>
      </c>
    </row>
    <row r="454" spans="1:4">
      <c r="A454" s="30">
        <v>453</v>
      </c>
      <c r="B454" s="28" t="s">
        <v>2322</v>
      </c>
      <c r="C454" s="28" t="s">
        <v>2323</v>
      </c>
      <c r="D454" s="57" t="s">
        <v>611</v>
      </c>
    </row>
    <row r="455" spans="1:4">
      <c r="A455" s="30">
        <v>454</v>
      </c>
      <c r="B455" s="28" t="s">
        <v>2324</v>
      </c>
      <c r="C455" s="28" t="s">
        <v>2325</v>
      </c>
      <c r="D455" s="57" t="s">
        <v>2723</v>
      </c>
    </row>
    <row r="456" spans="1:4">
      <c r="A456" s="30">
        <v>455</v>
      </c>
      <c r="B456" s="28" t="s">
        <v>2326</v>
      </c>
      <c r="C456" s="28" t="s">
        <v>1315</v>
      </c>
      <c r="D456" s="57" t="s">
        <v>2723</v>
      </c>
    </row>
    <row r="457" spans="1:4">
      <c r="A457" s="30">
        <v>456</v>
      </c>
      <c r="B457" s="28" t="s">
        <v>2327</v>
      </c>
      <c r="C457" s="28" t="s">
        <v>2328</v>
      </c>
      <c r="D457" s="57" t="s">
        <v>608</v>
      </c>
    </row>
    <row r="458" spans="1:4">
      <c r="A458" s="30">
        <v>457</v>
      </c>
      <c r="B458" s="28" t="s">
        <v>2726</v>
      </c>
      <c r="C458" s="28" t="s">
        <v>2733</v>
      </c>
      <c r="D458" s="57" t="s">
        <v>608</v>
      </c>
    </row>
    <row r="459" spans="1:4">
      <c r="A459" s="30">
        <v>458</v>
      </c>
      <c r="B459" s="28" t="s">
        <v>2672</v>
      </c>
      <c r="C459" s="28" t="s">
        <v>2673</v>
      </c>
      <c r="D459" s="57" t="s">
        <v>650</v>
      </c>
    </row>
    <row r="460" spans="1:4">
      <c r="A460" s="30">
        <v>459</v>
      </c>
      <c r="B460" s="28" t="s">
        <v>2691</v>
      </c>
      <c r="C460" s="28" t="s">
        <v>2698</v>
      </c>
      <c r="D460" s="57" t="s">
        <v>608</v>
      </c>
    </row>
    <row r="461" spans="1:4">
      <c r="A461" s="30">
        <v>460</v>
      </c>
      <c r="B461" s="28" t="s">
        <v>2727</v>
      </c>
      <c r="C461" s="28" t="s">
        <v>2699</v>
      </c>
      <c r="D461" s="57" t="s">
        <v>614</v>
      </c>
    </row>
    <row r="462" spans="1:4">
      <c r="A462" s="30">
        <v>461</v>
      </c>
      <c r="B462" s="28" t="s">
        <v>2728</v>
      </c>
      <c r="C462" s="28" t="s">
        <v>2700</v>
      </c>
      <c r="D462" s="57" t="s">
        <v>611</v>
      </c>
    </row>
    <row r="463" spans="1:4">
      <c r="A463" s="30">
        <v>462</v>
      </c>
      <c r="B463" s="28" t="s">
        <v>2729</v>
      </c>
      <c r="C463" s="28" t="s">
        <v>2730</v>
      </c>
      <c r="D463" s="57" t="s">
        <v>606</v>
      </c>
    </row>
    <row r="464" spans="1:4">
      <c r="A464" s="30">
        <v>463</v>
      </c>
      <c r="B464" s="28" t="s">
        <v>2731</v>
      </c>
      <c r="C464" s="28" t="s">
        <v>2732</v>
      </c>
      <c r="D464" s="57" t="s">
        <v>606</v>
      </c>
    </row>
    <row r="465" spans="2:4">
      <c r="B465"/>
    </row>
    <row r="466" spans="2:4">
      <c r="B466"/>
    </row>
    <row r="467" spans="2:4">
      <c r="B467"/>
    </row>
    <row r="468" spans="2:4">
      <c r="B468"/>
    </row>
    <row r="469" spans="2:4">
      <c r="B469"/>
    </row>
    <row r="470" spans="2:4">
      <c r="B470"/>
    </row>
    <row r="471" spans="2:4">
      <c r="B471"/>
    </row>
    <row r="472" spans="2:4">
      <c r="B472"/>
    </row>
    <row r="473" spans="2:4">
      <c r="B473"/>
    </row>
    <row r="474" spans="2:4">
      <c r="B474"/>
    </row>
    <row r="475" spans="2:4">
      <c r="B475"/>
    </row>
    <row r="476" spans="2:4">
      <c r="B476"/>
    </row>
    <row r="477" spans="2:4">
      <c r="B477"/>
      <c r="D477"/>
    </row>
    <row r="478" spans="2:4">
      <c r="B478"/>
      <c r="D478"/>
    </row>
    <row r="479" spans="2:4">
      <c r="B479"/>
      <c r="D479"/>
    </row>
    <row r="480" spans="2:4">
      <c r="B480"/>
      <c r="D480"/>
    </row>
    <row r="481" spans="2:4">
      <c r="B481"/>
      <c r="D481"/>
    </row>
    <row r="482" spans="2:4">
      <c r="B482"/>
      <c r="D482"/>
    </row>
    <row r="483" spans="2:4">
      <c r="B483"/>
      <c r="D483"/>
    </row>
    <row r="484" spans="2:4">
      <c r="B484"/>
      <c r="D484"/>
    </row>
    <row r="485" spans="2:4">
      <c r="B485"/>
      <c r="D485"/>
    </row>
    <row r="486" spans="2:4">
      <c r="B486"/>
      <c r="D486"/>
    </row>
    <row r="487" spans="2:4">
      <c r="B487"/>
      <c r="D487"/>
    </row>
    <row r="488" spans="2:4">
      <c r="B488"/>
      <c r="D488"/>
    </row>
    <row r="489" spans="2:4">
      <c r="B489"/>
      <c r="D489"/>
    </row>
    <row r="490" spans="2:4">
      <c r="B490"/>
      <c r="D490"/>
    </row>
    <row r="491" spans="2:4">
      <c r="B491"/>
      <c r="D491"/>
    </row>
    <row r="492" spans="2:4">
      <c r="B492"/>
      <c r="D492"/>
    </row>
    <row r="493" spans="2:4">
      <c r="B493"/>
      <c r="D493"/>
    </row>
    <row r="494" spans="2:4">
      <c r="B494"/>
      <c r="D494"/>
    </row>
    <row r="495" spans="2:4">
      <c r="B495"/>
      <c r="D495"/>
    </row>
    <row r="496" spans="2:4">
      <c r="B496"/>
      <c r="D496"/>
    </row>
    <row r="497" spans="2:4">
      <c r="B497"/>
      <c r="D497"/>
    </row>
    <row r="498" spans="2:4">
      <c r="B498"/>
      <c r="D498"/>
    </row>
    <row r="499" spans="2:4">
      <c r="B499"/>
      <c r="D499"/>
    </row>
    <row r="500" spans="2:4">
      <c r="B500"/>
      <c r="D500"/>
    </row>
    <row r="501" spans="2:4">
      <c r="B501"/>
      <c r="D501"/>
    </row>
    <row r="502" spans="2:4">
      <c r="B502"/>
      <c r="D502"/>
    </row>
    <row r="503" spans="2:4">
      <c r="B503"/>
      <c r="D503"/>
    </row>
    <row r="504" spans="2:4">
      <c r="B504"/>
      <c r="D504"/>
    </row>
    <row r="505" spans="2:4">
      <c r="B505"/>
      <c r="D505"/>
    </row>
    <row r="506" spans="2:4">
      <c r="B506"/>
      <c r="D506"/>
    </row>
    <row r="507" spans="2:4">
      <c r="B507"/>
      <c r="D507"/>
    </row>
    <row r="508" spans="2:4">
      <c r="B508"/>
      <c r="D508"/>
    </row>
    <row r="509" spans="2:4">
      <c r="B509"/>
      <c r="D509"/>
    </row>
    <row r="510" spans="2:4">
      <c r="B510"/>
      <c r="D510"/>
    </row>
    <row r="511" spans="2:4">
      <c r="B511"/>
      <c r="D511"/>
    </row>
    <row r="512" spans="2:4">
      <c r="B512"/>
      <c r="D512"/>
    </row>
    <row r="513" spans="2:4">
      <c r="B513"/>
      <c r="D513"/>
    </row>
    <row r="514" spans="2:4">
      <c r="B514"/>
      <c r="D514"/>
    </row>
    <row r="515" spans="2:4">
      <c r="B515"/>
      <c r="D515"/>
    </row>
    <row r="516" spans="2:4">
      <c r="B516"/>
      <c r="D516"/>
    </row>
    <row r="517" spans="2:4">
      <c r="B517"/>
      <c r="D517"/>
    </row>
    <row r="518" spans="2:4">
      <c r="B518"/>
      <c r="D518"/>
    </row>
    <row r="519" spans="2:4">
      <c r="B519"/>
      <c r="D519"/>
    </row>
    <row r="520" spans="2:4">
      <c r="B520"/>
      <c r="D520"/>
    </row>
    <row r="521" spans="2:4">
      <c r="B521"/>
      <c r="D521"/>
    </row>
    <row r="522" spans="2:4">
      <c r="B522"/>
      <c r="D522"/>
    </row>
    <row r="523" spans="2:4">
      <c r="B523"/>
      <c r="D523"/>
    </row>
    <row r="524" spans="2:4">
      <c r="B524"/>
      <c r="D524"/>
    </row>
    <row r="525" spans="2:4">
      <c r="B525"/>
      <c r="D525"/>
    </row>
    <row r="526" spans="2:4">
      <c r="B526"/>
      <c r="D526"/>
    </row>
    <row r="527" spans="2:4">
      <c r="B527"/>
      <c r="D527"/>
    </row>
    <row r="528" spans="2:4">
      <c r="B528"/>
      <c r="D528"/>
    </row>
    <row r="529" spans="2:4">
      <c r="B529"/>
      <c r="D529"/>
    </row>
    <row r="530" spans="2:4">
      <c r="B530"/>
      <c r="D530"/>
    </row>
    <row r="531" spans="2:4">
      <c r="B531"/>
      <c r="D531"/>
    </row>
    <row r="532" spans="2:4">
      <c r="B532"/>
      <c r="D532"/>
    </row>
    <row r="533" spans="2:4">
      <c r="B533"/>
      <c r="D533"/>
    </row>
    <row r="534" spans="2:4">
      <c r="B534"/>
      <c r="D534"/>
    </row>
    <row r="535" spans="2:4">
      <c r="B535"/>
      <c r="D535"/>
    </row>
    <row r="536" spans="2:4">
      <c r="B536"/>
      <c r="D536"/>
    </row>
    <row r="537" spans="2:4">
      <c r="B537"/>
      <c r="D537"/>
    </row>
    <row r="538" spans="2:4">
      <c r="B538"/>
      <c r="D538"/>
    </row>
    <row r="539" spans="2:4">
      <c r="B539"/>
      <c r="D539"/>
    </row>
    <row r="540" spans="2:4">
      <c r="B540"/>
      <c r="D540"/>
    </row>
    <row r="541" spans="2:4">
      <c r="B541"/>
      <c r="D541"/>
    </row>
    <row r="542" spans="2:4">
      <c r="B542"/>
      <c r="D542"/>
    </row>
    <row r="543" spans="2:4">
      <c r="B543"/>
      <c r="D543"/>
    </row>
    <row r="544" spans="2:4">
      <c r="B544"/>
      <c r="D544"/>
    </row>
    <row r="545" spans="2:4">
      <c r="B545"/>
      <c r="D545"/>
    </row>
    <row r="546" spans="2:4">
      <c r="B546"/>
      <c r="D546"/>
    </row>
    <row r="547" spans="2:4">
      <c r="B547"/>
      <c r="D547"/>
    </row>
    <row r="548" spans="2:4">
      <c r="B548"/>
      <c r="D548"/>
    </row>
    <row r="549" spans="2:4">
      <c r="B549"/>
      <c r="D549"/>
    </row>
    <row r="550" spans="2:4">
      <c r="B550"/>
      <c r="D550"/>
    </row>
    <row r="551" spans="2:4">
      <c r="B551"/>
      <c r="D551"/>
    </row>
    <row r="552" spans="2:4">
      <c r="B552"/>
      <c r="D552"/>
    </row>
    <row r="553" spans="2:4">
      <c r="B553"/>
      <c r="D553"/>
    </row>
    <row r="554" spans="2:4">
      <c r="B554"/>
      <c r="D554"/>
    </row>
    <row r="555" spans="2:4">
      <c r="B555"/>
      <c r="D555"/>
    </row>
    <row r="556" spans="2:4">
      <c r="B556"/>
      <c r="D556"/>
    </row>
    <row r="557" spans="2:4">
      <c r="B557"/>
      <c r="D557"/>
    </row>
    <row r="558" spans="2:4">
      <c r="B558"/>
      <c r="D558"/>
    </row>
    <row r="559" spans="2:4">
      <c r="B559"/>
      <c r="D559"/>
    </row>
    <row r="560" spans="2:4">
      <c r="B560"/>
      <c r="D560"/>
    </row>
    <row r="561" spans="2:4">
      <c r="B561"/>
      <c r="D561"/>
    </row>
    <row r="562" spans="2:4">
      <c r="B562"/>
      <c r="D562"/>
    </row>
    <row r="563" spans="2:4">
      <c r="B563"/>
      <c r="D563"/>
    </row>
    <row r="564" spans="2:4">
      <c r="B564"/>
      <c r="D564"/>
    </row>
    <row r="565" spans="2:4">
      <c r="B565"/>
      <c r="D565"/>
    </row>
    <row r="566" spans="2:4">
      <c r="B566"/>
      <c r="D566"/>
    </row>
    <row r="567" spans="2:4">
      <c r="B567"/>
      <c r="D567"/>
    </row>
    <row r="568" spans="2:4">
      <c r="B568"/>
      <c r="D568"/>
    </row>
    <row r="569" spans="2:4">
      <c r="B569"/>
      <c r="D569"/>
    </row>
    <row r="570" spans="2:4">
      <c r="B570"/>
      <c r="D570"/>
    </row>
    <row r="571" spans="2:4">
      <c r="B571"/>
      <c r="D571"/>
    </row>
    <row r="572" spans="2:4">
      <c r="B572"/>
      <c r="D572"/>
    </row>
    <row r="573" spans="2:4">
      <c r="B573"/>
      <c r="D573"/>
    </row>
    <row r="574" spans="2:4">
      <c r="B574"/>
      <c r="D574"/>
    </row>
    <row r="575" spans="2:4">
      <c r="B575"/>
      <c r="D575"/>
    </row>
    <row r="576" spans="2:4">
      <c r="B576"/>
      <c r="D576"/>
    </row>
    <row r="577" spans="2:4">
      <c r="B577"/>
      <c r="D577"/>
    </row>
    <row r="578" spans="2:4">
      <c r="B578"/>
      <c r="D578"/>
    </row>
    <row r="579" spans="2:4">
      <c r="B579"/>
      <c r="D579"/>
    </row>
    <row r="580" spans="2:4">
      <c r="B580"/>
      <c r="D580"/>
    </row>
    <row r="581" spans="2:4">
      <c r="B581"/>
      <c r="D581"/>
    </row>
    <row r="582" spans="2:4">
      <c r="B582"/>
      <c r="D582"/>
    </row>
    <row r="583" spans="2:4">
      <c r="B583"/>
      <c r="D583"/>
    </row>
    <row r="584" spans="2:4">
      <c r="B584"/>
      <c r="D584"/>
    </row>
    <row r="585" spans="2:4">
      <c r="B585"/>
      <c r="D585"/>
    </row>
    <row r="586" spans="2:4">
      <c r="B586"/>
      <c r="D586"/>
    </row>
    <row r="587" spans="2:4">
      <c r="B587"/>
      <c r="D587"/>
    </row>
    <row r="588" spans="2:4">
      <c r="B588"/>
      <c r="D588"/>
    </row>
    <row r="589" spans="2:4">
      <c r="B589"/>
      <c r="D589"/>
    </row>
    <row r="590" spans="2:4">
      <c r="B590"/>
      <c r="D590"/>
    </row>
    <row r="591" spans="2:4">
      <c r="B591"/>
      <c r="D591"/>
    </row>
    <row r="592" spans="2:4">
      <c r="B592"/>
      <c r="D592"/>
    </row>
    <row r="593" spans="2:4">
      <c r="B593"/>
      <c r="D593"/>
    </row>
    <row r="594" spans="2:4">
      <c r="B594"/>
      <c r="D594"/>
    </row>
    <row r="595" spans="2:4">
      <c r="B595"/>
      <c r="D595"/>
    </row>
    <row r="596" spans="2:4">
      <c r="B596"/>
      <c r="D596"/>
    </row>
    <row r="597" spans="2:4">
      <c r="B597"/>
      <c r="D597"/>
    </row>
    <row r="598" spans="2:4">
      <c r="B598"/>
      <c r="D598"/>
    </row>
    <row r="599" spans="2:4">
      <c r="B599"/>
      <c r="D599"/>
    </row>
    <row r="600" spans="2:4">
      <c r="B600"/>
      <c r="D600"/>
    </row>
    <row r="601" spans="2:4">
      <c r="B601"/>
      <c r="D601"/>
    </row>
    <row r="602" spans="2:4">
      <c r="B602"/>
      <c r="D602"/>
    </row>
    <row r="603" spans="2:4">
      <c r="B603"/>
      <c r="D603"/>
    </row>
    <row r="604" spans="2:4">
      <c r="B604"/>
      <c r="D604"/>
    </row>
    <row r="605" spans="2:4">
      <c r="B605"/>
      <c r="D605"/>
    </row>
    <row r="606" spans="2:4">
      <c r="B606"/>
      <c r="D606"/>
    </row>
    <row r="607" spans="2:4">
      <c r="B607"/>
      <c r="D607"/>
    </row>
    <row r="608" spans="2:4">
      <c r="B608"/>
      <c r="D608"/>
    </row>
    <row r="609" spans="2:4">
      <c r="B609"/>
      <c r="D609"/>
    </row>
    <row r="610" spans="2:4">
      <c r="B610"/>
      <c r="D610"/>
    </row>
    <row r="611" spans="2:4">
      <c r="B611"/>
      <c r="D611"/>
    </row>
    <row r="612" spans="2:4">
      <c r="B612"/>
      <c r="D612"/>
    </row>
    <row r="613" spans="2:4">
      <c r="B613"/>
      <c r="D613"/>
    </row>
    <row r="614" spans="2:4">
      <c r="B614"/>
      <c r="D614"/>
    </row>
    <row r="615" spans="2:4">
      <c r="B615"/>
      <c r="D615"/>
    </row>
    <row r="616" spans="2:4">
      <c r="B616"/>
      <c r="D616"/>
    </row>
    <row r="617" spans="2:4">
      <c r="B617"/>
      <c r="D617"/>
    </row>
    <row r="618" spans="2:4">
      <c r="D618"/>
    </row>
    <row r="619" spans="2:4">
      <c r="D619"/>
    </row>
    <row r="620" spans="2:4">
      <c r="D620"/>
    </row>
    <row r="621" spans="2:4">
      <c r="D621"/>
    </row>
    <row r="622" spans="2:4">
      <c r="D622"/>
    </row>
    <row r="623" spans="2:4">
      <c r="D623"/>
    </row>
    <row r="624" spans="2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</sheetData>
  <autoFilter ref="A1:D476" xr:uid="{6BD9FFD7-16EC-4037-A63B-CD088FE743AF}"/>
  <sortState ref="B2:D617">
    <sortCondition ref="B2:B617"/>
  </sortState>
  <phoneticPr fontId="19" type="noConversion"/>
  <conditionalFormatting sqref="B465:B1048576 B1">
    <cfRule type="duplicateValues" dxfId="8" priority="152"/>
  </conditionalFormatting>
  <conditionalFormatting sqref="B457:B461">
    <cfRule type="duplicateValues" dxfId="7" priority="5"/>
  </conditionalFormatting>
  <conditionalFormatting sqref="B457:B461">
    <cfRule type="duplicateValues" dxfId="6" priority="6"/>
  </conditionalFormatting>
  <conditionalFormatting sqref="B462">
    <cfRule type="duplicateValues" dxfId="5" priority="3"/>
  </conditionalFormatting>
  <conditionalFormatting sqref="B462">
    <cfRule type="duplicateValues" dxfId="4" priority="4"/>
  </conditionalFormatting>
  <conditionalFormatting sqref="B463">
    <cfRule type="duplicateValues" dxfId="3" priority="1"/>
  </conditionalFormatting>
  <conditionalFormatting sqref="B463">
    <cfRule type="duplicateValues" dxfId="2" priority="2"/>
  </conditionalFormatting>
  <conditionalFormatting sqref="B2:B464">
    <cfRule type="duplicateValues" dxfId="1" priority="154"/>
  </conditionalFormatting>
  <conditionalFormatting sqref="B2:B464">
    <cfRule type="duplicateValues" dxfId="0" priority="156"/>
  </conditionalFormatting>
  <pageMargins left="0.70866141732283472" right="0.70866141732283472" top="0.74803149606299213" bottom="0.74803149606299213" header="0.31496062992125984" footer="0.31496062992125984"/>
  <pageSetup paperSize="9" scale="89" fitToHeight="0" orientation="landscape" r:id="rId1"/>
  <headerFooter>
    <oddHeader>&amp;L&amp;G&amp;R&amp;"HY헤드라인M,보통"표준용어사전</oddHeader>
    <oddFooter>&amp;L생태모방지식 서비스 플랫폼 구축&amp;C&amp;P&amp;R&amp;G</oddFooter>
  </headerFooter>
  <rowBreaks count="1" manualBreakCount="1">
    <brk id="429" max="3" man="1"/>
  </rowBreaks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컬럼_old</vt:lpstr>
      <vt:lpstr>컬럼</vt:lpstr>
      <vt:lpstr>작성지침</vt:lpstr>
      <vt:lpstr>표준용어사전</vt:lpstr>
      <vt:lpstr>표준용어사전!Print_Area</vt:lpstr>
      <vt:lpstr>표준용어사전!Print_Titles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all4land</dc:creator>
  <cp:lastModifiedBy>최형욱</cp:lastModifiedBy>
  <cp:lastPrinted>2024-11-25T08:57:48Z</cp:lastPrinted>
  <dcterms:created xsi:type="dcterms:W3CDTF">2015-10-01T05:52:48Z</dcterms:created>
  <dcterms:modified xsi:type="dcterms:W3CDTF">2026-06-04T04:01:01Z</dcterms:modified>
</cp:coreProperties>
</file>